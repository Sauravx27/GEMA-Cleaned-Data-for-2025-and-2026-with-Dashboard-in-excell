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v\Desktop\"/>
    </mc:Choice>
  </mc:AlternateContent>
  <xr:revisionPtr revIDLastSave="0" documentId="8_{9E5D88C1-3D61-49A0-A571-21B9C9261097}" xr6:coauthVersionLast="47" xr6:coauthVersionMax="47" xr10:uidLastSave="{00000000-0000-0000-0000-000000000000}"/>
  <bookViews>
    <workbookView xWindow="-98" yWindow="-98" windowWidth="21795" windowHeight="12975" xr2:uid="{189CD8F8-FE44-416E-89B2-C503CAD55F3C}"/>
  </bookViews>
  <sheets>
    <sheet name="Dashboard" sheetId="12" r:id="rId1"/>
    <sheet name="Cleaned_2025" sheetId="2" r:id="rId2"/>
    <sheet name="Cleaned_2026" sheetId="6" r:id="rId3"/>
    <sheet name="Lookup" sheetId="1" r:id="rId4"/>
    <sheet name="Comparison" sheetId="8" r:id="rId5"/>
    <sheet name="Monthly_Trend" sheetId="11" r:id="rId6"/>
  </sheets>
  <definedNames>
    <definedName name="ExternalData_1" localSheetId="1" hidden="1">Cleaned_2025!$A$1:$I$1801</definedName>
    <definedName name="ExternalData_1" localSheetId="2" hidden="1">Cleaned_2026!$A$1:$I$2151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2" l="1"/>
  <c r="B29" i="12"/>
  <c r="C31" i="12"/>
  <c r="C30" i="12"/>
  <c r="B31" i="12"/>
  <c r="B30" i="12"/>
  <c r="E4" i="12"/>
  <c r="F9" i="8"/>
  <c r="F10" i="8"/>
  <c r="F11" i="8"/>
  <c r="F12" i="8"/>
  <c r="F13" i="8"/>
  <c r="F14" i="8"/>
  <c r="F15" i="8"/>
  <c r="F16" i="8"/>
  <c r="F17" i="8"/>
  <c r="D4" i="12"/>
  <c r="C4" i="12"/>
  <c r="B4" i="12"/>
  <c r="B5" i="8"/>
  <c r="B25" i="8" s="1"/>
  <c r="B6" i="8"/>
  <c r="C20" i="8" s="1"/>
  <c r="C10" i="11"/>
  <c r="C9" i="11"/>
  <c r="C8" i="11"/>
  <c r="C7" i="11"/>
  <c r="C6" i="11"/>
  <c r="C5" i="11"/>
  <c r="C4" i="11"/>
  <c r="C3" i="11"/>
  <c r="C2" i="11"/>
  <c r="B4" i="11"/>
  <c r="B3" i="11"/>
  <c r="B10" i="11"/>
  <c r="B9" i="11"/>
  <c r="B8" i="11"/>
  <c r="B7" i="11"/>
  <c r="B6" i="11"/>
  <c r="B5" i="11"/>
  <c r="B2" i="11"/>
  <c r="B13" i="8"/>
  <c r="B9" i="8"/>
  <c r="B10" i="8"/>
  <c r="B15" i="8"/>
  <c r="B16" i="8"/>
  <c r="B12" i="8"/>
  <c r="C12" i="8"/>
  <c r="C15" i="8"/>
  <c r="C16" i="8"/>
  <c r="C10" i="8"/>
  <c r="C11" i="8"/>
  <c r="C9" i="8"/>
  <c r="D9" i="8" s="1"/>
  <c r="C14" i="8"/>
  <c r="C13" i="8"/>
  <c r="B27" i="8" l="1"/>
  <c r="B20" i="8"/>
  <c r="E20" i="8" s="1"/>
  <c r="B26" i="8"/>
  <c r="B24" i="8"/>
  <c r="B23" i="8"/>
  <c r="B22" i="8"/>
  <c r="B21" i="8"/>
  <c r="C26" i="8"/>
  <c r="C25" i="8"/>
  <c r="C24" i="8"/>
  <c r="E24" i="8" s="1"/>
  <c r="C23" i="8"/>
  <c r="D23" i="8" s="1"/>
  <c r="C22" i="8"/>
  <c r="C21" i="8"/>
  <c r="C27" i="8"/>
  <c r="D27" i="8" s="1"/>
  <c r="D20" i="8"/>
  <c r="C17" i="8"/>
  <c r="D10" i="8"/>
  <c r="B14" i="8"/>
  <c r="D14" i="8" s="1"/>
  <c r="E9" i="8"/>
  <c r="B11" i="8"/>
  <c r="D13" i="8"/>
  <c r="D16" i="8"/>
  <c r="D12" i="8"/>
  <c r="E12" i="8"/>
  <c r="E15" i="8"/>
  <c r="D15" i="8"/>
  <c r="E16" i="8"/>
  <c r="D22" i="8" l="1"/>
  <c r="D26" i="8"/>
  <c r="E26" i="8"/>
  <c r="D11" i="8"/>
  <c r="E23" i="8"/>
  <c r="D24" i="8"/>
  <c r="E22" i="8"/>
  <c r="E21" i="8"/>
  <c r="D21" i="8"/>
  <c r="E27" i="8"/>
  <c r="D25" i="8"/>
  <c r="E25" i="8"/>
  <c r="B17" i="8"/>
  <c r="D17" i="8" s="1"/>
  <c r="E14" i="8"/>
  <c r="E13" i="8"/>
  <c r="E11" i="8"/>
  <c r="E10" i="8"/>
  <c r="E17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5A0785-75BE-4358-9290-AC3C6018A2E5}" keepAlive="1" name="Query - Registrations" description="Connection to the 'Registrations' query in the workbook." type="5" refreshedVersion="8" background="1" saveData="1">
    <dbPr connection="Provider=Microsoft.Mashup.OleDb.1;Data Source=$Workbook$;Location=Registrations;Extended Properties=&quot;&quot;" command="SELECT * FROM [Registrations]"/>
  </connection>
  <connection id="2" xr16:uid="{FC239C02-52C0-41A3-9AA9-3CDC523886A0}" keepAlive="1" name="Query - Registrations (2)" description="Connection to the 'Registrations (2)' query in the workbook." type="5" refreshedVersion="8" background="1" saveData="1">
    <dbPr connection="Provider=Microsoft.Mashup.OleDb.1;Data Source=$Workbook$;Location=&quot;Registrations (2)&quot;;Extended Properties=&quot;&quot;" command="SELECT * FROM [Registrations (2)]"/>
  </connection>
  <connection id="3" xr16:uid="{E35D07A1-89CA-4597-ADAA-A021D7948081}" keepAlive="1" name="Query - Registrations (3)" description="Connection to the 'Registrations (3)' query in the workbook." type="5" refreshedVersion="8" background="1" saveData="1">
    <dbPr connection="Provider=Microsoft.Mashup.OleDb.1;Data Source=$Workbook$;Location=&quot;Registrations (3)&quot;;Extended Properties=&quot;&quot;" command="SELECT * FROM [Registrations (3)]"/>
  </connection>
  <connection id="4" xr16:uid="{EDAC9536-44C1-4B92-9D1D-7D99FCC5E0F8}" keepAlive="1" name="Query - Table6" description="Connection to the 'Table6' query in the workbook." type="5" refreshedVersion="0" background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<sst xmlns="http://schemas.openxmlformats.org/spreadsheetml/2006/main" count="27844" uniqueCount="8046">
  <si>
    <t>Registration ID</t>
  </si>
  <si>
    <t>Registration Date</t>
  </si>
  <si>
    <t>Competition</t>
  </si>
  <si>
    <t>Student Name</t>
  </si>
  <si>
    <t>School</t>
  </si>
  <si>
    <t>Grade</t>
  </si>
  <si>
    <t>City</t>
  </si>
  <si>
    <t>Country</t>
  </si>
  <si>
    <t>Registration Source</t>
  </si>
  <si>
    <t>REG-2025-01556</t>
  </si>
  <si>
    <t>Young Innovators Challenge</t>
  </si>
  <si>
    <t>Student 2025_01556</t>
  </si>
  <si>
    <t>Bright Future Academy</t>
  </si>
  <si>
    <t>Bengaluru</t>
  </si>
  <si>
    <t>India</t>
  </si>
  <si>
    <t>REG-2025-00843</t>
  </si>
  <si>
    <t>International Coding Olympiad</t>
  </si>
  <si>
    <t>Student 2025_00843</t>
  </si>
  <si>
    <t>Gurugram</t>
  </si>
  <si>
    <t>WhatsApp</t>
  </si>
  <si>
    <t>REG-2025-00035</t>
  </si>
  <si>
    <t>Student Speaker Competition</t>
  </si>
  <si>
    <t>Student 2025_00035</t>
  </si>
  <si>
    <t>Sunrise Public School</t>
  </si>
  <si>
    <t>Abu Dhabi</t>
  </si>
  <si>
    <t>UAE</t>
  </si>
  <si>
    <t>Partner School</t>
  </si>
  <si>
    <t>REG-2025-00887</t>
  </si>
  <si>
    <t>AI &amp; Robotics Challenge</t>
  </si>
  <si>
    <t>Student 2025_00887</t>
  </si>
  <si>
    <t>Gurukul Global School</t>
  </si>
  <si>
    <t>Social Media</t>
  </si>
  <si>
    <t>REG-2025-01008</t>
  </si>
  <si>
    <t>Student 2025_01008</t>
  </si>
  <si>
    <t>Greenwood International School</t>
  </si>
  <si>
    <t>Dubai</t>
  </si>
  <si>
    <t>REG-2025-00690</t>
  </si>
  <si>
    <t>Student 2025_00690</t>
  </si>
  <si>
    <t>Delhi Public School</t>
  </si>
  <si>
    <t>School Outreach</t>
  </si>
  <si>
    <t>REG-2025-00400</t>
  </si>
  <si>
    <t>Student 2025_00400</t>
  </si>
  <si>
    <t>The Millennium School</t>
  </si>
  <si>
    <t>Mumbai</t>
  </si>
  <si>
    <t>REG-2025-01762</t>
  </si>
  <si>
    <t>Student 2025_01762</t>
  </si>
  <si>
    <t>Oakridge International School</t>
  </si>
  <si>
    <t>Website</t>
  </si>
  <si>
    <t>REG-2025-01420</t>
  </si>
  <si>
    <t>International School Olympiad</t>
  </si>
  <si>
    <t>Student 2025_01420</t>
  </si>
  <si>
    <t>REG-2025-00698</t>
  </si>
  <si>
    <t>International Mathematics Olympiad</t>
  </si>
  <si>
    <t>Student 2025_00698</t>
  </si>
  <si>
    <t>Amity International School</t>
  </si>
  <si>
    <t>Doha</t>
  </si>
  <si>
    <t>REG-2025-01649</t>
  </si>
  <si>
    <t>Student 2025_01649</t>
  </si>
  <si>
    <t>The Indian High School</t>
  </si>
  <si>
    <t>New Delhi</t>
  </si>
  <si>
    <t>Email Campaign</t>
  </si>
  <si>
    <t>REG-2025-01395</t>
  </si>
  <si>
    <t>Student 2025_01395</t>
  </si>
  <si>
    <t>REG-2025-01729</t>
  </si>
  <si>
    <t>Student 2025_01729</t>
  </si>
  <si>
    <t>REG-2025-00818</t>
  </si>
  <si>
    <t>International Science Olympiad</t>
  </si>
  <si>
    <t>Student 2025_00818</t>
  </si>
  <si>
    <t>Sharjah</t>
  </si>
  <si>
    <t>REG-2025-01285</t>
  </si>
  <si>
    <t>Student 2025_01285</t>
  </si>
  <si>
    <t>Global Indian International School</t>
  </si>
  <si>
    <t>Qatar</t>
  </si>
  <si>
    <t>REG-2025-00207</t>
  </si>
  <si>
    <t>Student 2025_00207</t>
  </si>
  <si>
    <t>GEMS Modern Academy</t>
  </si>
  <si>
    <t>REG-2025-00321</t>
  </si>
  <si>
    <t>Student 2025_00321</t>
  </si>
  <si>
    <t>REG-2025-00959</t>
  </si>
  <si>
    <t>Student 2025_00959</t>
  </si>
  <si>
    <t>REG-2025-00463</t>
  </si>
  <si>
    <t>Student 2025_00463</t>
  </si>
  <si>
    <t>REG-2025-00548</t>
  </si>
  <si>
    <t>Student 2025_00548</t>
  </si>
  <si>
    <t>REG-2025-00817</t>
  </si>
  <si>
    <t>Student 2025_00817</t>
  </si>
  <si>
    <t>REG-2025-00168</t>
  </si>
  <si>
    <t>Student 2025_00168</t>
  </si>
  <si>
    <t>REG-2025-00720</t>
  </si>
  <si>
    <t>Student 2025_00720</t>
  </si>
  <si>
    <t>REG-2025-00476</t>
  </si>
  <si>
    <t>Student 2025_00476</t>
  </si>
  <si>
    <t>REG-2025-01632</t>
  </si>
  <si>
    <t>Student 2025_01632</t>
  </si>
  <si>
    <t>REG-2025-00298</t>
  </si>
  <si>
    <t>Student 2025_00298</t>
  </si>
  <si>
    <t>REG-2025-00556</t>
  </si>
  <si>
    <t>Student 2025_00556</t>
  </si>
  <si>
    <t>REG-2025-00412</t>
  </si>
  <si>
    <t>Winter Painting Competition</t>
  </si>
  <si>
    <t>Student 2025_00412</t>
  </si>
  <si>
    <t>REG-2025-01687</t>
  </si>
  <si>
    <t>Student 2025_01687</t>
  </si>
  <si>
    <t>Delhi International School</t>
  </si>
  <si>
    <t>REG-2025-00737</t>
  </si>
  <si>
    <t>Student 2025_00737</t>
  </si>
  <si>
    <t>REG-2025-01091</t>
  </si>
  <si>
    <t>Student 2025_01091</t>
  </si>
  <si>
    <t>REG-2025-00582</t>
  </si>
  <si>
    <t>Student 2025_00582</t>
  </si>
  <si>
    <t>REG-2025-00872</t>
  </si>
  <si>
    <t>Student 2025_00872</t>
  </si>
  <si>
    <t>REG-2025-01411</t>
  </si>
  <si>
    <t>Student 2025_01411</t>
  </si>
  <si>
    <t>REG-2025-00309</t>
  </si>
  <si>
    <t>Student 2025_00309</t>
  </si>
  <si>
    <t>REG-2025-01453</t>
  </si>
  <si>
    <t>Student 2025_01453</t>
  </si>
  <si>
    <t>REG-2025-00256</t>
  </si>
  <si>
    <t>Student 2025_00256</t>
  </si>
  <si>
    <t>REG-2025-00724</t>
  </si>
  <si>
    <t>Student 2025_00724</t>
  </si>
  <si>
    <t>REG-2025-01430</t>
  </si>
  <si>
    <t>Student 2025_01430</t>
  </si>
  <si>
    <t>REG-2025-01743</t>
  </si>
  <si>
    <t>Student 2025_01743</t>
  </si>
  <si>
    <t>REG-2025-01633</t>
  </si>
  <si>
    <t>Student 2025_01633</t>
  </si>
  <si>
    <t>REG-2025-00942</t>
  </si>
  <si>
    <t>Student 2025_00942</t>
  </si>
  <si>
    <t>REG-2025-00318</t>
  </si>
  <si>
    <t>Student 2025_00318</t>
  </si>
  <si>
    <t>REG-2025-00793</t>
  </si>
  <si>
    <t>Student 2025_00793</t>
  </si>
  <si>
    <t>REG-2025-01688</t>
  </si>
  <si>
    <t>Student 2025_01688</t>
  </si>
  <si>
    <t>REG-2025-01525</t>
  </si>
  <si>
    <t>Student 2025_01525</t>
  </si>
  <si>
    <t>REG-2025-00403</t>
  </si>
  <si>
    <t>Student 2025_00403</t>
  </si>
  <si>
    <t>REG-2025-01164</t>
  </si>
  <si>
    <t>Student 2025_01164</t>
  </si>
  <si>
    <t>REG-2025-00838</t>
  </si>
  <si>
    <t>Student 2025_00838</t>
  </si>
  <si>
    <t>REG-2025-01526</t>
  </si>
  <si>
    <t>Student 2025_01526</t>
  </si>
  <si>
    <t>DELHI INTERNATIONAL SCHOOL</t>
  </si>
  <si>
    <t>REG-2025-00193</t>
  </si>
  <si>
    <t>Student 2025_00193</t>
  </si>
  <si>
    <t>REG-2025-00823</t>
  </si>
  <si>
    <t>Student 2025_00823</t>
  </si>
  <si>
    <t>REG-2025-01017</t>
  </si>
  <si>
    <t>Student 2025_01017</t>
  </si>
  <si>
    <t>REG-2025-01590</t>
  </si>
  <si>
    <t>Student 2025_01590</t>
  </si>
  <si>
    <t>REG-2025-00805</t>
  </si>
  <si>
    <t>Student 2025_00805</t>
  </si>
  <si>
    <t>REG-2025-01020</t>
  </si>
  <si>
    <t>Student 2025_01020</t>
  </si>
  <si>
    <t>REG-2025-00555</t>
  </si>
  <si>
    <t>Student 2025_00555</t>
  </si>
  <si>
    <t>REG-2025-01398</t>
  </si>
  <si>
    <t>Student 2025_01398</t>
  </si>
  <si>
    <t>OAKRIDGE INTERNATIONAL SCHOOL</t>
  </si>
  <si>
    <t>REG-2025-00898</t>
  </si>
  <si>
    <t>Student 2025_00898</t>
  </si>
  <si>
    <t>REG-2025-00464</t>
  </si>
  <si>
    <t>Student 2025_00464</t>
  </si>
  <si>
    <t>BRIGHT FUTURE ACADEMY</t>
  </si>
  <si>
    <t>REG-2025-00411</t>
  </si>
  <si>
    <t>Student 2025_00411</t>
  </si>
  <si>
    <t>REG-2025-01146</t>
  </si>
  <si>
    <t>Student 2025_01146</t>
  </si>
  <si>
    <t>REG-2025-01026</t>
  </si>
  <si>
    <t>Intl. Coding Olympiad</t>
  </si>
  <si>
    <t>Student 2025_01026</t>
  </si>
  <si>
    <t>REG-2025-00135</t>
  </si>
  <si>
    <t>Student 2025_00135</t>
  </si>
  <si>
    <t>REG-2025-01428</t>
  </si>
  <si>
    <t>Student 2025_01428</t>
  </si>
  <si>
    <t>REG-2025-00366</t>
  </si>
  <si>
    <t>Student 2025_00366</t>
  </si>
  <si>
    <t>REG-2025-01746</t>
  </si>
  <si>
    <t>Student 2025_01746</t>
  </si>
  <si>
    <t>REG-2025-01108</t>
  </si>
  <si>
    <t>Student 2025_01108</t>
  </si>
  <si>
    <t>REG-2025-00320</t>
  </si>
  <si>
    <t>Student 2025_00320</t>
  </si>
  <si>
    <t>REG-2025-00091</t>
  </si>
  <si>
    <t>Student 2025_00091</t>
  </si>
  <si>
    <t>REG-2025-00413</t>
  </si>
  <si>
    <t>Student 2025_00413</t>
  </si>
  <si>
    <t>REG-2025-00597</t>
  </si>
  <si>
    <t>Student 2025_00597</t>
  </si>
  <si>
    <t>REG-2025-00603</t>
  </si>
  <si>
    <t>Student 2025_00603</t>
  </si>
  <si>
    <t>REG-2025-00415</t>
  </si>
  <si>
    <t>Student 2025_00415</t>
  </si>
  <si>
    <t>REG-2025-00909</t>
  </si>
  <si>
    <t>Student 2025_00909</t>
  </si>
  <si>
    <t>REG-2025-00550</t>
  </si>
  <si>
    <t>Student 2025_00550</t>
  </si>
  <si>
    <t>REG-2025-00616</t>
  </si>
  <si>
    <t>Student 2025_00616</t>
  </si>
  <si>
    <t>REG-2025-00462</t>
  </si>
  <si>
    <t>Student 2025_00462</t>
  </si>
  <si>
    <t>REG-2025-01416</t>
  </si>
  <si>
    <t>Student 2025_01416</t>
  </si>
  <si>
    <t>REG-2025-00691</t>
  </si>
  <si>
    <t>Student 2025_00691</t>
  </si>
  <si>
    <t>REG-2025-00179</t>
  </si>
  <si>
    <t>Student 2025_00179</t>
  </si>
  <si>
    <t>REG-2025-00006</t>
  </si>
  <si>
    <t>Student 2025_00006</t>
  </si>
  <si>
    <t>REG-2025-00454</t>
  </si>
  <si>
    <t>Student 2025_00454</t>
  </si>
  <si>
    <t>REG-2025-00050</t>
  </si>
  <si>
    <t>Student 2025_00050</t>
  </si>
  <si>
    <t>REG-2025-01150</t>
  </si>
  <si>
    <t>Student 2025_01150</t>
  </si>
  <si>
    <t>REG-2025-00553</t>
  </si>
  <si>
    <t>Student 2025_00553</t>
  </si>
  <si>
    <t>REG-2025-00422</t>
  </si>
  <si>
    <t>Student 2025_00422</t>
  </si>
  <si>
    <t>REG-2025-00273</t>
  </si>
  <si>
    <t>Student 2025_00273</t>
  </si>
  <si>
    <t>REG-2025-00326</t>
  </si>
  <si>
    <t>Student 2025_00326</t>
  </si>
  <si>
    <t>REG-2025-00514</t>
  </si>
  <si>
    <t>Student 2025_00514</t>
  </si>
  <si>
    <t>REG-2025-01077</t>
  </si>
  <si>
    <t>Student 2025_01077</t>
  </si>
  <si>
    <t>REG-2025-00388</t>
  </si>
  <si>
    <t>Student 2025_00388</t>
  </si>
  <si>
    <t>REG-2025-01244</t>
  </si>
  <si>
    <t>Student 2025_01244</t>
  </si>
  <si>
    <t>REG-2025-01243</t>
  </si>
  <si>
    <t>Student 2025_01243</t>
  </si>
  <si>
    <t>REG-2025-01549</t>
  </si>
  <si>
    <t>Student 2025_01549</t>
  </si>
  <si>
    <t>REG-2025-01325</t>
  </si>
  <si>
    <t>Student 2025_01325</t>
  </si>
  <si>
    <t>REG-2025-01050</t>
  </si>
  <si>
    <t>Student 2025_01050</t>
  </si>
  <si>
    <t>REG-2025-01571</t>
  </si>
  <si>
    <t>Student 2025_01571</t>
  </si>
  <si>
    <t>REG-2025-00238</t>
  </si>
  <si>
    <t>Student 2025_00238</t>
  </si>
  <si>
    <t>REG-2025-00450</t>
  </si>
  <si>
    <t>Student 2025_00450</t>
  </si>
  <si>
    <t>REG-2025-00696</t>
  </si>
  <si>
    <t>Student 2025_00696</t>
  </si>
  <si>
    <t>REG-2025-01560</t>
  </si>
  <si>
    <t>Student 2025_01560</t>
  </si>
  <si>
    <t>REG-2025-01155</t>
  </si>
  <si>
    <t>Student 2025_01155</t>
  </si>
  <si>
    <t>REG-2025-00142</t>
  </si>
  <si>
    <t>Student 2025_00142</t>
  </si>
  <si>
    <t>REG-2025-01138</t>
  </si>
  <si>
    <t>Student 2025_01138</t>
  </si>
  <si>
    <t>REG-2025-01286</t>
  </si>
  <si>
    <t>Student 2025_01286</t>
  </si>
  <si>
    <t>REG-2025-01605</t>
  </si>
  <si>
    <t>Student 2025_01605</t>
  </si>
  <si>
    <t>REG-2025-01535</t>
  </si>
  <si>
    <t>Student 2025_01535</t>
  </si>
  <si>
    <t>REG-2025-00779</t>
  </si>
  <si>
    <t>Student 2025_00779</t>
  </si>
  <si>
    <t>REG-2025-00007</t>
  </si>
  <si>
    <t>Student 2025_00007</t>
  </si>
  <si>
    <t>REG-2025-01514</t>
  </si>
  <si>
    <t>Student 2025_01514</t>
  </si>
  <si>
    <t>REG-2025-01558</t>
  </si>
  <si>
    <t>Student 2025_01558</t>
  </si>
  <si>
    <t>REG-2025-00560</t>
  </si>
  <si>
    <t>Student 2025_00560</t>
  </si>
  <si>
    <t>REG-2025-00141</t>
  </si>
  <si>
    <t>Student 2025_00141</t>
  </si>
  <si>
    <t>REG-2025-00511</t>
  </si>
  <si>
    <t>Student 2025_00511</t>
  </si>
  <si>
    <t>REG-2025-01080</t>
  </si>
  <si>
    <t>Student 2025_01080</t>
  </si>
  <si>
    <t>REG-2025-01235</t>
  </si>
  <si>
    <t>Student 2025_01235</t>
  </si>
  <si>
    <t>REG-2025-00577</t>
  </si>
  <si>
    <t>Student 2025_00577</t>
  </si>
  <si>
    <t>REG-2025-01366</t>
  </si>
  <si>
    <t>Student 2025_01366</t>
  </si>
  <si>
    <t>REG-2025-00370</t>
  </si>
  <si>
    <t>Student 2025_00370</t>
  </si>
  <si>
    <t>REG-2025-00254</t>
  </si>
  <si>
    <t>Student 2025_00254</t>
  </si>
  <si>
    <t>REG-2025-00337</t>
  </si>
  <si>
    <t>Student 2025_00337</t>
  </si>
  <si>
    <t>REG-2025-01691</t>
  </si>
  <si>
    <t>Student 2025_01691</t>
  </si>
  <si>
    <t>REG-2025-00092</t>
  </si>
  <si>
    <t>Student 2025_00092</t>
  </si>
  <si>
    <t>REG-2025-00274</t>
  </si>
  <si>
    <t>Student 2025_00274</t>
  </si>
  <si>
    <t>REG-2025-00502</t>
  </si>
  <si>
    <t>Student 2025_00502</t>
  </si>
  <si>
    <t>REG-2025-00455</t>
  </si>
  <si>
    <t>Student 2025_00455</t>
  </si>
  <si>
    <t>REG-2025-00659</t>
  </si>
  <si>
    <t>Student 2025_00659</t>
  </si>
  <si>
    <t>REG-2025-00345</t>
  </si>
  <si>
    <t>Student 2025_00345</t>
  </si>
  <si>
    <t>REG-2025-00594</t>
  </si>
  <si>
    <t>Student 2025_00594</t>
  </si>
  <si>
    <t>GURUKUL GLOBAL SCHOOL</t>
  </si>
  <si>
    <t>REG-2025-00235</t>
  </si>
  <si>
    <t>Student 2025_00235</t>
  </si>
  <si>
    <t>REG-2025-00906</t>
  </si>
  <si>
    <t>Student 2025_00906</t>
  </si>
  <si>
    <t>REG-2025-01618</t>
  </si>
  <si>
    <t>Student 2025_01618</t>
  </si>
  <si>
    <t>REG-2025-01195</t>
  </si>
  <si>
    <t>Student 2025_01195</t>
  </si>
  <si>
    <t>REG-2025-01498</t>
  </si>
  <si>
    <t>Student 2025_01498</t>
  </si>
  <si>
    <t>REG-2025-01203</t>
  </si>
  <si>
    <t>Student 2025_01203</t>
  </si>
  <si>
    <t>REG-2025-00755</t>
  </si>
  <si>
    <t>Student 2025_00755</t>
  </si>
  <si>
    <t>REG-2025-00946</t>
  </si>
  <si>
    <t>Student 2025_00946</t>
  </si>
  <si>
    <t>REG-2025-01499</t>
  </si>
  <si>
    <t>Student 2025_01499</t>
  </si>
  <si>
    <t>REG-2025-00173</t>
  </si>
  <si>
    <t>Student 2025_00173</t>
  </si>
  <si>
    <t>REG-2025-01356</t>
  </si>
  <si>
    <t>Student 2025_01356</t>
  </si>
  <si>
    <t>REG-2025-01417</t>
  </si>
  <si>
    <t>Student 2025_01417</t>
  </si>
  <si>
    <t>REG-2025-00312</t>
  </si>
  <si>
    <t>Student 2025_00312</t>
  </si>
  <si>
    <t>REG-2025-00478</t>
  </si>
  <si>
    <t>Student 2025_00478</t>
  </si>
  <si>
    <t>REG-2025-00746</t>
  </si>
  <si>
    <t>Student 2025_00746</t>
  </si>
  <si>
    <t>REG-2025-00880</t>
  </si>
  <si>
    <t>Student 2025_00880</t>
  </si>
  <si>
    <t>REG-2025-00089</t>
  </si>
  <si>
    <t>Student 2025_00089</t>
  </si>
  <si>
    <t>REG-2025-01210</t>
  </si>
  <si>
    <t>Student 2025_01210</t>
  </si>
  <si>
    <t>REG-2025-01388</t>
  </si>
  <si>
    <t>Student 2025_01388</t>
  </si>
  <si>
    <t>REG-2025-01021</t>
  </si>
  <si>
    <t>Student 2025_01021</t>
  </si>
  <si>
    <t>REG-2025-00174</t>
  </si>
  <si>
    <t>Student 2025_00174</t>
  </si>
  <si>
    <t>REG-2025-00435</t>
  </si>
  <si>
    <t>Student 2025_00435</t>
  </si>
  <si>
    <t>REG-2025-00622</t>
  </si>
  <si>
    <t>Student 2025_00622</t>
  </si>
  <si>
    <t>REG-2025-00595</t>
  </si>
  <si>
    <t>Student 2025_00595</t>
  </si>
  <si>
    <t>REG-2025-01658</t>
  </si>
  <si>
    <t>Student 2025_01658</t>
  </si>
  <si>
    <t>REG-2025-01682</t>
  </si>
  <si>
    <t>Student 2025_01682</t>
  </si>
  <si>
    <t>REG-2025-00765</t>
  </si>
  <si>
    <t>Student 2025_00765</t>
  </si>
  <si>
    <t>REG-2025-00198</t>
  </si>
  <si>
    <t>Student 2025_00198</t>
  </si>
  <si>
    <t>REG-2025-01776</t>
  </si>
  <si>
    <t>Student 2025_01776</t>
  </si>
  <si>
    <t>REG-2025-00046</t>
  </si>
  <si>
    <t>Student 2025_00046</t>
  </si>
  <si>
    <t>REG-2025-01051</t>
  </si>
  <si>
    <t>Student 2025_01051</t>
  </si>
  <si>
    <t>REG-2025-01699</t>
  </si>
  <si>
    <t>Student 2025_01699</t>
  </si>
  <si>
    <t>REG-2025-00994</t>
  </si>
  <si>
    <t>Student 2025_00994</t>
  </si>
  <si>
    <t>REG-2025-00837</t>
  </si>
  <si>
    <t>Student 2025_00837</t>
  </si>
  <si>
    <t>REG-2025-00064</t>
  </si>
  <si>
    <t>Student 2025_00064</t>
  </si>
  <si>
    <t>REG-2025-01523</t>
  </si>
  <si>
    <t>Student 2025_01523</t>
  </si>
  <si>
    <t>REG-2025-00808</t>
  </si>
  <si>
    <t>Student 2025_00808</t>
  </si>
  <si>
    <t>REG-2025-01118</t>
  </si>
  <si>
    <t>Student 2025_01118</t>
  </si>
  <si>
    <t>REG-2025-00766</t>
  </si>
  <si>
    <t>Student 2025_00766</t>
  </si>
  <si>
    <t>REG-2025-01513</t>
  </si>
  <si>
    <t>Student 2025_01513</t>
  </si>
  <si>
    <t>REG-2025-01305</t>
  </si>
  <si>
    <t>Student 2025_01305</t>
  </si>
  <si>
    <t>REG-2025-01196</t>
  </si>
  <si>
    <t>Student 2025_01196</t>
  </si>
  <si>
    <t>REG-2025-00398</t>
  </si>
  <si>
    <t>Student 2025_00398</t>
  </si>
  <si>
    <t>REG-2025-00910</t>
  </si>
  <si>
    <t>Student 2025_00910</t>
  </si>
  <si>
    <t>REG-2025-00059</t>
  </si>
  <si>
    <t>Student 2025_00059</t>
  </si>
  <si>
    <t>REG-2025-00768</t>
  </si>
  <si>
    <t>Student 2025_00768</t>
  </si>
  <si>
    <t>REG-2025-00191</t>
  </si>
  <si>
    <t>Student 2025_00191</t>
  </si>
  <si>
    <t>REG-2025-00133</t>
  </si>
  <si>
    <t>Student 2025_00133</t>
  </si>
  <si>
    <t>REG-2025-01461</t>
  </si>
  <si>
    <t>Student 2025_01461</t>
  </si>
  <si>
    <t>REG-2025-00513</t>
  </si>
  <si>
    <t>Student 2025_00513</t>
  </si>
  <si>
    <t>REG-2025-01104</t>
  </si>
  <si>
    <t>Student 2025_01104</t>
  </si>
  <si>
    <t>REG-2025-01274</t>
  </si>
  <si>
    <t>Student 2025_01274</t>
  </si>
  <si>
    <t>REG-2025-01781</t>
  </si>
  <si>
    <t>Student 2025_01781</t>
  </si>
  <si>
    <t>REG-2025-00116</t>
  </si>
  <si>
    <t>Student 2025_00116</t>
  </si>
  <si>
    <t>REG-2025-00811</t>
  </si>
  <si>
    <t>Student 2025_00811</t>
  </si>
  <si>
    <t>REG-2025-01270</t>
  </si>
  <si>
    <t>Student 2025_01270</t>
  </si>
  <si>
    <t>REG-2025-00390</t>
  </si>
  <si>
    <t>Student 2025_00390</t>
  </si>
  <si>
    <t>REG-2025-00645</t>
  </si>
  <si>
    <t>Student 2025_00645</t>
  </si>
  <si>
    <t>REG-2025-00771</t>
  </si>
  <si>
    <t>Student 2025_00771</t>
  </si>
  <si>
    <t>REG-2025-00866</t>
  </si>
  <si>
    <t>Student 2025_00866</t>
  </si>
  <si>
    <t>REG-2025-00924</t>
  </si>
  <si>
    <t>Student 2025_00924</t>
  </si>
  <si>
    <t>REG-2025-00933</t>
  </si>
  <si>
    <t>Student 2025_00933</t>
  </si>
  <si>
    <t>REG-2025-01777</t>
  </si>
  <si>
    <t>Student 2025_01777</t>
  </si>
  <si>
    <t>REG-2025-01482</t>
  </si>
  <si>
    <t>Student 2025_01482</t>
  </si>
  <si>
    <t>REG-2025-01239</t>
  </si>
  <si>
    <t>Student 2025_01239</t>
  </si>
  <si>
    <t>REG-2025-00468</t>
  </si>
  <si>
    <t>Student 2025_00468</t>
  </si>
  <si>
    <t>REG-2025-00286</t>
  </si>
  <si>
    <t>Student 2025_00286</t>
  </si>
  <si>
    <t>REG-2025-01070</t>
  </si>
  <si>
    <t>Student 2025_01070</t>
  </si>
  <si>
    <t>REG-2025-01579</t>
  </si>
  <si>
    <t>Student 2025_01579</t>
  </si>
  <si>
    <t>THE INDIAN HIGH SCHOOL</t>
  </si>
  <si>
    <t>REG-2025-00986</t>
  </si>
  <si>
    <t>Student 2025_00986</t>
  </si>
  <si>
    <t>GREENWOOD INTERNATIONAL SCHOOL</t>
  </si>
  <si>
    <t>REG-2025-00311</t>
  </si>
  <si>
    <t>Student 2025_00311</t>
  </si>
  <si>
    <t>REG-2025-01778</t>
  </si>
  <si>
    <t>Student 2025_01778</t>
  </si>
  <si>
    <t>REG-2025-01308</t>
  </si>
  <si>
    <t>Student 2025_01308</t>
  </si>
  <si>
    <t>REG-2025-00144</t>
  </si>
  <si>
    <t>Student 2025_00144</t>
  </si>
  <si>
    <t>REG-2025-00201</t>
  </si>
  <si>
    <t>Student 2025_00201</t>
  </si>
  <si>
    <t>REG-2025-00859</t>
  </si>
  <si>
    <t>Student 2025_00859</t>
  </si>
  <si>
    <t>REG-2025-01287</t>
  </si>
  <si>
    <t>Student 2025_01287</t>
  </si>
  <si>
    <t>REG-2025-00834</t>
  </si>
  <si>
    <t>Intl. Mathematics Olympiad</t>
  </si>
  <si>
    <t>Student 2025_00834</t>
  </si>
  <si>
    <t>DELHI PUBLIC SCHOOL</t>
  </si>
  <si>
    <t>REG-2025-01478</t>
  </si>
  <si>
    <t>Student 2025_01478</t>
  </si>
  <si>
    <t>REG-2025-00379</t>
  </si>
  <si>
    <t>Student 2025_00379</t>
  </si>
  <si>
    <t>REG-2025-01598</t>
  </si>
  <si>
    <t>Student 2025_01598</t>
  </si>
  <si>
    <t>REG-2025-00070</t>
  </si>
  <si>
    <t>Student 2025_00070</t>
  </si>
  <si>
    <t>REG-2025-00995</t>
  </si>
  <si>
    <t>Student 2025_00995</t>
  </si>
  <si>
    <t>REG-2025-01179</t>
  </si>
  <si>
    <t>Student 2025_01179</t>
  </si>
  <si>
    <t>REG-2025-00247</t>
  </si>
  <si>
    <t>Student 2025_00247</t>
  </si>
  <si>
    <t>REG-2025-01631</t>
  </si>
  <si>
    <t>Student 2025_01631</t>
  </si>
  <si>
    <t>REG-2025-01046</t>
  </si>
  <si>
    <t>Student 2025_01046</t>
  </si>
  <si>
    <t>REG-2025-00687</t>
  </si>
  <si>
    <t>Student 2025_00687</t>
  </si>
  <si>
    <t>REG-2025-00662</t>
  </si>
  <si>
    <t>Student 2025_00662</t>
  </si>
  <si>
    <t>REG-2025-01227</t>
  </si>
  <si>
    <t>Student 2025_01227</t>
  </si>
  <si>
    <t>REG-2025-00984</t>
  </si>
  <si>
    <t>Student 2025_00984</t>
  </si>
  <si>
    <t>REG-2025-01355</t>
  </si>
  <si>
    <t>Student 2025_01355</t>
  </si>
  <si>
    <t>REG-2025-01074</t>
  </si>
  <si>
    <t>Student 2025_01074</t>
  </si>
  <si>
    <t>REG-2025-00420</t>
  </si>
  <si>
    <t>Student 2025_00420</t>
  </si>
  <si>
    <t>REG-2025-01184</t>
  </si>
  <si>
    <t>Student 2025_01184</t>
  </si>
  <si>
    <t>REG-2025-01427</t>
  </si>
  <si>
    <t>Student 2025_01427</t>
  </si>
  <si>
    <t>REG-2025-01230</t>
  </si>
  <si>
    <t>Student 2025_01230</t>
  </si>
  <si>
    <t>REG-2025-01111</t>
  </si>
  <si>
    <t>Student 2025_01111</t>
  </si>
  <si>
    <t>REG-2025-00893</t>
  </si>
  <si>
    <t>Student 2025_00893</t>
  </si>
  <si>
    <t>REG-2025-01114</t>
  </si>
  <si>
    <t>Student 2025_01114</t>
  </si>
  <si>
    <t>REG-2025-00339</t>
  </si>
  <si>
    <t>Student 2025_00339</t>
  </si>
  <si>
    <t>REG-2025-01657</t>
  </si>
  <si>
    <t>Student 2025_01657</t>
  </si>
  <si>
    <t>REG-2025-01232</t>
  </si>
  <si>
    <t>Student 2025_01232</t>
  </si>
  <si>
    <t>REG-2025-01617</t>
  </si>
  <si>
    <t>Student 2025_01617</t>
  </si>
  <si>
    <t>GLOBAL INDIAN INTERNATIONAL SCHOOL</t>
  </si>
  <si>
    <t>REG-2025-00414</t>
  </si>
  <si>
    <t>Student 2025_00414</t>
  </si>
  <si>
    <t>REG-2025-00896</t>
  </si>
  <si>
    <t>Student 2025_00896</t>
  </si>
  <si>
    <t>REG-2025-01403</t>
  </si>
  <si>
    <t>Student 2025_01403</t>
  </si>
  <si>
    <t>REG-2025-01793</t>
  </si>
  <si>
    <t>Student 2025_01793</t>
  </si>
  <si>
    <t>REG-2025-00333</t>
  </si>
  <si>
    <t>Student 2025_00333</t>
  </si>
  <si>
    <t>REG-2025-00604</t>
  </si>
  <si>
    <t>Student 2025_00604</t>
  </si>
  <si>
    <t>REG-2025-00271</t>
  </si>
  <si>
    <t>Student 2025_00271</t>
  </si>
  <si>
    <t>REG-2025-00290</t>
  </si>
  <si>
    <t>Student 2025_00290</t>
  </si>
  <si>
    <t>REG-2025-00032</t>
  </si>
  <si>
    <t>Student 2025_00032</t>
  </si>
  <si>
    <t>REG-2025-01468</t>
  </si>
  <si>
    <t>Student 2025_01468</t>
  </si>
  <si>
    <t>AMITY INTERNATIONAL SCHOOL</t>
  </si>
  <si>
    <t>REG-2025-00143</t>
  </si>
  <si>
    <t>Student 2025_00143</t>
  </si>
  <si>
    <t>REG-2025-00099</t>
  </si>
  <si>
    <t>Student 2025_00099</t>
  </si>
  <si>
    <t>REG-2025-01547</t>
  </si>
  <si>
    <t>Student 2025_01547</t>
  </si>
  <si>
    <t>REG-2025-00446</t>
  </si>
  <si>
    <t>Student 2025_00446</t>
  </si>
  <si>
    <t>REG-2025-01735</t>
  </si>
  <si>
    <t>Student 2025_01735</t>
  </si>
  <si>
    <t>REG-2025-00165</t>
  </si>
  <si>
    <t>Student 2025_00165</t>
  </si>
  <si>
    <t>REG-2025-01609</t>
  </si>
  <si>
    <t>Student 2025_01609</t>
  </si>
  <si>
    <t>REG-2025-00714</t>
  </si>
  <si>
    <t>Student 2025_00714</t>
  </si>
  <si>
    <t>REG-2025-00646</t>
  </si>
  <si>
    <t>Student 2025_00646</t>
  </si>
  <si>
    <t>REG-2025-00529</t>
  </si>
  <si>
    <t>Student 2025_00529</t>
  </si>
  <si>
    <t>REG-2025-01534</t>
  </si>
  <si>
    <t>Student 2025_01534</t>
  </si>
  <si>
    <t>REG-2025-00344</t>
  </si>
  <si>
    <t>Student 2025_00344</t>
  </si>
  <si>
    <t>REG-2025-00253</t>
  </si>
  <si>
    <t>Student 2025_00253</t>
  </si>
  <si>
    <t>REG-2025-01292</t>
  </si>
  <si>
    <t>Student 2025_01292</t>
  </si>
  <si>
    <t>REG-2025-00108</t>
  </si>
  <si>
    <t>Student 2025_00108</t>
  </si>
  <si>
    <t>REG-2025-01103</t>
  </si>
  <si>
    <t>Student 2025_01103</t>
  </si>
  <si>
    <t>REG-2025-01563</t>
  </si>
  <si>
    <t>Student 2025_01563</t>
  </si>
  <si>
    <t>REG-2025-00237</t>
  </si>
  <si>
    <t>Student 2025_00237</t>
  </si>
  <si>
    <t>REG-2025-01391</t>
  </si>
  <si>
    <t>Student 2025_01391</t>
  </si>
  <si>
    <t>REG-2025-00854</t>
  </si>
  <si>
    <t>Student 2025_00854</t>
  </si>
  <si>
    <t>REG-2025-00195</t>
  </si>
  <si>
    <t>Student 2025_00195</t>
  </si>
  <si>
    <t>REG-2025-01587</t>
  </si>
  <si>
    <t>Student 2025_01587</t>
  </si>
  <si>
    <t>REG-2025-01569</t>
  </si>
  <si>
    <t>Student 2025_01569</t>
  </si>
  <si>
    <t>REG-2025-00587</t>
  </si>
  <si>
    <t>Student 2025_00587</t>
  </si>
  <si>
    <t>REG-2025-01343</t>
  </si>
  <si>
    <t>Student 2025_01343</t>
  </si>
  <si>
    <t>REG-2025-01358</t>
  </si>
  <si>
    <t>Student 2025_01358</t>
  </si>
  <si>
    <t>REG-2025-00241</t>
  </si>
  <si>
    <t>Student 2025_00241</t>
  </si>
  <si>
    <t>REG-2025-00055</t>
  </si>
  <si>
    <t>Student 2025_00055</t>
  </si>
  <si>
    <t>REG-2025-00935</t>
  </si>
  <si>
    <t>Student 2025_00935</t>
  </si>
  <si>
    <t>REG-2025-00564</t>
  </si>
  <si>
    <t>Student 2025_00564</t>
  </si>
  <si>
    <t>REG-2025-00496</t>
  </si>
  <si>
    <t>Student 2025_00496</t>
  </si>
  <si>
    <t>REG-2025-01692</t>
  </si>
  <si>
    <t>Student 2025_01692</t>
  </si>
  <si>
    <t>REG-2025-00396</t>
  </si>
  <si>
    <t>Student 2025_00396</t>
  </si>
  <si>
    <t>REG-2025-00977</t>
  </si>
  <si>
    <t>Student 2025_00977</t>
  </si>
  <si>
    <t>REG-2025-00209</t>
  </si>
  <si>
    <t>Student 2025_00209</t>
  </si>
  <si>
    <t>REG-2025-01424</t>
  </si>
  <si>
    <t>Student 2025_01424</t>
  </si>
  <si>
    <t>REG-2025-01363</t>
  </si>
  <si>
    <t>Student 2025_01363</t>
  </si>
  <si>
    <t>REG-2025-00489</t>
  </si>
  <si>
    <t>Student 2025_00489</t>
  </si>
  <si>
    <t>REG-2025-01701</t>
  </si>
  <si>
    <t>Student 2025_01701</t>
  </si>
  <si>
    <t>REG-2025-01782</t>
  </si>
  <si>
    <t>Student 2025_01782</t>
  </si>
  <si>
    <t>REG-2025-01537</t>
  </si>
  <si>
    <t>Student 2025_01537</t>
  </si>
  <si>
    <t>REG-2025-01515</t>
  </si>
  <si>
    <t>Student 2025_01515</t>
  </si>
  <si>
    <t>REG-2025-00154</t>
  </si>
  <si>
    <t>Student 2025_00154</t>
  </si>
  <si>
    <t>REG-2025-00964</t>
  </si>
  <si>
    <t>Student 2025_00964</t>
  </si>
  <si>
    <t>REG-2025-01394</t>
  </si>
  <si>
    <t>Student 2025_01394</t>
  </si>
  <si>
    <t>REG-2025-01763</t>
  </si>
  <si>
    <t>Student 2025_01763</t>
  </si>
  <si>
    <t>REG-2025-00281</t>
  </si>
  <si>
    <t>Student 2025_00281</t>
  </si>
  <si>
    <t>REG-2025-00715</t>
  </si>
  <si>
    <t>Student 2025_00715</t>
  </si>
  <si>
    <t>REG-2025-00062</t>
  </si>
  <si>
    <t>Student 2025_00062</t>
  </si>
  <si>
    <t>REG-2025-00225</t>
  </si>
  <si>
    <t>Student 2025_00225</t>
  </si>
  <si>
    <t>REG-2025-00762</t>
  </si>
  <si>
    <t>Student 2025_00762</t>
  </si>
  <si>
    <t>REG-2025-01216</t>
  </si>
  <si>
    <t>Student 2025_01216</t>
  </si>
  <si>
    <t>REG-2025-00162</t>
  </si>
  <si>
    <t>Student 2025_00162</t>
  </si>
  <si>
    <t>GEMS MODERN ACADEMY</t>
  </si>
  <si>
    <t>REG-2025-00809</t>
  </si>
  <si>
    <t>Student 2025_00809</t>
  </si>
  <si>
    <t>REG-2025-00268</t>
  </si>
  <si>
    <t>Student 2025_00268</t>
  </si>
  <si>
    <t>REG-2025-00391</t>
  </si>
  <si>
    <t>Student 2025_00391</t>
  </si>
  <si>
    <t>REG-2025-00814</t>
  </si>
  <si>
    <t>Student 2025_00814</t>
  </si>
  <si>
    <t>REG-2025-00670</t>
  </si>
  <si>
    <t>Student 2025_00670</t>
  </si>
  <si>
    <t>REG-2025-01570</t>
  </si>
  <si>
    <t>Student 2025_01570</t>
  </si>
  <si>
    <t>REG-2025-01215</t>
  </si>
  <si>
    <t>Student 2025_01215</t>
  </si>
  <si>
    <t>REG-2025-01748</t>
  </si>
  <si>
    <t>Student 2025_01748</t>
  </si>
  <si>
    <t>REG-2025-00566</t>
  </si>
  <si>
    <t>Student 2025_00566</t>
  </si>
  <si>
    <t>REG-2025-00700</t>
  </si>
  <si>
    <t>Student 2025_00700</t>
  </si>
  <si>
    <t>REG-2025-00276</t>
  </si>
  <si>
    <t>Student 2025_00276</t>
  </si>
  <si>
    <t>REG-2025-01575</t>
  </si>
  <si>
    <t>Student 2025_01575</t>
  </si>
  <si>
    <t>REG-2025-00126</t>
  </si>
  <si>
    <t>Student 2025_00126</t>
  </si>
  <si>
    <t>REG-2025-00829</t>
  </si>
  <si>
    <t>Student 2025_00829</t>
  </si>
  <si>
    <t>REG-2025-00109</t>
  </si>
  <si>
    <t>Student 2025_00109</t>
  </si>
  <si>
    <t>REG-2025-00361</t>
  </si>
  <si>
    <t>Student 2025_00361</t>
  </si>
  <si>
    <t>REG-2025-01578</t>
  </si>
  <si>
    <t>Student 2025_01578</t>
  </si>
  <si>
    <t>REG-2025-00013</t>
  </si>
  <si>
    <t>Student 2025_00013</t>
  </si>
  <si>
    <t>REG-2025-00584</t>
  </si>
  <si>
    <t>Student 2025_00584</t>
  </si>
  <si>
    <t>REG-2025-01282</t>
  </si>
  <si>
    <t>Student 2025_01282</t>
  </si>
  <si>
    <t>REG-2025-00937</t>
  </si>
  <si>
    <t>Student 2025_00937</t>
  </si>
  <si>
    <t>REG-2025-01294</t>
  </si>
  <si>
    <t>Student 2025_01294</t>
  </si>
  <si>
    <t>REG-2025-00102</t>
  </si>
  <si>
    <t>Student 2025_00102</t>
  </si>
  <si>
    <t>REG-2025-01629</t>
  </si>
  <si>
    <t>Student 2025_01629</t>
  </si>
  <si>
    <t>REG-2025-00044</t>
  </si>
  <si>
    <t>Student 2025_00044</t>
  </si>
  <si>
    <t>REG-2025-00845</t>
  </si>
  <si>
    <t>Student 2025_00845</t>
  </si>
  <si>
    <t>Delhi Intl. School</t>
  </si>
  <si>
    <t>REG-2025-01142</t>
  </si>
  <si>
    <t>Student 2025_01142</t>
  </si>
  <si>
    <t>REG-2025-00283</t>
  </si>
  <si>
    <t>Student 2025_00283</t>
  </si>
  <si>
    <t>REG-2025-00913</t>
  </si>
  <si>
    <t>Student 2025_00913</t>
  </si>
  <si>
    <t>REG-2025-00949</t>
  </si>
  <si>
    <t>Student 2025_00949</t>
  </si>
  <si>
    <t>REG-2025-00664</t>
  </si>
  <si>
    <t>Student 2025_00664</t>
  </si>
  <si>
    <t>REG-2025-00830</t>
  </si>
  <si>
    <t>Student 2025_00830</t>
  </si>
  <si>
    <t>REG-2025-01044</t>
  </si>
  <si>
    <t>Student 2025_01044</t>
  </si>
  <si>
    <t>REG-2025-00772</t>
  </si>
  <si>
    <t>Student 2025_00772</t>
  </si>
  <si>
    <t>REG-2025-01324</t>
  </si>
  <si>
    <t>Student 2025_01324</t>
  </si>
  <si>
    <t>REG-2025-00367</t>
  </si>
  <si>
    <t>Student 2025_00367</t>
  </si>
  <si>
    <t>REG-2025-01791</t>
  </si>
  <si>
    <t>Student 2025_01791</t>
  </si>
  <si>
    <t>REG-2025-01347</t>
  </si>
  <si>
    <t>Student 2025_01347</t>
  </si>
  <si>
    <t>REG-2025-00886</t>
  </si>
  <si>
    <t>Student 2025_00886</t>
  </si>
  <si>
    <t>REG-2025-00983</t>
  </si>
  <si>
    <t>Student 2025_00983</t>
  </si>
  <si>
    <t>REG-2025-01233</t>
  </si>
  <si>
    <t>Student 2025_01233</t>
  </si>
  <si>
    <t>REG-2025-01797</t>
  </si>
  <si>
    <t>Student 2025_01797</t>
  </si>
  <si>
    <t>REG-2025-01577</t>
  </si>
  <si>
    <t>Student 2025_01577</t>
  </si>
  <si>
    <t>REG-2025-00240</t>
  </si>
  <si>
    <t>Student 2025_00240</t>
  </si>
  <si>
    <t>REG-2025-00215</t>
  </si>
  <si>
    <t>Student 2025_00215</t>
  </si>
  <si>
    <t>REG-2025-00536</t>
  </si>
  <si>
    <t>Student 2025_00536</t>
  </si>
  <si>
    <t>REG-2025-00008</t>
  </si>
  <si>
    <t>Student 2025_00008</t>
  </si>
  <si>
    <t>REG-2025-01170</t>
  </si>
  <si>
    <t>Student 2025_01170</t>
  </si>
  <si>
    <t>REG-2025-01385</t>
  </si>
  <si>
    <t>Student 2025_01385</t>
  </si>
  <si>
    <t>REG-2025-00904</t>
  </si>
  <si>
    <t>Student 2025_00904</t>
  </si>
  <si>
    <t>REG-2025-00098</t>
  </si>
  <si>
    <t>Student 2025_00098</t>
  </si>
  <si>
    <t>REG-2025-01438</t>
  </si>
  <si>
    <t>Student 2025_01438</t>
  </si>
  <si>
    <t>REG-2025-00731</t>
  </si>
  <si>
    <t>Student 2025_00731</t>
  </si>
  <si>
    <t>REG-2025-01710</t>
  </si>
  <si>
    <t>Student 2025_01710</t>
  </si>
  <si>
    <t>REG-2025-00444</t>
  </si>
  <si>
    <t>Student 2025_00444</t>
  </si>
  <si>
    <t>REG-2025-00167</t>
  </si>
  <si>
    <t>Student 2025_00167</t>
  </si>
  <si>
    <t>REG-2025-00758</t>
  </si>
  <si>
    <t>Student 2025_00758</t>
  </si>
  <si>
    <t>REG-2025-01010</t>
  </si>
  <si>
    <t>Student 2025_01010</t>
  </si>
  <si>
    <t>REG-2025-00024</t>
  </si>
  <si>
    <t>Student 2025_00024</t>
  </si>
  <si>
    <t>REG-2025-00930</t>
  </si>
  <si>
    <t>Student 2025_00930</t>
  </si>
  <si>
    <t>REG-2025-00847</t>
  </si>
  <si>
    <t>Student 2025_00847</t>
  </si>
  <si>
    <t>REG-2025-00936</t>
  </si>
  <si>
    <t>Student 2025_00936</t>
  </si>
  <si>
    <t>REG-2025-00194</t>
  </si>
  <si>
    <t>Student 2025_00194</t>
  </si>
  <si>
    <t>REG-2025-01624</t>
  </si>
  <si>
    <t>Student 2025_01624</t>
  </si>
  <si>
    <t>REG-2025-00245</t>
  </si>
  <si>
    <t>Student 2025_00245</t>
  </si>
  <si>
    <t>REG-2025-00941</t>
  </si>
  <si>
    <t>Student 2025_00941</t>
  </si>
  <si>
    <t>REG-2025-00683</t>
  </si>
  <si>
    <t>Student 2025_00683</t>
  </si>
  <si>
    <t>REG-2025-01022</t>
  </si>
  <si>
    <t>Student 2025_01022</t>
  </si>
  <si>
    <t>REG-2025-01206</t>
  </si>
  <si>
    <t>Student 2025_01206</t>
  </si>
  <si>
    <t>REG-2025-01602</t>
  </si>
  <si>
    <t>Student 2025_01602</t>
  </si>
  <si>
    <t>REG-2025-00767</t>
  </si>
  <si>
    <t>Intl. School Olympiad</t>
  </si>
  <si>
    <t>Student 2025_00767</t>
  </si>
  <si>
    <t>REG-2025-01774</t>
  </si>
  <si>
    <t>Student 2025_01774</t>
  </si>
  <si>
    <t>REG-2025-00183</t>
  </si>
  <si>
    <t>Student 2025_00183</t>
  </si>
  <si>
    <t>REG-2025-01437</t>
  </si>
  <si>
    <t>Student 2025_01437</t>
  </si>
  <si>
    <t>REG-2025-00440</t>
  </si>
  <si>
    <t>Student 2025_00440</t>
  </si>
  <si>
    <t>REG-2025-01458</t>
  </si>
  <si>
    <t>Student 2025_01458</t>
  </si>
  <si>
    <t>REG-2025-00287</t>
  </si>
  <si>
    <t>Student 2025_00287</t>
  </si>
  <si>
    <t>REG-2025-01627</t>
  </si>
  <si>
    <t>Student 2025_01627</t>
  </si>
  <si>
    <t>REG-2025-01517</t>
  </si>
  <si>
    <t>Student 2025_01517</t>
  </si>
  <si>
    <t>REG-2025-00730</t>
  </si>
  <si>
    <t>Student 2025_00730</t>
  </si>
  <si>
    <t>REG-2025-01246</t>
  </si>
  <si>
    <t>Student 2025_01246</t>
  </si>
  <si>
    <t>REG-2025-01136</t>
  </si>
  <si>
    <t>Student 2025_01136</t>
  </si>
  <si>
    <t>REG-2025-01082</t>
  </si>
  <si>
    <t>Student 2025_01082</t>
  </si>
  <si>
    <t>REG-2025-00205</t>
  </si>
  <si>
    <t>Student 2025_00205</t>
  </si>
  <si>
    <t>REG-2025-00976</t>
  </si>
  <si>
    <t>Student 2025_00976</t>
  </si>
  <si>
    <t>REG-2025-01652</t>
  </si>
  <si>
    <t>Student 2025_01652</t>
  </si>
  <si>
    <t>REG-2025-00667</t>
  </si>
  <si>
    <t>Student 2025_00667</t>
  </si>
  <si>
    <t>REG-2025-01721</t>
  </si>
  <si>
    <t>Student 2025_01721</t>
  </si>
  <si>
    <t>REG-2025-01247</t>
  </si>
  <si>
    <t>Student 2025_01247</t>
  </si>
  <si>
    <t>REG-2025-00580</t>
  </si>
  <si>
    <t>Student 2025_00580</t>
  </si>
  <si>
    <t>REG-2025-01281</t>
  </si>
  <si>
    <t>Student 2025_01281</t>
  </si>
  <si>
    <t>REG-2025-00125</t>
  </si>
  <si>
    <t>Student 2025_00125</t>
  </si>
  <si>
    <t>REG-2025-01320</t>
  </si>
  <si>
    <t>Student 2025_01320</t>
  </si>
  <si>
    <t>REG-2025-01714</t>
  </si>
  <si>
    <t>Student 2025_01714</t>
  </si>
  <si>
    <t>REG-2025-00158</t>
  </si>
  <si>
    <t>Student 2025_00158</t>
  </si>
  <si>
    <t>REG-2025-01390</t>
  </si>
  <si>
    <t>Student 2025_01390</t>
  </si>
  <si>
    <t>REG-2025-00218</t>
  </si>
  <si>
    <t>Student 2025_00218</t>
  </si>
  <si>
    <t>REG-2025-01029</t>
  </si>
  <si>
    <t>Student 2025_01029</t>
  </si>
  <si>
    <t>REG-2025-00442</t>
  </si>
  <si>
    <t>Student 2025_00442</t>
  </si>
  <si>
    <t>REG-2025-00527</t>
  </si>
  <si>
    <t>Student 2025_00527</t>
  </si>
  <si>
    <t>REG-2025-01591</t>
  </si>
  <si>
    <t>Student 2025_01591</t>
  </si>
  <si>
    <t>REG-2025-00840</t>
  </si>
  <si>
    <t>Student 2025_00840</t>
  </si>
  <si>
    <t>REG-2025-00336</t>
  </si>
  <si>
    <t>Student 2025_00336</t>
  </si>
  <si>
    <t>REG-2025-00955</t>
  </si>
  <si>
    <t>Student 2025_00955</t>
  </si>
  <si>
    <t>REG-2025-01086</t>
  </si>
  <si>
    <t>Student 2025_01086</t>
  </si>
  <si>
    <t>REG-2025-01098</t>
  </si>
  <si>
    <t>Student 2025_01098</t>
  </si>
  <si>
    <t>SUNRISE PUBLIC SCHOOL</t>
  </si>
  <si>
    <t>REG-2025-00030</t>
  </si>
  <si>
    <t>Student 2025_00030</t>
  </si>
  <si>
    <t>REG-2025-01296</t>
  </si>
  <si>
    <t>Student 2025_01296</t>
  </si>
  <si>
    <t>REG-2025-00188</t>
  </si>
  <si>
    <t>Student 2025_00188</t>
  </si>
  <si>
    <t>REG-2025-00528</t>
  </si>
  <si>
    <t>Student 2025_00528</t>
  </si>
  <si>
    <t>REG-2025-00911</t>
  </si>
  <si>
    <t>Student 2025_00911</t>
  </si>
  <si>
    <t>REG-2025-01597</t>
  </si>
  <si>
    <t>Student 2025_01597</t>
  </si>
  <si>
    <t>REG-2025-01377</t>
  </si>
  <si>
    <t>Student 2025_01377</t>
  </si>
  <si>
    <t>REG-2025-01642</t>
  </si>
  <si>
    <t>Student 2025_01642</t>
  </si>
  <si>
    <t>REG-2025-01401</t>
  </si>
  <si>
    <t>Student 2025_01401</t>
  </si>
  <si>
    <t>REG-2025-01630</t>
  </si>
  <si>
    <t>Student 2025_01630</t>
  </si>
  <si>
    <t>REG-2025-00777</t>
  </si>
  <si>
    <t>Student 2025_00777</t>
  </si>
  <si>
    <t>REG-2025-00437</t>
  </si>
  <si>
    <t>Student 2025_00437</t>
  </si>
  <si>
    <t>REG-2025-01272</t>
  </si>
  <si>
    <t>Student 2025_01272</t>
  </si>
  <si>
    <t>REG-2025-00971</t>
  </si>
  <si>
    <t>Student 2025_00971</t>
  </si>
  <si>
    <t>REG-2025-01435</t>
  </si>
  <si>
    <t>Student 2025_01435</t>
  </si>
  <si>
    <t>REG-2025-01651</t>
  </si>
  <si>
    <t>Student 2025_01651</t>
  </si>
  <si>
    <t>REG-2025-00781</t>
  </si>
  <si>
    <t>Student 2025_00781</t>
  </si>
  <si>
    <t>REG-2025-00101</t>
  </si>
  <si>
    <t>Student 2025_00101</t>
  </si>
  <si>
    <t>REG-2025-01423</t>
  </si>
  <si>
    <t>Student 2025_01423</t>
  </si>
  <si>
    <t>REG-2025-00328</t>
  </si>
  <si>
    <t>Student 2025_00328</t>
  </si>
  <si>
    <t>REG-2025-01659</t>
  </si>
  <si>
    <t>Student 2025_01659</t>
  </si>
  <si>
    <t>REG-2025-00049</t>
  </si>
  <si>
    <t>Student 2025_00049</t>
  </si>
  <si>
    <t>REG-2025-01076</t>
  </si>
  <si>
    <t>Student 2025_01076</t>
  </si>
  <si>
    <t>REG-2025-00119</t>
  </si>
  <si>
    <t>Student 2025_00119</t>
  </si>
  <si>
    <t>REG-2025-00170</t>
  </si>
  <si>
    <t>Student 2025_00170</t>
  </si>
  <si>
    <t>REG-2025-01707</t>
  </si>
  <si>
    <t>Student 2025_01707</t>
  </si>
  <si>
    <t>REG-2025-01105</t>
  </si>
  <si>
    <t>Student 2025_01105</t>
  </si>
  <si>
    <t>REG-2025-00292</t>
  </si>
  <si>
    <t>Student 2025_00292</t>
  </si>
  <si>
    <t>REG-2025-01612</t>
  </si>
  <si>
    <t>Student 2025_01612</t>
  </si>
  <si>
    <t>REG-2025-01434</t>
  </si>
  <si>
    <t>Student 2025_01434</t>
  </si>
  <si>
    <t>REG-2025-00515</t>
  </si>
  <si>
    <t>Student 2025_00515</t>
  </si>
  <si>
    <t>REG-2025-00291</t>
  </si>
  <si>
    <t>Student 2025_00291</t>
  </si>
  <si>
    <t>REG-2025-00608</t>
  </si>
  <si>
    <t>Student 2025_00608</t>
  </si>
  <si>
    <t>REG-2025-00186</t>
  </si>
  <si>
    <t>Student 2025_00186</t>
  </si>
  <si>
    <t>REG-2025-01193</t>
  </si>
  <si>
    <t>Student 2025_01193</t>
  </si>
  <si>
    <t>REG-2025-00495</t>
  </si>
  <si>
    <t>Student 2025_00495</t>
  </si>
  <si>
    <t>REG-2025-01586</t>
  </si>
  <si>
    <t>Student 2025_01586</t>
  </si>
  <si>
    <t>REG-2025-00380</t>
  </si>
  <si>
    <t>Student 2025_00380</t>
  </si>
  <si>
    <t>REG-2025-01132</t>
  </si>
  <si>
    <t>Student 2025_01132</t>
  </si>
  <si>
    <t>REG-2025-01368</t>
  </si>
  <si>
    <t>Student 2025_01368</t>
  </si>
  <si>
    <t>REG-2025-01168</t>
  </si>
  <si>
    <t>Student 2025_01168</t>
  </si>
  <si>
    <t>REG-2025-01371</t>
  </si>
  <si>
    <t>Student 2025_01371</t>
  </si>
  <si>
    <t>REG-2025-00484</t>
  </si>
  <si>
    <t>Student 2025_00484</t>
  </si>
  <si>
    <t>REG-2025-00100</t>
  </si>
  <si>
    <t>Student 2025_00100</t>
  </si>
  <si>
    <t>REG-2025-00697</t>
  </si>
  <si>
    <t>Student 2025_00697</t>
  </si>
  <si>
    <t>REG-2025-00607</t>
  </si>
  <si>
    <t>Student 2025_00607</t>
  </si>
  <si>
    <t>REG-2025-00902</t>
  </si>
  <si>
    <t>Student 2025_00902</t>
  </si>
  <si>
    <t>REG-2025-01369</t>
  </si>
  <si>
    <t>Student 2025_01369</t>
  </si>
  <si>
    <t>REG-2025-00873</t>
  </si>
  <si>
    <t>Student 2025_00873</t>
  </si>
  <si>
    <t>REG-2025-00956</t>
  </si>
  <si>
    <t>Student 2025_00956</t>
  </si>
  <si>
    <t>REG-2025-00753</t>
  </si>
  <si>
    <t>Student 2025_00753</t>
  </si>
  <si>
    <t>REG-2025-01686</t>
  </si>
  <si>
    <t>Student 2025_01686</t>
  </si>
  <si>
    <t>REG-2025-01685</t>
  </si>
  <si>
    <t>Student 2025_01685</t>
  </si>
  <si>
    <t>REG-2025-00770</t>
  </si>
  <si>
    <t>Student 2025_00770</t>
  </si>
  <si>
    <t>REG-2025-01290</t>
  </si>
  <si>
    <t>Student 2025_01290</t>
  </si>
  <si>
    <t>REG-2025-01477</t>
  </si>
  <si>
    <t>Student 2025_01477</t>
  </si>
  <si>
    <t>REG-2025-01506</t>
  </si>
  <si>
    <t>Student 2025_01506</t>
  </si>
  <si>
    <t>REG-2025-00295</t>
  </si>
  <si>
    <t>Student 2025_00295</t>
  </si>
  <si>
    <t>REG-2025-00153</t>
  </si>
  <si>
    <t>Student 2025_00153</t>
  </si>
  <si>
    <t>REG-2025-01121</t>
  </si>
  <si>
    <t>Student 2025_01121</t>
  </si>
  <si>
    <t>REG-2025-00693</t>
  </si>
  <si>
    <t>Student 2025_00693</t>
  </si>
  <si>
    <t>REG-2025-00821</t>
  </si>
  <si>
    <t>Student 2025_00821</t>
  </si>
  <si>
    <t>REG-2025-00962</t>
  </si>
  <si>
    <t>Student 2025_00962</t>
  </si>
  <si>
    <t>REG-2025-01677</t>
  </si>
  <si>
    <t>Student 2025_01677</t>
  </si>
  <si>
    <t>REG-2025-00136</t>
  </si>
  <si>
    <t>Student 2025_00136</t>
  </si>
  <si>
    <t>REG-2025-00472</t>
  </si>
  <si>
    <t>Student 2025_00472</t>
  </si>
  <si>
    <t>REG-2025-01018</t>
  </si>
  <si>
    <t>Student 2025_01018</t>
  </si>
  <si>
    <t>REG-2025-01421</t>
  </si>
  <si>
    <t>Student 2025_01421</t>
  </si>
  <si>
    <t>REG-2025-00947</t>
  </si>
  <si>
    <t>Student 2025_00947</t>
  </si>
  <si>
    <t>REG-2025-01145</t>
  </si>
  <si>
    <t>Student 2025_01145</t>
  </si>
  <si>
    <t>REG-2025-00860</t>
  </si>
  <si>
    <t>Student 2025_00860</t>
  </si>
  <si>
    <t>REG-2025-00952</t>
  </si>
  <si>
    <t>Student 2025_00952</t>
  </si>
  <si>
    <t>REG-2025-00734</t>
  </si>
  <si>
    <t>Student 2025_00734</t>
  </si>
  <si>
    <t>REG-2025-00448</t>
  </si>
  <si>
    <t>Student 2025_00448</t>
  </si>
  <si>
    <t>REG-2025-01567</t>
  </si>
  <si>
    <t>Student 2025_01567</t>
  </si>
  <si>
    <t>REG-2025-00392</t>
  </si>
  <si>
    <t>Student 2025_00392</t>
  </si>
  <si>
    <t>REG-2025-01039</t>
  </si>
  <si>
    <t>Student 2025_01039</t>
  </si>
  <si>
    <t>REG-2025-01480</t>
  </si>
  <si>
    <t>Student 2025_01480</t>
  </si>
  <si>
    <t>REG-2025-00155</t>
  </si>
  <si>
    <t>Student 2025_00155</t>
  </si>
  <si>
    <t>REG-2025-00315</t>
  </si>
  <si>
    <t>Student 2025_00315</t>
  </si>
  <si>
    <t>REG-2025-01197</t>
  </si>
  <si>
    <t>Student 2025_01197</t>
  </si>
  <si>
    <t>REG-2025-00280</t>
  </si>
  <si>
    <t>Student 2025_00280</t>
  </si>
  <si>
    <t>REG-2025-00409</t>
  </si>
  <si>
    <t>Student 2025_00409</t>
  </si>
  <si>
    <t>REG-2025-00806</t>
  </si>
  <si>
    <t>Student 2025_00806</t>
  </si>
  <si>
    <t>REG-2025-01166</t>
  </si>
  <si>
    <t>Student 2025_01166</t>
  </si>
  <si>
    <t>REG-2025-01240</t>
  </si>
  <si>
    <t>Student 2025_01240</t>
  </si>
  <si>
    <t>REG-2025-01572</t>
  </si>
  <si>
    <t>Student 2025_01572</t>
  </si>
  <si>
    <t>REG-2025-00015</t>
  </si>
  <si>
    <t>Student 2025_00015</t>
  </si>
  <si>
    <t>REG-2025-01329</t>
  </si>
  <si>
    <t>Student 2025_01329</t>
  </si>
  <si>
    <t>REG-2025-01359</t>
  </si>
  <si>
    <t>Student 2025_01359</t>
  </si>
  <si>
    <t>REG-2025-00572</t>
  </si>
  <si>
    <t>Student 2025_00572</t>
  </si>
  <si>
    <t>REG-2025-01177</t>
  </si>
  <si>
    <t>Student 2025_01177</t>
  </si>
  <si>
    <t>REG-2025-00726</t>
  </si>
  <si>
    <t>Student 2025_00726</t>
  </si>
  <si>
    <t>REG-2025-01639</t>
  </si>
  <si>
    <t>Student 2025_01639</t>
  </si>
  <si>
    <t>REG-2025-01207</t>
  </si>
  <si>
    <t>Student 2025_01207</t>
  </si>
  <si>
    <t>REG-2025-01463</t>
  </si>
  <si>
    <t>Student 2025_01463</t>
  </si>
  <si>
    <t>REG-2025-00094</t>
  </si>
  <si>
    <t>Student 2025_00094</t>
  </si>
  <si>
    <t>REG-2025-01302</t>
  </si>
  <si>
    <t>Student 2025_01302</t>
  </si>
  <si>
    <t>REG-2025-01188</t>
  </si>
  <si>
    <t>Student 2025_01188</t>
  </si>
  <si>
    <t>REG-2025-00093</t>
  </si>
  <si>
    <t>Student 2025_00093</t>
  </si>
  <si>
    <t>REG-2025-00480</t>
  </si>
  <si>
    <t>Student 2025_00480</t>
  </si>
  <si>
    <t>REG-2025-01730</t>
  </si>
  <si>
    <t>Student 2025_01730</t>
  </si>
  <si>
    <t>REG-2025-00792</t>
  </si>
  <si>
    <t>Student 2025_00792</t>
  </si>
  <si>
    <t>REG-2025-01500</t>
  </si>
  <si>
    <t>Student 2025_01500</t>
  </si>
  <si>
    <t>REG-2025-01015</t>
  </si>
  <si>
    <t>Student 2025_01015</t>
  </si>
  <si>
    <t>REG-2025-01344</t>
  </si>
  <si>
    <t>Student 2025_01344</t>
  </si>
  <si>
    <t>REG-2025-00596</t>
  </si>
  <si>
    <t>Student 2025_00596</t>
  </si>
  <si>
    <t>REG-2025-01072</t>
  </si>
  <si>
    <t>Student 2025_01072</t>
  </si>
  <si>
    <t>REG-2025-00723</t>
  </si>
  <si>
    <t>Student 2025_00723</t>
  </si>
  <si>
    <t>REG-2025-00579</t>
  </si>
  <si>
    <t>Student 2025_00579</t>
  </si>
  <si>
    <t>REG-2025-00060</t>
  </si>
  <si>
    <t>Student 2025_00060</t>
  </si>
  <si>
    <t>REG-2025-01202</t>
  </si>
  <si>
    <t>Student 2025_01202</t>
  </si>
  <si>
    <t>REG-2025-01354</t>
  </si>
  <si>
    <t>Student 2025_01354</t>
  </si>
  <si>
    <t>REG-2025-00695</t>
  </si>
  <si>
    <t>Student 2025_00695</t>
  </si>
  <si>
    <t>REG-2025-00836</t>
  </si>
  <si>
    <t>Student 2025_00836</t>
  </si>
  <si>
    <t>REG-2025-01251</t>
  </si>
  <si>
    <t>Student 2025_01251</t>
  </si>
  <si>
    <t>REG-2025-00304</t>
  </si>
  <si>
    <t>Student 2025_00304</t>
  </si>
  <si>
    <t>REG-2025-01408</t>
  </si>
  <si>
    <t>Student 2025_01408</t>
  </si>
  <si>
    <t>REG-2025-00722</t>
  </si>
  <si>
    <t>Student 2025_00722</t>
  </si>
  <si>
    <t>REG-2025-00171</t>
  </si>
  <si>
    <t>Student 2025_00171</t>
  </si>
  <si>
    <t>REG-2025-01332</t>
  </si>
  <si>
    <t>Student 2025_01332</t>
  </si>
  <si>
    <t>REG-2025-00036</t>
  </si>
  <si>
    <t>Student 2025_00036</t>
  </si>
  <si>
    <t>REG-2025-01742</t>
  </si>
  <si>
    <t>Student 2025_01742</t>
  </si>
  <si>
    <t>REG-2025-01194</t>
  </si>
  <si>
    <t>Student 2025_01194</t>
  </si>
  <si>
    <t>REG-2025-00716</t>
  </si>
  <si>
    <t>Student 2025_00716</t>
  </si>
  <si>
    <t>REG-2025-00839</t>
  </si>
  <si>
    <t>Student 2025_00839</t>
  </si>
  <si>
    <t>REG-2025-01019</t>
  </si>
  <si>
    <t>Student 2025_01019</t>
  </si>
  <si>
    <t>REG-2025-00031</t>
  </si>
  <si>
    <t>Student 2025_00031</t>
  </si>
  <si>
    <t>REG-2025-00923</t>
  </si>
  <si>
    <t>Student 2025_00923</t>
  </si>
  <si>
    <t>REG-2025-01694</t>
  </si>
  <si>
    <t>Student 2025_01694</t>
  </si>
  <si>
    <t>REG-2025-00985</t>
  </si>
  <si>
    <t>Student 2025_00985</t>
  </si>
  <si>
    <t>REG-2025-01635</t>
  </si>
  <si>
    <t>Student 2025_01635</t>
  </si>
  <si>
    <t>REG-2025-01337</t>
  </si>
  <si>
    <t>Student 2025_01337</t>
  </si>
  <si>
    <t>REG-2025-00533</t>
  </si>
  <si>
    <t>Student 2025_00533</t>
  </si>
  <si>
    <t>REG-2025-00021</t>
  </si>
  <si>
    <t>Student 2025_00021</t>
  </si>
  <si>
    <t>REG-2025-01662</t>
  </si>
  <si>
    <t>Student 2025_01662</t>
  </si>
  <si>
    <t>REG-2025-00534</t>
  </si>
  <si>
    <t>Student 2025_00534</t>
  </si>
  <si>
    <t>REG-2025-01465</t>
  </si>
  <si>
    <t>Student 2025_01465</t>
  </si>
  <si>
    <t>REG-2025-01101</t>
  </si>
  <si>
    <t>Student 2025_01101</t>
  </si>
  <si>
    <t>REG-2025-00483</t>
  </si>
  <si>
    <t>Student 2025_00483</t>
  </si>
  <si>
    <t>REG-2025-00395</t>
  </si>
  <si>
    <t>Student 2025_00395</t>
  </si>
  <si>
    <t>REG-2025-00196</t>
  </si>
  <si>
    <t>Student 2025_00196</t>
  </si>
  <si>
    <t>REG-2025-01140</t>
  </si>
  <si>
    <t>Student 2025_01140</t>
  </si>
  <si>
    <t>REG-2025-01350</t>
  </si>
  <si>
    <t>Student 2025_01350</t>
  </si>
  <si>
    <t>REG-2025-00375</t>
  </si>
  <si>
    <t>Student 2025_00375</t>
  </si>
  <si>
    <t>REG-2025-00277</t>
  </si>
  <si>
    <t>Student 2025_00277</t>
  </si>
  <si>
    <t>REG-2025-01088</t>
  </si>
  <si>
    <t>Student 2025_01088</t>
  </si>
  <si>
    <t>REG-2025-00917</t>
  </si>
  <si>
    <t>Student 2025_00917</t>
  </si>
  <si>
    <t>REG-2025-00822</t>
  </si>
  <si>
    <t>Student 2025_00822</t>
  </si>
  <si>
    <t>REG-2025-00265</t>
  </si>
  <si>
    <t>Student 2025_00265</t>
  </si>
  <si>
    <t>REG-2025-01521</t>
  </si>
  <si>
    <t>Student 2025_01521</t>
  </si>
  <si>
    <t>REG-2025-01668</t>
  </si>
  <si>
    <t>Student 2025_01668</t>
  </si>
  <si>
    <t>REG-2025-01341</t>
  </si>
  <si>
    <t>Student 2025_01341</t>
  </si>
  <si>
    <t>REG-2025-00578</t>
  </si>
  <si>
    <t>Student 2025_00578</t>
  </si>
  <si>
    <t>REG-2025-00912</t>
  </si>
  <si>
    <t>Student 2025_00912</t>
  </si>
  <si>
    <t>REG-2025-00506</t>
  </si>
  <si>
    <t>Student 2025_00506</t>
  </si>
  <si>
    <t>REG-2025-00686</t>
  </si>
  <si>
    <t>Student 2025_00686</t>
  </si>
  <si>
    <t>REG-2025-00635</t>
  </si>
  <si>
    <t>Student 2025_00635</t>
  </si>
  <si>
    <t>REG-2025-00925</t>
  </si>
  <si>
    <t>Student 2025_00925</t>
  </si>
  <si>
    <t>REG-2025-00402</t>
  </si>
  <si>
    <t>Student 2025_00402</t>
  </si>
  <si>
    <t>REG-2025-00981</t>
  </si>
  <si>
    <t>Student 2025_00981</t>
  </si>
  <si>
    <t>REG-2025-00084</t>
  </si>
  <si>
    <t>Student 2025_00084</t>
  </si>
  <si>
    <t>REG-2025-01441</t>
  </si>
  <si>
    <t>Student 2025_01441</t>
  </si>
  <si>
    <t>REG-2025-00490</t>
  </si>
  <si>
    <t>Student 2025_00490</t>
  </si>
  <si>
    <t>REG-2025-01518</t>
  </si>
  <si>
    <t>Student 2025_01518</t>
  </si>
  <si>
    <t>REG-2025-01731</t>
  </si>
  <si>
    <t>Student 2025_01731</t>
  </si>
  <si>
    <t>REG-2025-00460</t>
  </si>
  <si>
    <t>Student 2025_00460</t>
  </si>
  <si>
    <t>Amity Intl. School</t>
  </si>
  <si>
    <t>REG-2025-01555</t>
  </si>
  <si>
    <t>Student 2025_01555</t>
  </si>
  <si>
    <t>REG-2025-00799</t>
  </si>
  <si>
    <t>Student 2025_00799</t>
  </si>
  <si>
    <t>REG-2025-01752</t>
  </si>
  <si>
    <t>Student 2025_01752</t>
  </si>
  <si>
    <t>REG-2025-00038</t>
  </si>
  <si>
    <t>Student 2025_00038</t>
  </si>
  <si>
    <t>REG-2025-00740</t>
  </si>
  <si>
    <t>Student 2025_00740</t>
  </si>
  <si>
    <t>REG-2025-00518</t>
  </si>
  <si>
    <t>Student 2025_00518</t>
  </si>
  <si>
    <t>REG-2025-00813</t>
  </si>
  <si>
    <t>Student 2025_00813</t>
  </si>
  <si>
    <t>REG-2025-01712</t>
  </si>
  <si>
    <t>Student 2025_01712</t>
  </si>
  <si>
    <t>REG-2025-01284</t>
  </si>
  <si>
    <t>Student 2025_01284</t>
  </si>
  <si>
    <t>REG-2025-00519</t>
  </si>
  <si>
    <t>Student 2025_00519</t>
  </si>
  <si>
    <t>REG-2025-01753</t>
  </si>
  <si>
    <t>Student 2025_01753</t>
  </si>
  <si>
    <t>REG-2025-00220</t>
  </si>
  <si>
    <t>Student 2025_00220</t>
  </si>
  <si>
    <t>REG-2025-01650</t>
  </si>
  <si>
    <t>Student 2025_01650</t>
  </si>
  <si>
    <t>REG-2025-00569</t>
  </si>
  <si>
    <t>Student 2025_00569</t>
  </si>
  <si>
    <t>REG-2025-01454</t>
  </si>
  <si>
    <t>Student 2025_01454</t>
  </si>
  <si>
    <t>REG-2025-01182</t>
  </si>
  <si>
    <t>Student 2025_01182</t>
  </si>
  <si>
    <t>REG-2025-01680</t>
  </si>
  <si>
    <t>Student 2025_01680</t>
  </si>
  <si>
    <t>REG-2025-00586</t>
  </si>
  <si>
    <t>Student 2025_00586</t>
  </si>
  <si>
    <t>REG-2025-01603</t>
  </si>
  <si>
    <t>Student 2025_01603</t>
  </si>
  <si>
    <t>REG-2025-01073</t>
  </si>
  <si>
    <t>Student 2025_01073</t>
  </si>
  <si>
    <t>REG-2025-00849</t>
  </si>
  <si>
    <t>Student 2025_00849</t>
  </si>
  <si>
    <t>REG-2025-01351</t>
  </si>
  <si>
    <t>Student 2025_01351</t>
  </si>
  <si>
    <t>REG-2025-01253</t>
  </si>
  <si>
    <t>Student 2025_01253</t>
  </si>
  <si>
    <t>REG-2025-01568</t>
  </si>
  <si>
    <t>Student 2025_01568</t>
  </si>
  <si>
    <t>REG-2025-00223</t>
  </si>
  <si>
    <t>Student 2025_00223</t>
  </si>
  <si>
    <t>REG-2025-01123</t>
  </si>
  <si>
    <t>Student 2025_01123</t>
  </si>
  <si>
    <t>REG-2025-00606</t>
  </si>
  <si>
    <t>Student 2025_00606</t>
  </si>
  <si>
    <t>REG-2025-00096</t>
  </si>
  <si>
    <t>Student 2025_00096</t>
  </si>
  <si>
    <t>REG-2025-01713</t>
  </si>
  <si>
    <t>Student 2025_01713</t>
  </si>
  <si>
    <t>REG-2025-01507</t>
  </si>
  <si>
    <t>Student 2025_01507</t>
  </si>
  <si>
    <t>REG-2025-00774</t>
  </si>
  <si>
    <t>Student 2025_00774</t>
  </si>
  <si>
    <t>REG-2025-00382</t>
  </si>
  <si>
    <t>Student 2025_00382</t>
  </si>
  <si>
    <t>REG-2025-00301</t>
  </si>
  <si>
    <t>Student 2025_00301</t>
  </si>
  <si>
    <t>REG-2025-00530</t>
  </si>
  <si>
    <t>Student 2025_00530</t>
  </si>
  <si>
    <t>REG-2025-01455</t>
  </si>
  <si>
    <t>Student 2025_01455</t>
  </si>
  <si>
    <t>REG-2025-00065</t>
  </si>
  <si>
    <t>Student 2025_00065</t>
  </si>
  <si>
    <t>REG-2025-00591</t>
  </si>
  <si>
    <t>Student 2025_00591</t>
  </si>
  <si>
    <t>REG-2025-01061</t>
  </si>
  <si>
    <t>Student 2025_01061</t>
  </si>
  <si>
    <t>REG-2025-00869</t>
  </si>
  <si>
    <t>Student 2025_00869</t>
  </si>
  <si>
    <t>REG-2025-00112</t>
  </si>
  <si>
    <t>Student 2025_00112</t>
  </si>
  <si>
    <t>REG-2025-01727</t>
  </si>
  <si>
    <t>Student 2025_01727</t>
  </si>
  <si>
    <t>REG-2025-00752</t>
  </si>
  <si>
    <t>Student 2025_00752</t>
  </si>
  <si>
    <t>REG-2025-01800</t>
  </si>
  <si>
    <t>Student 2025_01800</t>
  </si>
  <si>
    <t>REG-2025-01695</t>
  </si>
  <si>
    <t>Student 2025_01695</t>
  </si>
  <si>
    <t>REG-2025-00639</t>
  </si>
  <si>
    <t>Student 2025_00639</t>
  </si>
  <si>
    <t>REG-2025-00614</t>
  </si>
  <si>
    <t>Student 2025_00614</t>
  </si>
  <si>
    <t>REG-2025-01055</t>
  </si>
  <si>
    <t>Student 2025_01055</t>
  </si>
  <si>
    <t>REG-2025-00387</t>
  </si>
  <si>
    <t>Student 2025_00387</t>
  </si>
  <si>
    <t>REG-2025-01415</t>
  </si>
  <si>
    <t>Student 2025_01415</t>
  </si>
  <si>
    <t>REG-2025-01718</t>
  </si>
  <si>
    <t>Student 2025_01718</t>
  </si>
  <si>
    <t>REG-2025-00436</t>
  </si>
  <si>
    <t>Student 2025_00436</t>
  </si>
  <si>
    <t>REG-2025-00451</t>
  </si>
  <si>
    <t>Student 2025_00451</t>
  </si>
  <si>
    <t>REG-2025-00026</t>
  </si>
  <si>
    <t>Student 2025_00026</t>
  </si>
  <si>
    <t>REG-2025-01406</t>
  </si>
  <si>
    <t>Student 2025_01406</t>
  </si>
  <si>
    <t>REG-2025-00127</t>
  </si>
  <si>
    <t>Student 2025_00127</t>
  </si>
  <si>
    <t>REG-2025-00673</t>
  </si>
  <si>
    <t>Student 2025_00673</t>
  </si>
  <si>
    <t>REG-2025-00163</t>
  </si>
  <si>
    <t>Student 2025_00163</t>
  </si>
  <si>
    <t>REG-2025-00727</t>
  </si>
  <si>
    <t>Student 2025_00727</t>
  </si>
  <si>
    <t>REG-2025-00783</t>
  </si>
  <si>
    <t>Student 2025_00783</t>
  </si>
  <si>
    <t>REG-2025-00684</t>
  </si>
  <si>
    <t>Student 2025_00684</t>
  </si>
  <si>
    <t>REG-2025-00522</t>
  </si>
  <si>
    <t>Student 2025_00522</t>
  </si>
  <si>
    <t>REG-2025-00568</t>
  </si>
  <si>
    <t>Student 2025_00568</t>
  </si>
  <si>
    <t>REG-2025-01519</t>
  </si>
  <si>
    <t>Student 2025_01519</t>
  </si>
  <si>
    <t>REG-2025-00567</t>
  </si>
  <si>
    <t>Student 2025_00567</t>
  </si>
  <si>
    <t>REG-2025-01328</t>
  </si>
  <si>
    <t>Student 2025_01328</t>
  </si>
  <si>
    <t>REG-2025-01637</t>
  </si>
  <si>
    <t>Student 2025_01637</t>
  </si>
  <si>
    <t>REG-2025-00853</t>
  </si>
  <si>
    <t>Student 2025_00853</t>
  </si>
  <si>
    <t>REG-2025-01381</t>
  </si>
  <si>
    <t>Student 2025_01381</t>
  </si>
  <si>
    <t>REG-2025-01496</t>
  </si>
  <si>
    <t>Student 2025_01496</t>
  </si>
  <si>
    <t>REG-2025-00358</t>
  </si>
  <si>
    <t>Student 2025_00358</t>
  </si>
  <si>
    <t>REG-2025-00889</t>
  </si>
  <si>
    <t>Student 2025_00889</t>
  </si>
  <si>
    <t>REG-2025-00348</t>
  </si>
  <si>
    <t>Student 2025_00348</t>
  </si>
  <si>
    <t>REG-2025-00520</t>
  </si>
  <si>
    <t>Student 2025_00520</t>
  </si>
  <si>
    <t>REG-2025-00512</t>
  </si>
  <si>
    <t>Student 2025_00512</t>
  </si>
  <si>
    <t>REG-2025-01405</t>
  </si>
  <si>
    <t>Student 2025_01405</t>
  </si>
  <si>
    <t>REG-2025-01220</t>
  </si>
  <si>
    <t>Student 2025_01220</t>
  </si>
  <si>
    <t>REG-2025-00561</t>
  </si>
  <si>
    <t>Student 2025_00561</t>
  </si>
  <si>
    <t>REG-2025-01313</t>
  </si>
  <si>
    <t>Student 2025_01313</t>
  </si>
  <si>
    <t>REG-2025-00735</t>
  </si>
  <si>
    <t>Student 2025_00735</t>
  </si>
  <si>
    <t>REG-2025-01048</t>
  </si>
  <si>
    <t>Student 2025_01048</t>
  </si>
  <si>
    <t>REG-2025-00516</t>
  </si>
  <si>
    <t>Student 2025_00516</t>
  </si>
  <si>
    <t>REG-2025-00051</t>
  </si>
  <si>
    <t>Student 2025_00051</t>
  </si>
  <si>
    <t>REG-2025-01321</t>
  </si>
  <si>
    <t>Student 2025_01321</t>
  </si>
  <si>
    <t>REG-2025-00461</t>
  </si>
  <si>
    <t>Student 2025_00461</t>
  </si>
  <si>
    <t>Oakridge Intl. School</t>
  </si>
  <si>
    <t>REG-2025-01641</t>
  </si>
  <si>
    <t>Student 2025_01641</t>
  </si>
  <si>
    <t>REG-2025-00115</t>
  </si>
  <si>
    <t>Student 2025_00115</t>
  </si>
  <si>
    <t>REG-2025-00418</t>
  </si>
  <si>
    <t>Student 2025_00418</t>
  </si>
  <si>
    <t>REG-2025-00486</t>
  </si>
  <si>
    <t>Student 2025_00486</t>
  </si>
  <si>
    <t>REG-2025-01414</t>
  </si>
  <si>
    <t>Student 2025_01414</t>
  </si>
  <si>
    <t>REG-2025-00389</t>
  </si>
  <si>
    <t>Student 2025_00389</t>
  </si>
  <si>
    <t>REG-2025-00855</t>
  </si>
  <si>
    <t>Student 2025_00855</t>
  </si>
  <si>
    <t>REG-2025-00222</t>
  </si>
  <si>
    <t>Student 2025_00222</t>
  </si>
  <si>
    <t>REG-2025-01422</t>
  </si>
  <si>
    <t>Student 2025_01422</t>
  </si>
  <si>
    <t>REG-2025-00313</t>
  </si>
  <si>
    <t>Student 2025_00313</t>
  </si>
  <si>
    <t>REG-2025-01217</t>
  </si>
  <si>
    <t>Student 2025_01217</t>
  </si>
  <si>
    <t>REG-2025-01107</t>
  </si>
  <si>
    <t>Student 2025_01107</t>
  </si>
  <si>
    <t>REG-2025-01162</t>
  </si>
  <si>
    <t>Student 2025_01162</t>
  </si>
  <si>
    <t>REG-2025-00114</t>
  </si>
  <si>
    <t>Student 2025_00114</t>
  </si>
  <si>
    <t>REG-2025-00888</t>
  </si>
  <si>
    <t>Student 2025_00888</t>
  </si>
  <si>
    <t>REG-2025-01593</t>
  </si>
  <si>
    <t>Student 2025_01593</t>
  </si>
  <si>
    <t>REG-2025-01726</t>
  </si>
  <si>
    <t>Student 2025_01726</t>
  </si>
  <si>
    <t>REG-2025-01554</t>
  </si>
  <si>
    <t>Student 2025_01554</t>
  </si>
  <si>
    <t>REG-2025-01475</t>
  </si>
  <si>
    <t>Student 2025_01475</t>
  </si>
  <si>
    <t>REG-2025-00545</t>
  </si>
  <si>
    <t>Student 2025_00545</t>
  </si>
  <si>
    <t>REG-2025-00504</t>
  </si>
  <si>
    <t>Student 2025_00504</t>
  </si>
  <si>
    <t>REG-2025-01511</t>
  </si>
  <si>
    <t>Student 2025_01511</t>
  </si>
  <si>
    <t>REG-2025-00405</t>
  </si>
  <si>
    <t>Student 2025_00405</t>
  </si>
  <si>
    <t>REG-2025-00431</t>
  </si>
  <si>
    <t>Student 2025_00431</t>
  </si>
  <si>
    <t>REG-2025-01032</t>
  </si>
  <si>
    <t>Student 2025_01032</t>
  </si>
  <si>
    <t>REG-2025-00653</t>
  </si>
  <si>
    <t>Student 2025_00653</t>
  </si>
  <si>
    <t>REG-2025-00404</t>
  </si>
  <si>
    <t>Student 2025_00404</t>
  </si>
  <si>
    <t>REG-2025-00323</t>
  </si>
  <si>
    <t>Student 2025_00323</t>
  </si>
  <si>
    <t>REG-2025-00966</t>
  </si>
  <si>
    <t>Student 2025_00966</t>
  </si>
  <si>
    <t>REG-2025-00482</t>
  </si>
  <si>
    <t>Student 2025_00482</t>
  </si>
  <si>
    <t>REG-2025-01122</t>
  </si>
  <si>
    <t>Student 2025_01122</t>
  </si>
  <si>
    <t>REG-2025-00732</t>
  </si>
  <si>
    <t>Student 2025_00732</t>
  </si>
  <si>
    <t>REG-2025-01176</t>
  </si>
  <si>
    <t>Student 2025_01176</t>
  </si>
  <si>
    <t>REG-2025-01277</t>
  </si>
  <si>
    <t>Student 2025_01277</t>
  </si>
  <si>
    <t>REG-2025-00073</t>
  </si>
  <si>
    <t>Student 2025_00073</t>
  </si>
  <si>
    <t>REG-2025-00357</t>
  </si>
  <si>
    <t>Student 2025_00357</t>
  </si>
  <si>
    <t>REG-2025-00359</t>
  </si>
  <si>
    <t>Student 2025_00359</t>
  </si>
  <si>
    <t>REG-2025-01640</t>
  </si>
  <si>
    <t>Student 2025_01640</t>
  </si>
  <si>
    <t>REG-2025-00856</t>
  </si>
  <si>
    <t>Student 2025_00856</t>
  </si>
  <si>
    <t>REG-2025-01180</t>
  </si>
  <si>
    <t>Student 2025_01180</t>
  </si>
  <si>
    <t>REG-2025-01504</t>
  </si>
  <si>
    <t>Student 2025_01504</t>
  </si>
  <si>
    <t>REG-2025-00652</t>
  </si>
  <si>
    <t>Student 2025_00652</t>
  </si>
  <si>
    <t>REG-2025-00364</t>
  </si>
  <si>
    <t>Student 2025_00364</t>
  </si>
  <si>
    <t>REG-2025-01071</t>
  </si>
  <si>
    <t>Student 2025_01071</t>
  </si>
  <si>
    <t>REG-2025-01113</t>
  </si>
  <si>
    <t>Student 2025_01113</t>
  </si>
  <si>
    <t>REG-2025-01389</t>
  </si>
  <si>
    <t>Student 2025_01389</t>
  </si>
  <si>
    <t>REG-2025-01665</t>
  </si>
  <si>
    <t>Student 2025_01665</t>
  </si>
  <si>
    <t>REG-2025-00259</t>
  </si>
  <si>
    <t>Student 2025_00259</t>
  </si>
  <si>
    <t>REG-2025-00470</t>
  </si>
  <si>
    <t>Student 2025_00470</t>
  </si>
  <si>
    <t>REG-2025-00788</t>
  </si>
  <si>
    <t>Student 2025_00788</t>
  </si>
  <si>
    <t>REG-2025-01222</t>
  </si>
  <si>
    <t>Student 2025_01222</t>
  </si>
  <si>
    <t>REG-2025-01541</t>
  </si>
  <si>
    <t>Student 2025_01541</t>
  </si>
  <si>
    <t>REG-2025-01785</t>
  </si>
  <si>
    <t>Student 2025_01785</t>
  </si>
  <si>
    <t>REG-2025-00851</t>
  </si>
  <si>
    <t>Student 2025_00851</t>
  </si>
  <si>
    <t>REG-2025-01544</t>
  </si>
  <si>
    <t>Student 2025_01544</t>
  </si>
  <si>
    <t>REG-2025-00314</t>
  </si>
  <si>
    <t>Student 2025_00314</t>
  </si>
  <si>
    <t>REG-2025-00631</t>
  </si>
  <si>
    <t>Student 2025_00631</t>
  </si>
  <si>
    <t>REG-2025-01744</t>
  </si>
  <si>
    <t>Student 2025_01744</t>
  </si>
  <si>
    <t>REG-2025-01364</t>
  </si>
  <si>
    <t>Student 2025_01364</t>
  </si>
  <si>
    <t>REG-2025-01646</t>
  </si>
  <si>
    <t>Student 2025_01646</t>
  </si>
  <si>
    <t>REG-2025-01551</t>
  </si>
  <si>
    <t>Student 2025_01551</t>
  </si>
  <si>
    <t>REG-2025-00644</t>
  </si>
  <si>
    <t>Student 2025_00644</t>
  </si>
  <si>
    <t>THE MILLENNIUM SCHOOL</t>
  </si>
  <si>
    <t>REG-2025-01144</t>
  </si>
  <si>
    <t>Student 2025_01144</t>
  </si>
  <si>
    <t>REG-2025-00540</t>
  </si>
  <si>
    <t>Student 2025_00540</t>
  </si>
  <si>
    <t>REG-2025-00699</t>
  </si>
  <si>
    <t>Student 2025_00699</t>
  </si>
  <si>
    <t>REG-2025-00488</t>
  </si>
  <si>
    <t>Student 2025_00488</t>
  </si>
  <si>
    <t>REG-2025-00707</t>
  </si>
  <si>
    <t>Student 2025_00707</t>
  </si>
  <si>
    <t>REG-2025-01134</t>
  </si>
  <si>
    <t>Student 2025_01134</t>
  </si>
  <si>
    <t>REG-2025-01303</t>
  </si>
  <si>
    <t>Student 2025_01303</t>
  </si>
  <si>
    <t>REG-2025-00903</t>
  </si>
  <si>
    <t>Student 2025_00903</t>
  </si>
  <si>
    <t>REG-2025-00018</t>
  </si>
  <si>
    <t>Student 2025_00018</t>
  </si>
  <si>
    <t>REG-2025-00180</t>
  </si>
  <si>
    <t>Student 2025_00180</t>
  </si>
  <si>
    <t>REG-2025-01031</t>
  </si>
  <si>
    <t>Student 2025_01031</t>
  </si>
  <si>
    <t>REG-2025-00717</t>
  </si>
  <si>
    <t>Student 2025_00717</t>
  </si>
  <si>
    <t>REG-2025-00407</t>
  </si>
  <si>
    <t>Student 2025_00407</t>
  </si>
  <si>
    <t>REG-2025-00826</t>
  </si>
  <si>
    <t>Student 2025_00826</t>
  </si>
  <si>
    <t>REG-2025-01278</t>
  </si>
  <si>
    <t>Student 2025_01278</t>
  </si>
  <si>
    <t>REG-2025-01130</t>
  </si>
  <si>
    <t>Student 2025_01130</t>
  </si>
  <si>
    <t>REG-2025-00712</t>
  </si>
  <si>
    <t>Student 2025_00712</t>
  </si>
  <si>
    <t>REG-2025-00943</t>
  </si>
  <si>
    <t>Student 2025_00943</t>
  </si>
  <si>
    <t>REG-2025-00121</t>
  </si>
  <si>
    <t>Student 2025_00121</t>
  </si>
  <si>
    <t>REG-2025-01129</t>
  </si>
  <si>
    <t>Student 2025_01129</t>
  </si>
  <si>
    <t>REG-2025-00210</t>
  </si>
  <si>
    <t>Student 2025_00210</t>
  </si>
  <si>
    <t>REG-2025-00846</t>
  </si>
  <si>
    <t>Student 2025_00846</t>
  </si>
  <si>
    <t>REG-2025-00633</t>
  </si>
  <si>
    <t>Student 2025_00633</t>
  </si>
  <si>
    <t>REG-2025-00214</t>
  </si>
  <si>
    <t>Student 2025_00214</t>
  </si>
  <si>
    <t>REG-2025-00058</t>
  </si>
  <si>
    <t>Student 2025_00058</t>
  </si>
  <si>
    <t>REG-2025-01557</t>
  </si>
  <si>
    <t>Student 2025_01557</t>
  </si>
  <si>
    <t>REG-2025-00159</t>
  </si>
  <si>
    <t>Student 2025_00159</t>
  </si>
  <si>
    <t>REG-2025-00510</t>
  </si>
  <si>
    <t>Student 2025_00510</t>
  </si>
  <si>
    <t>REG-2025-00097</t>
  </si>
  <si>
    <t>Student 2025_00097</t>
  </si>
  <si>
    <t>REG-2025-01225</t>
  </si>
  <si>
    <t>Student 2025_01225</t>
  </si>
  <si>
    <t>REG-2025-00017</t>
  </si>
  <si>
    <t>Student 2025_00017</t>
  </si>
  <si>
    <t>REG-2025-00844</t>
  </si>
  <si>
    <t>Student 2025_00844</t>
  </si>
  <si>
    <t>REG-2025-00054</t>
  </si>
  <si>
    <t>Student 2025_00054</t>
  </si>
  <si>
    <t>REG-2025-00640</t>
  </si>
  <si>
    <t>Student 2025_00640</t>
  </si>
  <si>
    <t>REG-2025-00211</t>
  </si>
  <si>
    <t>Student 2025_00211</t>
  </si>
  <si>
    <t>REG-2025-01393</t>
  </si>
  <si>
    <t>Student 2025_01393</t>
  </si>
  <si>
    <t>REG-2025-00764</t>
  </si>
  <si>
    <t>Student 2025_00764</t>
  </si>
  <si>
    <t>REG-2025-00632</t>
  </si>
  <si>
    <t>Student 2025_00632</t>
  </si>
  <si>
    <t>REG-2025-01361</t>
  </si>
  <si>
    <t>Student 2025_01361</t>
  </si>
  <si>
    <t>REG-2025-01264</t>
  </si>
  <si>
    <t>Student 2025_01264</t>
  </si>
  <si>
    <t>REG-2025-01751</t>
  </si>
  <si>
    <t>Student 2025_01751</t>
  </si>
  <si>
    <t>REG-2025-01490</t>
  </si>
  <si>
    <t>Student 2025_01490</t>
  </si>
  <si>
    <t>REG-2025-00803</t>
  </si>
  <si>
    <t>Student 2025_00803</t>
  </si>
  <si>
    <t>REG-2025-01469</t>
  </si>
  <si>
    <t>Student 2025_01469</t>
  </si>
  <si>
    <t>REG-2025-01092</t>
  </si>
  <si>
    <t>Student 2025_01092</t>
  </si>
  <si>
    <t>REG-2025-00371</t>
  </si>
  <si>
    <t>Student 2025_00371</t>
  </si>
  <si>
    <t>REG-2025-00810</t>
  </si>
  <si>
    <t>Student 2025_00810</t>
  </si>
  <si>
    <t>REG-2025-01068</t>
  </si>
  <si>
    <t>Student 2025_01068</t>
  </si>
  <si>
    <t>REG-2025-01467</t>
  </si>
  <si>
    <t>Student 2025_01467</t>
  </si>
  <si>
    <t>REG-2025-00493</t>
  </si>
  <si>
    <t>Student 2025_00493</t>
  </si>
  <si>
    <t>REG-2025-01431</t>
  </si>
  <si>
    <t>Student 2025_01431</t>
  </si>
  <si>
    <t>REG-2025-00975</t>
  </si>
  <si>
    <t>Student 2025_00975</t>
  </si>
  <si>
    <t>REG-2025-01175</t>
  </si>
  <si>
    <t>Student 2025_01175</t>
  </si>
  <si>
    <t>REG-2025-00047</t>
  </si>
  <si>
    <t>Student 2025_00047</t>
  </si>
  <si>
    <t>REG-2025-00661</t>
  </si>
  <si>
    <t>Student 2025_00661</t>
  </si>
  <si>
    <t>REG-2025-00424</t>
  </si>
  <si>
    <t>Student 2025_00424</t>
  </si>
  <si>
    <t>REG-2025-00071</t>
  </si>
  <si>
    <t>Student 2025_00071</t>
  </si>
  <si>
    <t>REG-2025-00009</t>
  </si>
  <si>
    <t>Student 2025_00009</t>
  </si>
  <si>
    <t>REG-2025-00219</t>
  </si>
  <si>
    <t>Student 2025_00219</t>
  </si>
  <si>
    <t>REG-2025-01299</t>
  </si>
  <si>
    <t>Student 2025_01299</t>
  </si>
  <si>
    <t>REG-2025-01006</t>
  </si>
  <si>
    <t>Student 2025_01006</t>
  </si>
  <si>
    <t>REG-2025-00583</t>
  </si>
  <si>
    <t>Student 2025_00583</t>
  </si>
  <si>
    <t>Global Indian Intl. School</t>
  </si>
  <si>
    <t>REG-2025-01339</t>
  </si>
  <si>
    <t>Student 2025_01339</t>
  </si>
  <si>
    <t>REG-2025-01607</t>
  </si>
  <si>
    <t>Student 2025_01607</t>
  </si>
  <si>
    <t>REG-2025-00086</t>
  </si>
  <si>
    <t>Student 2025_00086</t>
  </si>
  <si>
    <t>REG-2025-00945</t>
  </si>
  <si>
    <t>Student 2025_00945</t>
  </si>
  <si>
    <t>REG-2025-00678</t>
  </si>
  <si>
    <t>Student 2025_00678</t>
  </si>
  <si>
    <t>REG-2025-01090</t>
  </si>
  <si>
    <t>Student 2025_01090</t>
  </si>
  <si>
    <t>REG-2025-00005</t>
  </si>
  <si>
    <t>Student 2025_00005</t>
  </si>
  <si>
    <t>REG-2025-01187</t>
  </si>
  <si>
    <t>Student 2025_01187</t>
  </si>
  <si>
    <t>REG-2025-00474</t>
  </si>
  <si>
    <t>Student 2025_00474</t>
  </si>
  <si>
    <t>REG-2025-01016</t>
  </si>
  <si>
    <t>Student 2025_01016</t>
  </si>
  <si>
    <t>REG-2025-00672</t>
  </si>
  <si>
    <t>Student 2025_00672</t>
  </si>
  <si>
    <t>REG-2025-01636</t>
  </si>
  <si>
    <t>Student 2025_01636</t>
  </si>
  <si>
    <t>REG-2025-00257</t>
  </si>
  <si>
    <t>Student 2025_00257</t>
  </si>
  <si>
    <t>REG-2025-01283</t>
  </si>
  <si>
    <t>Student 2025_01283</t>
  </si>
  <si>
    <t>REG-2025-01229</t>
  </si>
  <si>
    <t>Student 2025_01229</t>
  </si>
  <si>
    <t>REG-2025-01034</t>
  </si>
  <si>
    <t>Student 2025_01034</t>
  </si>
  <si>
    <t>REG-2025-01291</t>
  </si>
  <si>
    <t>Student 2025_01291</t>
  </si>
  <si>
    <t>REG-2025-01738</t>
  </si>
  <si>
    <t>Student 2025_01738</t>
  </si>
  <si>
    <t>REG-2025-01700</t>
  </si>
  <si>
    <t>Student 2025_01700</t>
  </si>
  <si>
    <t>REG-2025-01769</t>
  </si>
  <si>
    <t>Student 2025_01769</t>
  </si>
  <si>
    <t>REG-2025-01172</t>
  </si>
  <si>
    <t>Student 2025_01172</t>
  </si>
  <si>
    <t>REG-2025-00249</t>
  </si>
  <si>
    <t>Student 2025_00249</t>
  </si>
  <si>
    <t>REG-2025-01495</t>
  </si>
  <si>
    <t>Student 2025_01495</t>
  </si>
  <si>
    <t>REG-2025-00692</t>
  </si>
  <si>
    <t>Student 2025_00692</t>
  </si>
  <si>
    <t>REG-2025-00010</t>
  </si>
  <si>
    <t>Student 2025_00010</t>
  </si>
  <si>
    <t>REG-2025-01384</t>
  </si>
  <si>
    <t>Student 2025_01384</t>
  </si>
  <si>
    <t>REG-2025-00950</t>
  </si>
  <si>
    <t>Student 2025_00950</t>
  </si>
  <si>
    <t>REG-2025-00439</t>
  </si>
  <si>
    <t>Student 2025_00439</t>
  </si>
  <si>
    <t>REG-2025-00002</t>
  </si>
  <si>
    <t>Student 2025_00002</t>
  </si>
  <si>
    <t>REG-2025-00776</t>
  </si>
  <si>
    <t>Student 2025_00776</t>
  </si>
  <si>
    <t>REG-2025-00967</t>
  </si>
  <si>
    <t>Student 2025_00967</t>
  </si>
  <si>
    <t>REG-2025-01693</t>
  </si>
  <si>
    <t>Student 2025_01693</t>
  </si>
  <si>
    <t>REG-2025-00660</t>
  </si>
  <si>
    <t>Student 2025_00660</t>
  </si>
  <si>
    <t>REG-2025-00349</t>
  </si>
  <si>
    <t>Student 2025_00349</t>
  </si>
  <si>
    <t>REG-2025-00129</t>
  </si>
  <si>
    <t>Student 2025_00129</t>
  </si>
  <si>
    <t>REG-2025-01260</t>
  </si>
  <si>
    <t>Student 2025_01260</t>
  </si>
  <si>
    <t>REG-2025-01516</t>
  </si>
  <si>
    <t>Student 2025_01516</t>
  </si>
  <si>
    <t>REG-2025-00736</t>
  </si>
  <si>
    <t>Student 2025_00736</t>
  </si>
  <si>
    <t>REG-2025-00968</t>
  </si>
  <si>
    <t>Student 2025_00968</t>
  </si>
  <si>
    <t>REG-2025-00931</t>
  </si>
  <si>
    <t>Student 2025_00931</t>
  </si>
  <si>
    <t>REG-2025-00759</t>
  </si>
  <si>
    <t>Student 2025_00759</t>
  </si>
  <si>
    <t>REG-2025-00989</t>
  </si>
  <si>
    <t>Student 2025_00989</t>
  </si>
  <si>
    <t>REG-2025-01212</t>
  </si>
  <si>
    <t>Student 2025_01212</t>
  </si>
  <si>
    <t>REG-2025-00150</t>
  </si>
  <si>
    <t>Student 2025_00150</t>
  </si>
  <si>
    <t>REG-2025-01576</t>
  </si>
  <si>
    <t>Student 2025_01576</t>
  </si>
  <si>
    <t>REG-2025-01307</t>
  </si>
  <si>
    <t>Student 2025_01307</t>
  </si>
  <si>
    <t>REG-2025-01446</t>
  </si>
  <si>
    <t>Student 2025_01446</t>
  </si>
  <si>
    <t>REG-2025-00351</t>
  </si>
  <si>
    <t>Student 2025_00351</t>
  </si>
  <si>
    <t>REG-2025-01476</t>
  </si>
  <si>
    <t>Student 2025_01476</t>
  </si>
  <si>
    <t>REG-2025-00113</t>
  </si>
  <si>
    <t>Student 2025_00113</t>
  </si>
  <si>
    <t>REG-2025-00878</t>
  </si>
  <si>
    <t>Student 2025_00878</t>
  </si>
  <si>
    <t>REG-2025-01397</t>
  </si>
  <si>
    <t>Student 2025_01397</t>
  </si>
  <si>
    <t>REG-2025-01370</t>
  </si>
  <si>
    <t>Student 2025_01370</t>
  </si>
  <si>
    <t>REG-2025-00656</t>
  </si>
  <si>
    <t>Student 2025_00656</t>
  </si>
  <si>
    <t>REG-2025-01491</t>
  </si>
  <si>
    <t>Student 2025_01491</t>
  </si>
  <si>
    <t>REG-2025-00626</t>
  </si>
  <si>
    <t>Student 2025_00626</t>
  </si>
  <si>
    <t>REG-2025-01697</t>
  </si>
  <si>
    <t>Student 2025_01697</t>
  </si>
  <si>
    <t>REG-2025-01012</t>
  </si>
  <si>
    <t>Student 2025_01012</t>
  </si>
  <si>
    <t>REG-2025-01626</t>
  </si>
  <si>
    <t>Student 2025_01626</t>
  </si>
  <si>
    <t>REG-2025-00610</t>
  </si>
  <si>
    <t>Student 2025_00610</t>
  </si>
  <si>
    <t>REG-2025-00293</t>
  </si>
  <si>
    <t>Student 2025_00293</t>
  </si>
  <si>
    <t>REG-2025-00308</t>
  </si>
  <si>
    <t>Student 2025_00308</t>
  </si>
  <si>
    <t>REG-2025-01493</t>
  </si>
  <si>
    <t>Student 2025_01493</t>
  </si>
  <si>
    <t>REG-2025-00787</t>
  </si>
  <si>
    <t>Student 2025_00787</t>
  </si>
  <si>
    <t>REG-2025-01724</t>
  </si>
  <si>
    <t>Student 2025_01724</t>
  </si>
  <si>
    <t>REG-2025-01349</t>
  </si>
  <si>
    <t>Student 2025_01349</t>
  </si>
  <si>
    <t>REG-2025-00899</t>
  </si>
  <si>
    <t>Student 2025_00899</t>
  </si>
  <si>
    <t>REG-2025-00212</t>
  </si>
  <si>
    <t>Student 2025_00212</t>
  </si>
  <si>
    <t>REG-2025-00376</t>
  </si>
  <si>
    <t>Student 2025_00376</t>
  </si>
  <si>
    <t>REG-2025-00549</t>
  </si>
  <si>
    <t>Student 2025_00549</t>
  </si>
  <si>
    <t>REG-2025-01412</t>
  </si>
  <si>
    <t>Student 2025_01412</t>
  </si>
  <si>
    <t>REG-2025-00340</t>
  </si>
  <si>
    <t>Student 2025_00340</t>
  </si>
  <si>
    <t>REG-2025-01550</t>
  </si>
  <si>
    <t>Student 2025_01550</t>
  </si>
  <si>
    <t>REG-2025-00423</t>
  </si>
  <si>
    <t>Student 2025_00423</t>
  </si>
  <si>
    <t>REG-2025-00710</t>
  </si>
  <si>
    <t>Student 2025_00710</t>
  </si>
  <si>
    <t>REG-2025-00666</t>
  </si>
  <si>
    <t>Student 2025_00666</t>
  </si>
  <si>
    <t>REG-2025-00019</t>
  </si>
  <si>
    <t>Student 2025_00019</t>
  </si>
  <si>
    <t>REG-2025-01643</t>
  </si>
  <si>
    <t>Student 2025_01643</t>
  </si>
  <si>
    <t>REG-2025-00239</t>
  </si>
  <si>
    <t>Student 2025_00239</t>
  </si>
  <si>
    <t>REG-2025-01531</t>
  </si>
  <si>
    <t>Student 2025_01531</t>
  </si>
  <si>
    <t>REG-2025-00377</t>
  </si>
  <si>
    <t>Student 2025_00377</t>
  </si>
  <si>
    <t>REG-2025-01338</t>
  </si>
  <si>
    <t>Student 2025_01338</t>
  </si>
  <si>
    <t>REG-2025-01256</t>
  </si>
  <si>
    <t>Student 2025_01256</t>
  </si>
  <si>
    <t>REG-2025-00647</t>
  </si>
  <si>
    <t>Student 2025_00647</t>
  </si>
  <si>
    <t>REG-2025-00871</t>
  </si>
  <si>
    <t>Student 2025_00871</t>
  </si>
  <si>
    <t>REG-2025-01386</t>
  </si>
  <si>
    <t>Student 2025_01386</t>
  </si>
  <si>
    <t>REG-2025-00609</t>
  </si>
  <si>
    <t>Student 2025_00609</t>
  </si>
  <si>
    <t>REG-2025-00882</t>
  </si>
  <si>
    <t>Student 2025_00882</t>
  </si>
  <si>
    <t>REG-2025-01062</t>
  </si>
  <si>
    <t>Student 2025_01062</t>
  </si>
  <si>
    <t>REG-2025-00263</t>
  </si>
  <si>
    <t>Student 2025_00263</t>
  </si>
  <si>
    <t>REG-2025-01204</t>
  </si>
  <si>
    <t>Student 2025_01204</t>
  </si>
  <si>
    <t>REG-2025-01135</t>
  </si>
  <si>
    <t>Student 2025_01135</t>
  </si>
  <si>
    <t>REG-2025-00289</t>
  </si>
  <si>
    <t>Student 2025_00289</t>
  </si>
  <si>
    <t>REG-2025-00681</t>
  </si>
  <si>
    <t>Student 2025_00681</t>
  </si>
  <si>
    <t>REG-2025-01163</t>
  </si>
  <si>
    <t>Student 2025_01163</t>
  </si>
  <si>
    <t>REG-2025-00434</t>
  </si>
  <si>
    <t>Student 2025_00434</t>
  </si>
  <si>
    <t>REG-2025-00138</t>
  </si>
  <si>
    <t>Student 2025_00138</t>
  </si>
  <si>
    <t>REG-2025-00327</t>
  </si>
  <si>
    <t>Student 2025_00327</t>
  </si>
  <si>
    <t>REG-2025-00841</t>
  </si>
  <si>
    <t>Student 2025_00841</t>
  </si>
  <si>
    <t>REG-2025-00331</t>
  </si>
  <si>
    <t>Student 2025_00331</t>
  </si>
  <si>
    <t>REG-2025-00076</t>
  </si>
  <si>
    <t>Student 2025_00076</t>
  </si>
  <si>
    <t>REG-2025-00342</t>
  </si>
  <si>
    <t>Student 2025_00342</t>
  </si>
  <si>
    <t>REG-2025-00040</t>
  </si>
  <si>
    <t>Student 2025_00040</t>
  </si>
  <si>
    <t>REG-2025-00033</t>
  </si>
  <si>
    <t>Student 2025_00033</t>
  </si>
  <si>
    <t>REG-2025-00014</t>
  </si>
  <si>
    <t>Student 2025_00014</t>
  </si>
  <si>
    <t>REG-2025-00057</t>
  </si>
  <si>
    <t>Student 2025_00057</t>
  </si>
  <si>
    <t>REG-2025-01311</t>
  </si>
  <si>
    <t>Student 2025_01311</t>
  </si>
  <si>
    <t>REG-2025-00074</t>
  </si>
  <si>
    <t>Student 2025_00074</t>
  </si>
  <si>
    <t>REG-2025-00498</t>
  </si>
  <si>
    <t>Student 2025_00498</t>
  </si>
  <si>
    <t>REG-2025-01365</t>
  </si>
  <si>
    <t>Student 2025_01365</t>
  </si>
  <si>
    <t>REG-2025-01257</t>
  </si>
  <si>
    <t>Student 2025_01257</t>
  </si>
  <si>
    <t>REG-2025-01584</t>
  </si>
  <si>
    <t>Student 2025_01584</t>
  </si>
  <si>
    <t>REG-2025-01466</t>
  </si>
  <si>
    <t>Student 2025_01466</t>
  </si>
  <si>
    <t>REG-2025-01161</t>
  </si>
  <si>
    <t>Student 2025_01161</t>
  </si>
  <si>
    <t>REG-2025-01357</t>
  </si>
  <si>
    <t>Student 2025_01357</t>
  </si>
  <si>
    <t>REG-2025-00374</t>
  </si>
  <si>
    <t>Student 2025_00374</t>
  </si>
  <si>
    <t>REG-2025-00891</t>
  </si>
  <si>
    <t>Student 2025_00891</t>
  </si>
  <si>
    <t>REG-2025-00745</t>
  </si>
  <si>
    <t>Student 2025_00745</t>
  </si>
  <si>
    <t>REG-2025-01648</t>
  </si>
  <si>
    <t>Student 2025_01648</t>
  </si>
  <si>
    <t>REG-2025-01097</t>
  </si>
  <si>
    <t>Student 2025_01097</t>
  </si>
  <si>
    <t>REG-2025-01137</t>
  </si>
  <si>
    <t>Student 2025_01137</t>
  </si>
  <si>
    <t>REG-2025-00088</t>
  </si>
  <si>
    <t>Student 2025_00088</t>
  </si>
  <si>
    <t>REG-2025-01316</t>
  </si>
  <si>
    <t>Student 2025_01316</t>
  </si>
  <si>
    <t>REG-2025-00741</t>
  </si>
  <si>
    <t>Student 2025_00741</t>
  </si>
  <si>
    <t>REG-2025-01799</t>
  </si>
  <si>
    <t>Student 2025_01799</t>
  </si>
  <si>
    <t>REG-2025-00973</t>
  </si>
  <si>
    <t>Student 2025_00973</t>
  </si>
  <si>
    <t>REG-2025-00894</t>
  </si>
  <si>
    <t>Student 2025_00894</t>
  </si>
  <si>
    <t>REG-2025-00458</t>
  </si>
  <si>
    <t>Student 2025_00458</t>
  </si>
  <si>
    <t>REG-2025-01171</t>
  </si>
  <si>
    <t>Student 2025_01171</t>
  </si>
  <si>
    <t>REG-2025-01798</t>
  </si>
  <si>
    <t>Student 2025_01798</t>
  </si>
  <si>
    <t>REG-2025-00181</t>
  </si>
  <si>
    <t>Student 2025_00181</t>
  </si>
  <si>
    <t>REG-2025-01795</t>
  </si>
  <si>
    <t>Student 2025_01795</t>
  </si>
  <si>
    <t>REG-2025-00226</t>
  </si>
  <si>
    <t>Student 2025_00226</t>
  </si>
  <si>
    <t>REG-2025-01218</t>
  </si>
  <si>
    <t>Student 2025_01218</t>
  </si>
  <si>
    <t>REG-2025-00713</t>
  </si>
  <si>
    <t>Student 2025_00713</t>
  </si>
  <si>
    <t>REG-2025-00441</t>
  </si>
  <si>
    <t>Student 2025_00441</t>
  </si>
  <si>
    <t>REG-2025-00427</t>
  </si>
  <si>
    <t>Student 2025_00427</t>
  </si>
  <si>
    <t>REG-2025-00104</t>
  </si>
  <si>
    <t>Student 2025_00104</t>
  </si>
  <si>
    <t>REG-2025-01400</t>
  </si>
  <si>
    <t>Student 2025_01400</t>
  </si>
  <si>
    <t>REG-2025-00901</t>
  </si>
  <si>
    <t>Student 2025_00901</t>
  </si>
  <si>
    <t>REG-2025-01660</t>
  </si>
  <si>
    <t>Student 2025_01660</t>
  </si>
  <si>
    <t>REG-2025-00557</t>
  </si>
  <si>
    <t>Student 2025_00557</t>
  </si>
  <si>
    <t>REG-2025-00224</t>
  </si>
  <si>
    <t>Student 2025_00224</t>
  </si>
  <si>
    <t>REG-2025-00278</t>
  </si>
  <si>
    <t>Student 2025_00278</t>
  </si>
  <si>
    <t>REG-2025-01796</t>
  </si>
  <si>
    <t>Student 2025_01796</t>
  </si>
  <si>
    <t>REG-2025-01331</t>
  </si>
  <si>
    <t>Student 2025_01331</t>
  </si>
  <si>
    <t>REG-2025-01269</t>
  </si>
  <si>
    <t>Student 2025_01269</t>
  </si>
  <si>
    <t>REG-2025-00825</t>
  </si>
  <si>
    <t>Student 2025_00825</t>
  </si>
  <si>
    <t>REG-2025-00394</t>
  </si>
  <si>
    <t>Student 2025_00394</t>
  </si>
  <si>
    <t>REG-2025-00385</t>
  </si>
  <si>
    <t>Student 2025_00385</t>
  </si>
  <si>
    <t>REG-2025-01741</t>
  </si>
  <si>
    <t>Student 2025_01741</t>
  </si>
  <si>
    <t>REG-2025-01131</t>
  </si>
  <si>
    <t>Student 2025_01131</t>
  </si>
  <si>
    <t>REG-2025-01452</t>
  </si>
  <si>
    <t>Student 2025_01452</t>
  </si>
  <si>
    <t>REG-2025-00110</t>
  </si>
  <si>
    <t>Student 2025_00110</t>
  </si>
  <si>
    <t>REG-2025-01042</t>
  </si>
  <si>
    <t>Student 2025_01042</t>
  </si>
  <si>
    <t>REG-2025-00160</t>
  </si>
  <si>
    <t>Student 2025_00160</t>
  </si>
  <si>
    <t>REG-2025-01442</t>
  </si>
  <si>
    <t>Student 2025_01442</t>
  </si>
  <si>
    <t>REG-2025-00466</t>
  </si>
  <si>
    <t>Student 2025_00466</t>
  </si>
  <si>
    <t>REG-2025-00858</t>
  </si>
  <si>
    <t>Student 2025_00858</t>
  </si>
  <si>
    <t>REG-2025-00132</t>
  </si>
  <si>
    <t>Student 2025_00132</t>
  </si>
  <si>
    <t>REG-2025-01764</t>
  </si>
  <si>
    <t>Student 2025_01764</t>
  </si>
  <si>
    <t>REG-2025-01317</t>
  </si>
  <si>
    <t>Student 2025_01317</t>
  </si>
  <si>
    <t>REG-2025-00164</t>
  </si>
  <si>
    <t>Student 2025_00164</t>
  </si>
  <si>
    <t>REG-2025-00187</t>
  </si>
  <si>
    <t>Student 2025_00187</t>
  </si>
  <si>
    <t>REG-2025-00118</t>
  </si>
  <si>
    <t>Student 2025_00118</t>
  </si>
  <si>
    <t>REG-2025-00449</t>
  </si>
  <si>
    <t>Student 2025_00449</t>
  </si>
  <si>
    <t>REG-2025-00598</t>
  </si>
  <si>
    <t>Student 2025_00598</t>
  </si>
  <si>
    <t>REG-2025-01451</t>
  </si>
  <si>
    <t>Student 2025_01451</t>
  </si>
  <si>
    <t>REG-2025-00083</t>
  </si>
  <si>
    <t>Student 2025_00083</t>
  </si>
  <si>
    <t>REG-2025-01788</t>
  </si>
  <si>
    <t>Student 2025_01788</t>
  </si>
  <si>
    <t>REG-2025-01059</t>
  </si>
  <si>
    <t>Student 2025_01059</t>
  </si>
  <si>
    <t>REG-2025-00166</t>
  </si>
  <si>
    <t>Student 2025_00166</t>
  </si>
  <si>
    <t>REG-2025-00275</t>
  </si>
  <si>
    <t>Student 2025_00275</t>
  </si>
  <si>
    <t>REG-2025-00874</t>
  </si>
  <si>
    <t>Student 2025_00874</t>
  </si>
  <si>
    <t>REG-2025-01273</t>
  </si>
  <si>
    <t>Student 2025_01273</t>
  </si>
  <si>
    <t>REG-2025-01606</t>
  </si>
  <si>
    <t>Student 2025_01606</t>
  </si>
  <si>
    <t>REG-2025-00090</t>
  </si>
  <si>
    <t>Student 2025_00090</t>
  </si>
  <si>
    <t>REG-2025-00221</t>
  </si>
  <si>
    <t>Student 2025_00221</t>
  </si>
  <si>
    <t>REG-2025-01599</t>
  </si>
  <si>
    <t>Student 2025_01599</t>
  </si>
  <si>
    <t>REG-2025-01464</t>
  </si>
  <si>
    <t>Student 2025_01464</t>
  </si>
  <si>
    <t>REG-2025-01501</t>
  </si>
  <si>
    <t>Student 2025_01501</t>
  </si>
  <si>
    <t>REG-2025-01767</t>
  </si>
  <si>
    <t>Student 2025_01767</t>
  </si>
  <si>
    <t>REG-2025-00310</t>
  </si>
  <si>
    <t>Student 2025_00310</t>
  </si>
  <si>
    <t>REG-2025-00979</t>
  </si>
  <si>
    <t>Student 2025_00979</t>
  </si>
  <si>
    <t>REG-2025-01153</t>
  </si>
  <si>
    <t>Student 2025_01153</t>
  </si>
  <si>
    <t>REG-2025-01139</t>
  </si>
  <si>
    <t>Student 2025_01139</t>
  </si>
  <si>
    <t>REG-2025-00590</t>
  </si>
  <si>
    <t>Student 2025_00590</t>
  </si>
  <si>
    <t>REG-2025-01757</t>
  </si>
  <si>
    <t>Student 2025_01757</t>
  </si>
  <si>
    <t>REG-2025-01674</t>
  </si>
  <si>
    <t>Student 2025_01674</t>
  </si>
  <si>
    <t>REG-2025-00039</t>
  </si>
  <si>
    <t>Student 2025_00039</t>
  </si>
  <si>
    <t>REG-2025-00365</t>
  </si>
  <si>
    <t>Student 2025_00365</t>
  </si>
  <si>
    <t>REG-2025-01661</t>
  </si>
  <si>
    <t>Student 2025_01661</t>
  </si>
  <si>
    <t>REG-2025-00559</t>
  </si>
  <si>
    <t>Student 2025_00559</t>
  </si>
  <si>
    <t>REG-2025-01075</t>
  </si>
  <si>
    <t>Student 2025_01075</t>
  </si>
  <si>
    <t>REG-2025-01696</t>
  </si>
  <si>
    <t>Student 2025_01696</t>
  </si>
  <si>
    <t>REG-2025-00294</t>
  </si>
  <si>
    <t>Student 2025_00294</t>
  </si>
  <si>
    <t>REG-2025-01030</t>
  </si>
  <si>
    <t>Student 2025_01030</t>
  </si>
  <si>
    <t>REG-2025-00123</t>
  </si>
  <si>
    <t>Student 2025_00123</t>
  </si>
  <si>
    <t>REG-2025-00763</t>
  </si>
  <si>
    <t>Student 2025_00763</t>
  </si>
  <si>
    <t>REG-2025-01503</t>
  </si>
  <si>
    <t>Student 2025_01503</t>
  </si>
  <si>
    <t>REG-2025-01289</t>
  </si>
  <si>
    <t>Student 2025_01289</t>
  </si>
  <si>
    <t>REG-2025-00703</t>
  </si>
  <si>
    <t>Student 2025_00703</t>
  </si>
  <si>
    <t>REG-2025-00773</t>
  </si>
  <si>
    <t>Student 2025_00773</t>
  </si>
  <si>
    <t>REG-2025-00820</t>
  </si>
  <si>
    <t>Student 2025_00820</t>
  </si>
  <si>
    <t>REG-2025-01561</t>
  </si>
  <si>
    <t>Student 2025_01561</t>
  </si>
  <si>
    <t>REG-2025-01049</t>
  </si>
  <si>
    <t>Student 2025_01049</t>
  </si>
  <si>
    <t>REG-2025-01733</t>
  </si>
  <si>
    <t>Student 2025_01733</t>
  </si>
  <si>
    <t>REG-2025-01564</t>
  </si>
  <si>
    <t>Student 2025_01564</t>
  </si>
  <si>
    <t>REG-2025-01315</t>
  </si>
  <si>
    <t>Student 2025_01315</t>
  </si>
  <si>
    <t>REG-2025-01057</t>
  </si>
  <si>
    <t>Student 2025_01057</t>
  </si>
  <si>
    <t>REG-2025-01323</t>
  </si>
  <si>
    <t>Student 2025_01323</t>
  </si>
  <si>
    <t>REG-2025-01483</t>
  </si>
  <si>
    <t>Student 2025_01483</t>
  </si>
  <si>
    <t>REG-2025-00082</t>
  </si>
  <si>
    <t>Student 2025_00082</t>
  </si>
  <si>
    <t>REG-2025-00701</t>
  </si>
  <si>
    <t>Student 2025_00701</t>
  </si>
  <si>
    <t>REG-2025-01711</t>
  </si>
  <si>
    <t>Student 2025_01711</t>
  </si>
  <si>
    <t>REG-2025-00034</t>
  </si>
  <si>
    <t>Student 2025_00034</t>
  </si>
  <si>
    <t>REG-2025-00206</t>
  </si>
  <si>
    <t>Student 2025_00206</t>
  </si>
  <si>
    <t>REG-2025-01280</t>
  </si>
  <si>
    <t>Student 2025_01280</t>
  </si>
  <si>
    <t>REG-2025-00432</t>
  </si>
  <si>
    <t>Student 2025_00432</t>
  </si>
  <si>
    <t>REG-2025-00794</t>
  </si>
  <si>
    <t>Student 2025_00794</t>
  </si>
  <si>
    <t>REG-2025-01298</t>
  </si>
  <si>
    <t>Student 2025_01298</t>
  </si>
  <si>
    <t>REG-2025-01047</t>
  </si>
  <si>
    <t>Student 2025_01047</t>
  </si>
  <si>
    <t>REG-2025-00668</t>
  </si>
  <si>
    <t>Student 2025_00668</t>
  </si>
  <si>
    <t>REG-2025-00067</t>
  </si>
  <si>
    <t>Student 2025_00067</t>
  </si>
  <si>
    <t>REG-2025-01174</t>
  </si>
  <si>
    <t>Student 2025_01174</t>
  </si>
  <si>
    <t>REG-2025-01728</t>
  </si>
  <si>
    <t>Student 2025_01728</t>
  </si>
  <si>
    <t>REG-2025-00425</t>
  </si>
  <si>
    <t>Student 2025_00425</t>
  </si>
  <si>
    <t>REG-2025-00992</t>
  </si>
  <si>
    <t>Student 2025_00992</t>
  </si>
  <si>
    <t>REG-2025-01760</t>
  </si>
  <si>
    <t>Student 2025_01760</t>
  </si>
  <si>
    <t>REG-2025-01009</t>
  </si>
  <si>
    <t>Student 2025_01009</t>
  </si>
  <si>
    <t>REG-2025-00876</t>
  </si>
  <si>
    <t>Student 2025_00876</t>
  </si>
  <si>
    <t>REG-2025-01548</t>
  </si>
  <si>
    <t>Student 2025_01548</t>
  </si>
  <si>
    <t>REG-2025-00401</t>
  </si>
  <si>
    <t>Student 2025_00401</t>
  </si>
  <si>
    <t>REG-2025-00152</t>
  </si>
  <si>
    <t>Student 2025_00152</t>
  </si>
  <si>
    <t>REG-2025-01116</t>
  </si>
  <si>
    <t>Student 2025_01116</t>
  </si>
  <si>
    <t>REG-2025-01512</t>
  </si>
  <si>
    <t>Student 2025_01512</t>
  </si>
  <si>
    <t>REG-2025-01297</t>
  </si>
  <si>
    <t>Student 2025_01297</t>
  </si>
  <si>
    <t>REG-2025-00146</t>
  </si>
  <si>
    <t>Student 2025_00146</t>
  </si>
  <si>
    <t>REG-2025-01528</t>
  </si>
  <si>
    <t>Student 2025_01528</t>
  </si>
  <si>
    <t>REG-2025-00875</t>
  </si>
  <si>
    <t>Student 2025_00875</t>
  </si>
  <si>
    <t>REG-2025-00122</t>
  </si>
  <si>
    <t>Student 2025_00122</t>
  </si>
  <si>
    <t>REG-2025-01790</t>
  </si>
  <si>
    <t>Student 2025_01790</t>
  </si>
  <si>
    <t>REG-2025-00023</t>
  </si>
  <si>
    <t>Student 2025_00023</t>
  </si>
  <si>
    <t>REG-2025-00103</t>
  </si>
  <si>
    <t>Student 2025_00103</t>
  </si>
  <si>
    <t>REG-2025-01327</t>
  </si>
  <si>
    <t>Student 2025_01327</t>
  </si>
  <si>
    <t>REG-2025-01255</t>
  </si>
  <si>
    <t>Student 2025_01255</t>
  </si>
  <si>
    <t>REG-2025-00982</t>
  </si>
  <si>
    <t>Student 2025_00982</t>
  </si>
  <si>
    <t>REG-2025-00355</t>
  </si>
  <si>
    <t>Student 2025_00355</t>
  </si>
  <si>
    <t>REG-2025-01362</t>
  </si>
  <si>
    <t>Student 2025_01362</t>
  </si>
  <si>
    <t>REG-2025-01127</t>
  </si>
  <si>
    <t>Student 2025_01127</t>
  </si>
  <si>
    <t>REG-2025-00944</t>
  </si>
  <si>
    <t>Student 2025_00944</t>
  </si>
  <si>
    <t>REG-2025-01252</t>
  </si>
  <si>
    <t>Student 2025_01252</t>
  </si>
  <si>
    <t>REG-2025-00868</t>
  </si>
  <si>
    <t>Student 2025_00868</t>
  </si>
  <si>
    <t>REG-2025-00354</t>
  </si>
  <si>
    <t>Student 2025_00354</t>
  </si>
  <si>
    <t>REG-2025-01628</t>
  </si>
  <si>
    <t>Student 2025_01628</t>
  </si>
  <si>
    <t>REG-2025-01348</t>
  </si>
  <si>
    <t>Student 2025_01348</t>
  </si>
  <si>
    <t>REG-2025-01614</t>
  </si>
  <si>
    <t>Student 2025_01614</t>
  </si>
  <si>
    <t>REG-2025-01530</t>
  </si>
  <si>
    <t>Student 2025_01530</t>
  </si>
  <si>
    <t>REG-2025-01765</t>
  </si>
  <si>
    <t>Student 2025_01765</t>
  </si>
  <si>
    <t>REG-2025-00524</t>
  </si>
  <si>
    <t>Student 2025_00524</t>
  </si>
  <si>
    <t>REG-2025-00061</t>
  </si>
  <si>
    <t>Student 2025_00061</t>
  </si>
  <si>
    <t>REG-2025-00630</t>
  </si>
  <si>
    <t>Student 2025_00630</t>
  </si>
  <si>
    <t>REG-2025-00900</t>
  </si>
  <si>
    <t>Intl. Science Olympiad</t>
  </si>
  <si>
    <t>Student 2025_00900</t>
  </si>
  <si>
    <t>REG-2025-00671</t>
  </si>
  <si>
    <t>Student 2025_00671</t>
  </si>
  <si>
    <t>REG-2025-00879</t>
  </si>
  <si>
    <t>Student 2025_00879</t>
  </si>
  <si>
    <t>REG-2025-01592</t>
  </si>
  <si>
    <t>Student 2025_01592</t>
  </si>
  <si>
    <t>REG-2025-00012</t>
  </si>
  <si>
    <t>Student 2025_00012</t>
  </si>
  <si>
    <t>REG-2025-00004</t>
  </si>
  <si>
    <t>Student 2025_00004</t>
  </si>
  <si>
    <t>REG-2025-00642</t>
  </si>
  <si>
    <t>Student 2025_00642</t>
  </si>
  <si>
    <t>REG-2025-00648</t>
  </si>
  <si>
    <t>Student 2025_00648</t>
  </si>
  <si>
    <t>REG-2025-00790</t>
  </si>
  <si>
    <t>Student 2025_00790</t>
  </si>
  <si>
    <t>REG-2025-01288</t>
  </si>
  <si>
    <t>Student 2025_01288</t>
  </si>
  <si>
    <t>REG-2025-00284</t>
  </si>
  <si>
    <t>Student 2025_00284</t>
  </si>
  <si>
    <t>REG-2025-00185</t>
  </si>
  <si>
    <t>Student 2025_00185</t>
  </si>
  <si>
    <t>REG-2025-01444</t>
  </si>
  <si>
    <t>Student 2025_01444</t>
  </si>
  <si>
    <t>REG-2025-00469</t>
  </si>
  <si>
    <t>Student 2025_00469</t>
  </si>
  <si>
    <t>REG-2025-00234</t>
  </si>
  <si>
    <t>Student 2025_00234</t>
  </si>
  <si>
    <t>REG-2025-01001</t>
  </si>
  <si>
    <t>Student 2025_01001</t>
  </si>
  <si>
    <t>REG-2025-01295</t>
  </si>
  <si>
    <t>Student 2025_01295</t>
  </si>
  <si>
    <t>REG-2025-01457</t>
  </si>
  <si>
    <t>Student 2025_01457</t>
  </si>
  <si>
    <t>REG-2025-01154</t>
  </si>
  <si>
    <t>Student 2025_01154</t>
  </si>
  <si>
    <t>REG-2025-00419</t>
  </si>
  <si>
    <t>Student 2025_00419</t>
  </si>
  <si>
    <t>REG-2025-00341</t>
  </si>
  <si>
    <t>Student 2025_00341</t>
  </si>
  <si>
    <t>REG-2025-01326</t>
  </si>
  <si>
    <t>Student 2025_01326</t>
  </si>
  <si>
    <t>REG-2025-00305</t>
  </si>
  <si>
    <t>Student 2025_00305</t>
  </si>
  <si>
    <t>REG-2025-01004</t>
  </si>
  <si>
    <t>Student 2025_01004</t>
  </si>
  <si>
    <t>REG-2025-01479</t>
  </si>
  <si>
    <t>Student 2025_01479</t>
  </si>
  <si>
    <t>REG-2025-01242</t>
  </si>
  <si>
    <t>Student 2025_01242</t>
  </si>
  <si>
    <t>REG-2025-01178</t>
  </si>
  <si>
    <t>Student 2025_01178</t>
  </si>
  <si>
    <t>REG-2025-00897</t>
  </si>
  <si>
    <t>Student 2025_00897</t>
  </si>
  <si>
    <t>REG-2025-00243</t>
  </si>
  <si>
    <t>Student 2025_00243</t>
  </si>
  <si>
    <t>REG-2025-00508</t>
  </si>
  <si>
    <t>Student 2025_00508</t>
  </si>
  <si>
    <t>REG-2025-01522</t>
  </si>
  <si>
    <t>Student 2025_01522</t>
  </si>
  <si>
    <t>REG-2025-00105</t>
  </si>
  <si>
    <t>Student 2025_00105</t>
  </si>
  <si>
    <t>REG-2025-00151</t>
  </si>
  <si>
    <t>Student 2025_00151</t>
  </si>
  <si>
    <t>REG-2025-01185</t>
  </si>
  <si>
    <t>Student 2025_01185</t>
  </si>
  <si>
    <t>REG-2025-00754</t>
  </si>
  <si>
    <t>Student 2025_00754</t>
  </si>
  <si>
    <t>REG-2025-01334</t>
  </si>
  <si>
    <t>Student 2025_01334</t>
  </si>
  <si>
    <t>REG-2025-01485</t>
  </si>
  <si>
    <t>Student 2025_01485</t>
  </si>
  <si>
    <t>REG-2025-00877</t>
  </si>
  <si>
    <t>Student 2025_00877</t>
  </si>
  <si>
    <t>REG-2025-01566</t>
  </si>
  <si>
    <t>Student 2025_01566</t>
  </si>
  <si>
    <t>REG-2025-01224</t>
  </si>
  <si>
    <t>Student 2025_01224</t>
  </si>
  <si>
    <t>REG-2025-01440</t>
  </si>
  <si>
    <t>Student 2025_01440</t>
  </si>
  <si>
    <t>REG-2025-01459</t>
  </si>
  <si>
    <t>Student 2025_01459</t>
  </si>
  <si>
    <t>REG-2025-00743</t>
  </si>
  <si>
    <t>Student 2025_00743</t>
  </si>
  <si>
    <t>REG-2025-01005</t>
  </si>
  <si>
    <t>Student 2025_01005</t>
  </si>
  <si>
    <t>REG-2025-01418</t>
  </si>
  <si>
    <t>Student 2025_01418</t>
  </si>
  <si>
    <t>REG-2025-01460</t>
  </si>
  <si>
    <t>Student 2025_01460</t>
  </si>
  <si>
    <t>REG-2025-01402</t>
  </si>
  <si>
    <t>Student 2025_01402</t>
  </si>
  <si>
    <t>REG-2025-00532</t>
  </si>
  <si>
    <t>Student 2025_00532</t>
  </si>
  <si>
    <t>REG-2025-00507</t>
  </si>
  <si>
    <t>Student 2025_00507</t>
  </si>
  <si>
    <t>REG-2025-00347</t>
  </si>
  <si>
    <t>Student 2025_00347</t>
  </si>
  <si>
    <t>REG-2025-00675</t>
  </si>
  <si>
    <t>Student 2025_00675</t>
  </si>
  <si>
    <t>REG-2025-00485</t>
  </si>
  <si>
    <t>Student 2025_00485</t>
  </si>
  <si>
    <t>REG-2025-00230</t>
  </si>
  <si>
    <t>Student 2025_00230</t>
  </si>
  <si>
    <t>REG-2025-01374</t>
  </si>
  <si>
    <t>Student 2025_01374</t>
  </si>
  <si>
    <t>REG-2025-00800</t>
  </si>
  <si>
    <t>Student 2025_00800</t>
  </si>
  <si>
    <t>REG-2025-00884</t>
  </si>
  <si>
    <t>Student 2025_00884</t>
  </si>
  <si>
    <t>REG-2025-00972</t>
  </si>
  <si>
    <t>Student 2025_00972</t>
  </si>
  <si>
    <t>REG-2025-00130</t>
  </si>
  <si>
    <t>Student 2025_00130</t>
  </si>
  <si>
    <t>REG-2025-00665</t>
  </si>
  <si>
    <t>Student 2025_00665</t>
  </si>
  <si>
    <t>REG-2025-01119</t>
  </si>
  <si>
    <t>Student 2025_01119</t>
  </si>
  <si>
    <t>REG-2025-00069</t>
  </si>
  <si>
    <t>Student 2025_00069</t>
  </si>
  <si>
    <t>REG-2025-01056</t>
  </si>
  <si>
    <t>Student 2025_01056</t>
  </si>
  <si>
    <t>REG-2025-00156</t>
  </si>
  <si>
    <t>Student 2025_00156</t>
  </si>
  <si>
    <t>REG-2025-00627</t>
  </si>
  <si>
    <t>Student 2025_00627</t>
  </si>
  <si>
    <t>REG-2025-00208</t>
  </si>
  <si>
    <t>Student 2025_00208</t>
  </si>
  <si>
    <t>REG-2025-01787</t>
  </si>
  <si>
    <t>Student 2025_01787</t>
  </si>
  <si>
    <t>REG-2025-00459</t>
  </si>
  <si>
    <t>Student 2025_00459</t>
  </si>
  <si>
    <t>REG-2025-00615</t>
  </si>
  <si>
    <t>Student 2025_00615</t>
  </si>
  <si>
    <t>REG-2025-00797</t>
  </si>
  <si>
    <t>Student 2025_00797</t>
  </si>
  <si>
    <t>REG-2025-01141</t>
  </si>
  <si>
    <t>Student 2025_01141</t>
  </si>
  <si>
    <t>REG-2025-01191</t>
  </si>
  <si>
    <t>Student 2025_01191</t>
  </si>
  <si>
    <t>REG-2025-00501</t>
  </si>
  <si>
    <t>Student 2025_00501</t>
  </si>
  <si>
    <t>REG-2025-01148</t>
  </si>
  <si>
    <t>Student 2025_01148</t>
  </si>
  <si>
    <t>REG-2025-01319</t>
  </si>
  <si>
    <t>Student 2025_01319</t>
  </si>
  <si>
    <t>REG-2025-01045</t>
  </si>
  <si>
    <t>Student 2025_01045</t>
  </si>
  <si>
    <t>REG-2025-01471</t>
  </si>
  <si>
    <t>Student 2025_01471</t>
  </si>
  <si>
    <t>REG-2025-00134</t>
  </si>
  <si>
    <t>Student 2025_00134</t>
  </si>
  <si>
    <t>REG-2025-00362</t>
  </si>
  <si>
    <t>Student 2025_00362</t>
  </si>
  <si>
    <t>REG-2025-00269</t>
  </si>
  <si>
    <t>Student 2025_00269</t>
  </si>
  <si>
    <t>REG-2025-00643</t>
  </si>
  <si>
    <t>Student 2025_00643</t>
  </si>
  <si>
    <t>Greenwood Intl. School</t>
  </si>
  <si>
    <t>REG-2025-00217</t>
  </si>
  <si>
    <t>Student 2025_00217</t>
  </si>
  <si>
    <t>REG-2025-00248</t>
  </si>
  <si>
    <t>Student 2025_00248</t>
  </si>
  <si>
    <t>REG-2025-01673</t>
  </si>
  <si>
    <t>Student 2025_01673</t>
  </si>
  <si>
    <t>REG-2025-01429</t>
  </si>
  <si>
    <t>Student 2025_01429</t>
  </si>
  <si>
    <t>REG-2025-00885</t>
  </si>
  <si>
    <t>Student 2025_00885</t>
  </si>
  <si>
    <t>REG-2025-01025</t>
  </si>
  <si>
    <t>Student 2025_01025</t>
  </si>
  <si>
    <t>REG-2025-01538</t>
  </si>
  <si>
    <t>Student 2025_01538</t>
  </si>
  <si>
    <t>REG-2025-00916</t>
  </si>
  <si>
    <t>Student 2025_00916</t>
  </si>
  <si>
    <t>REG-2025-01768</t>
  </si>
  <si>
    <t>Student 2025_01768</t>
  </si>
  <si>
    <t>REG-2025-00350</t>
  </si>
  <si>
    <t>Student 2025_00350</t>
  </si>
  <si>
    <t>REG-2025-01106</t>
  </si>
  <si>
    <t>Student 2025_01106</t>
  </si>
  <si>
    <t>REG-2025-01754</t>
  </si>
  <si>
    <t>Student 2025_01754</t>
  </si>
  <si>
    <t>REG-2025-00993</t>
  </si>
  <si>
    <t>Student 2025_00993</t>
  </si>
  <si>
    <t>REG-2025-01404</t>
  </si>
  <si>
    <t>Student 2025_01404</t>
  </si>
  <si>
    <t>REG-2025-00085</t>
  </si>
  <si>
    <t>Student 2025_00085</t>
  </si>
  <si>
    <t>REG-2025-01268</t>
  </si>
  <si>
    <t>Student 2025_01268</t>
  </si>
  <si>
    <t>REG-2025-00739</t>
  </si>
  <si>
    <t>Student 2025_00739</t>
  </si>
  <si>
    <t>REG-2025-00842</t>
  </si>
  <si>
    <t>Student 2025_00842</t>
  </si>
  <si>
    <t>REG-2025-00883</t>
  </si>
  <si>
    <t>Student 2025_00883</t>
  </si>
  <si>
    <t>REG-2025-01387</t>
  </si>
  <si>
    <t>Student 2025_01387</t>
  </si>
  <si>
    <t>REG-2025-00001</t>
  </si>
  <si>
    <t>Student 2025_00001</t>
  </si>
  <si>
    <t>REG-2025-00255</t>
  </si>
  <si>
    <t>Student 2025_00255</t>
  </si>
  <si>
    <t>REG-2025-01771</t>
  </si>
  <si>
    <t>Student 2025_01771</t>
  </si>
  <si>
    <t>REG-2025-01078</t>
  </si>
  <si>
    <t>Student 2025_01078</t>
  </si>
  <si>
    <t>REG-2025-01745</t>
  </si>
  <si>
    <t>Student 2025_01745</t>
  </si>
  <si>
    <t>REG-2025-00628</t>
  </si>
  <si>
    <t>Student 2025_00628</t>
  </si>
  <si>
    <t>REG-2025-00192</t>
  </si>
  <si>
    <t>Student 2025_00192</t>
  </si>
  <si>
    <t>REG-2025-00319</t>
  </si>
  <si>
    <t>Student 2025_00319</t>
  </si>
  <si>
    <t>REG-2025-00443</t>
  </si>
  <si>
    <t>Student 2025_00443</t>
  </si>
  <si>
    <t>REG-2025-01223</t>
  </si>
  <si>
    <t>Student 2025_01223</t>
  </si>
  <si>
    <t>REG-2025-00325</t>
  </si>
  <si>
    <t>Student 2025_00325</t>
  </si>
  <si>
    <t>REG-2025-00957</t>
  </si>
  <si>
    <t>Student 2025_00957</t>
  </si>
  <si>
    <t>REG-2025-00804</t>
  </si>
  <si>
    <t>Student 2025_00804</t>
  </si>
  <si>
    <t>REG-2025-00521</t>
  </si>
  <si>
    <t>Student 2025_00521</t>
  </si>
  <si>
    <t>REG-2025-00784</t>
  </si>
  <si>
    <t>Student 2025_00784</t>
  </si>
  <si>
    <t>REG-2025-01654</t>
  </si>
  <si>
    <t>Student 2025_01654</t>
  </si>
  <si>
    <t>REG-2025-01100</t>
  </si>
  <si>
    <t>Student 2025_01100</t>
  </si>
  <si>
    <t>REG-2025-00531</t>
  </si>
  <si>
    <t>Student 2025_00531</t>
  </si>
  <si>
    <t>REG-2025-00473</t>
  </si>
  <si>
    <t>Student 2025_00473</t>
  </si>
  <si>
    <t>REG-2025-00980</t>
  </si>
  <si>
    <t>Student 2025_00980</t>
  </si>
  <si>
    <t>REG-2025-01634</t>
  </si>
  <si>
    <t>Student 2025_01634</t>
  </si>
  <si>
    <t>REG-2025-01671</t>
  </si>
  <si>
    <t>Student 2025_01671</t>
  </si>
  <si>
    <t>REG-2025-01647</t>
  </si>
  <si>
    <t>Student 2025_01647</t>
  </si>
  <si>
    <t>REG-2025-01620</t>
  </si>
  <si>
    <t>Student 2025_01620</t>
  </si>
  <si>
    <t>REG-2025-00517</t>
  </si>
  <si>
    <t>Student 2025_00517</t>
  </si>
  <si>
    <t>REG-2025-01058</t>
  </si>
  <si>
    <t>Student 2025_01058</t>
  </si>
  <si>
    <t>REG-2025-01505</t>
  </si>
  <si>
    <t>Student 2025_01505</t>
  </si>
  <si>
    <t>REG-2025-00317</t>
  </si>
  <si>
    <t>Student 2025_00317</t>
  </si>
  <si>
    <t>REG-2025-00066</t>
  </si>
  <si>
    <t>Student 2025_00066</t>
  </si>
  <si>
    <t>REG-2025-00182</t>
  </si>
  <si>
    <t>Student 2025_00182</t>
  </si>
  <si>
    <t>REG-2025-01376</t>
  </si>
  <si>
    <t>Student 2025_01376</t>
  </si>
  <si>
    <t>REG-2025-00963</t>
  </si>
  <si>
    <t>Student 2025_00963</t>
  </si>
  <si>
    <t>REG-2025-00546</t>
  </si>
  <si>
    <t>Student 2025_00546</t>
  </si>
  <si>
    <t>REG-2025-01099</t>
  </si>
  <si>
    <t>Student 2025_01099</t>
  </si>
  <si>
    <t>REG-2025-00149</t>
  </si>
  <si>
    <t>Student 2025_00149</t>
  </si>
  <si>
    <t>REG-2025-01013</t>
  </si>
  <si>
    <t>Student 2025_01013</t>
  </si>
  <si>
    <t>REG-2025-01539</t>
  </si>
  <si>
    <t>Student 2025_01539</t>
  </si>
  <si>
    <t>REG-2025-00537</t>
  </si>
  <si>
    <t>Student 2025_00537</t>
  </si>
  <si>
    <t>REG-2025-00744</t>
  </si>
  <si>
    <t>Student 2025_00744</t>
  </si>
  <si>
    <t>REG-2025-00077</t>
  </si>
  <si>
    <t>Student 2025_00077</t>
  </si>
  <si>
    <t>REG-2025-01159</t>
  </si>
  <si>
    <t>Student 2025_01159</t>
  </si>
  <si>
    <t>REG-2025-01093</t>
  </si>
  <si>
    <t>Student 2025_01093</t>
  </si>
  <si>
    <t>REG-2025-00987</t>
  </si>
  <si>
    <t>Student 2025_00987</t>
  </si>
  <si>
    <t>REG-2025-01789</t>
  </si>
  <si>
    <t>Student 2025_01789</t>
  </si>
  <si>
    <t>REG-2025-00003</t>
  </si>
  <si>
    <t>Student 2025_00003</t>
  </si>
  <si>
    <t>REG-2025-00384</t>
  </si>
  <si>
    <t>Student 2025_00384</t>
  </si>
  <si>
    <t>REG-2025-00543</t>
  </si>
  <si>
    <t>Student 2025_00543</t>
  </si>
  <si>
    <t>REG-2025-00140</t>
  </si>
  <si>
    <t>Student 2025_00140</t>
  </si>
  <si>
    <t>REG-2025-01117</t>
  </si>
  <si>
    <t>Student 2025_01117</t>
  </si>
  <si>
    <t>REG-2025-01472</t>
  </si>
  <si>
    <t>Student 2025_01472</t>
  </si>
  <si>
    <t>REG-2025-00657</t>
  </si>
  <si>
    <t>Student 2025_00657</t>
  </si>
  <si>
    <t>REG-2025-00623</t>
  </si>
  <si>
    <t>Student 2025_00623</t>
  </si>
  <si>
    <t>REG-2025-01425</t>
  </si>
  <si>
    <t>Student 2025_01425</t>
  </si>
  <si>
    <t>REG-2025-01615</t>
  </si>
  <si>
    <t>Student 2025_01615</t>
  </si>
  <si>
    <t>REG-2025-00456</t>
  </si>
  <si>
    <t>Student 2025_00456</t>
  </si>
  <si>
    <t>REG-2025-00145</t>
  </si>
  <si>
    <t>Student 2025_00145</t>
  </si>
  <si>
    <t>REG-2025-01792</t>
  </si>
  <si>
    <t>Student 2025_01792</t>
  </si>
  <si>
    <t>REG-2025-01023</t>
  </si>
  <si>
    <t>Student 2025_01023</t>
  </si>
  <si>
    <t>REG-2025-01079</t>
  </si>
  <si>
    <t>Student 2025_01079</t>
  </si>
  <si>
    <t>REG-2025-00988</t>
  </si>
  <si>
    <t>Student 2025_00988</t>
  </si>
  <si>
    <t>REG-2025-01126</t>
  </si>
  <si>
    <t>Student 2025_01126</t>
  </si>
  <si>
    <t>REG-2025-01702</t>
  </si>
  <si>
    <t>Student 2025_01702</t>
  </si>
  <si>
    <t>REG-2025-00095</t>
  </si>
  <si>
    <t>Student 2025_00095</t>
  </si>
  <si>
    <t>REG-2025-01524</t>
  </si>
  <si>
    <t>Student 2025_01524</t>
  </si>
  <si>
    <t>REG-2025-01770</t>
  </si>
  <si>
    <t>Student 2025_01770</t>
  </si>
  <si>
    <t>REG-2025-00750</t>
  </si>
  <si>
    <t>Student 2025_00750</t>
  </si>
  <si>
    <t>REG-2025-00890</t>
  </si>
  <si>
    <t>Student 2025_00890</t>
  </si>
  <si>
    <t>REG-2025-01611</t>
  </si>
  <si>
    <t>Student 2025_01611</t>
  </si>
  <si>
    <t>REG-2025-01266</t>
  </si>
  <si>
    <t>Student 2025_01266</t>
  </si>
  <si>
    <t>REG-2025-00938</t>
  </si>
  <si>
    <t>Student 2025_00938</t>
  </si>
  <si>
    <t>REG-2025-00960</t>
  </si>
  <si>
    <t>Student 2025_00960</t>
  </si>
  <si>
    <t>REG-2025-01213</t>
  </si>
  <si>
    <t>Student 2025_01213</t>
  </si>
  <si>
    <t>REG-2025-01265</t>
  </si>
  <si>
    <t>Student 2025_01265</t>
  </si>
  <si>
    <t>REG-2025-00373</t>
  </si>
  <si>
    <t>Student 2025_00373</t>
  </si>
  <si>
    <t>REG-2025-00551</t>
  </si>
  <si>
    <t>Student 2025_00551</t>
  </si>
  <si>
    <t>REG-2025-01160</t>
  </si>
  <si>
    <t>Student 2025_01160</t>
  </si>
  <si>
    <t>REG-2025-00016</t>
  </si>
  <si>
    <t>Student 2025_00016</t>
  </si>
  <si>
    <t>REG-2025-01653</t>
  </si>
  <si>
    <t>Student 2025_01653</t>
  </si>
  <si>
    <t>REG-2025-01261</t>
  </si>
  <si>
    <t>Student 2025_01261</t>
  </si>
  <si>
    <t>REG-2025-00725</t>
  </si>
  <si>
    <t>Student 2025_00725</t>
  </si>
  <si>
    <t>REG-2025-01028</t>
  </si>
  <si>
    <t>Student 2025_01028</t>
  </si>
  <si>
    <t>REG-2025-00702</t>
  </si>
  <si>
    <t>Student 2025_00702</t>
  </si>
  <si>
    <t>REG-2025-00306</t>
  </si>
  <si>
    <t>Student 2025_00306</t>
  </si>
  <si>
    <t>REG-2025-00867</t>
  </si>
  <si>
    <t>Student 2025_00867</t>
  </si>
  <si>
    <t>REG-2025-00634</t>
  </si>
  <si>
    <t>Student 2025_00634</t>
  </si>
  <si>
    <t>REG-2025-01443</t>
  </si>
  <si>
    <t>Student 2025_01443</t>
  </si>
  <si>
    <t>REG-2025-00680</t>
  </si>
  <si>
    <t>Student 2025_00680</t>
  </si>
  <si>
    <t>REG-2025-00554</t>
  </si>
  <si>
    <t>Student 2025_00554</t>
  </si>
  <si>
    <t>REG-2025-00728</t>
  </si>
  <si>
    <t>Student 2025_00728</t>
  </si>
  <si>
    <t>REG-2025-00288</t>
  </si>
  <si>
    <t>Student 2025_00288</t>
  </si>
  <si>
    <t>REG-2025-01761</t>
  </si>
  <si>
    <t>Student 2025_01761</t>
  </si>
  <si>
    <t>REG-2025-01481</t>
  </si>
  <si>
    <t>Student 2025_01481</t>
  </si>
  <si>
    <t>REG-2025-01221</t>
  </si>
  <si>
    <t>Student 2025_01221</t>
  </si>
  <si>
    <t>REG-2025-01002</t>
  </si>
  <si>
    <t>Student 2025_01002</t>
  </si>
  <si>
    <t>REG-2025-00393</t>
  </si>
  <si>
    <t>Student 2025_00393</t>
  </si>
  <si>
    <t>REG-2025-01276</t>
  </si>
  <si>
    <t>Student 2025_01276</t>
  </si>
  <si>
    <t>REG-2025-01147</t>
  </si>
  <si>
    <t>Student 2025_01147</t>
  </si>
  <si>
    <t>REG-2025-00233</t>
  </si>
  <si>
    <t>Student 2025_00233</t>
  </si>
  <si>
    <t>REG-2025-01679</t>
  </si>
  <si>
    <t>Student 2025_01679</t>
  </si>
  <si>
    <t>REG-2025-00087</t>
  </si>
  <si>
    <t>Student 2025_00087</t>
  </si>
  <si>
    <t>REG-2025-00929</t>
  </si>
  <si>
    <t>Student 2025_00929</t>
  </si>
  <si>
    <t>REG-2025-00850</t>
  </si>
  <si>
    <t>Student 2025_00850</t>
  </si>
  <si>
    <t>REG-2025-01775</t>
  </si>
  <si>
    <t>Student 2025_01775</t>
  </si>
  <si>
    <t>REG-2025-00300</t>
  </si>
  <si>
    <t>Student 2025_00300</t>
  </si>
  <si>
    <t>REG-2025-00204</t>
  </si>
  <si>
    <t>Student 2025_00204</t>
  </si>
  <si>
    <t>REG-2025-01219</t>
  </si>
  <si>
    <t>Student 2025_01219</t>
  </si>
  <si>
    <t>REG-2025-00303</t>
  </si>
  <si>
    <t>Student 2025_00303</t>
  </si>
  <si>
    <t>REG-2025-00492</t>
  </si>
  <si>
    <t>Student 2025_00492</t>
  </si>
  <si>
    <t>REG-2025-00570</t>
  </si>
  <si>
    <t>Student 2025_00570</t>
  </si>
  <si>
    <t>REG-2025-00827</t>
  </si>
  <si>
    <t>Student 2025_00827</t>
  </si>
  <si>
    <t>REG-2025-00796</t>
  </si>
  <si>
    <t>Student 2025_00796</t>
  </si>
  <si>
    <t>REG-2025-00641</t>
  </si>
  <si>
    <t>Student 2025_00641</t>
  </si>
  <si>
    <t>REG-2025-01069</t>
  </si>
  <si>
    <t>Student 2025_01069</t>
  </si>
  <si>
    <t>REG-2025-01562</t>
  </si>
  <si>
    <t>Student 2025_01562</t>
  </si>
  <si>
    <t>REG-2025-00786</t>
  </si>
  <si>
    <t>Student 2025_00786</t>
  </si>
  <si>
    <t>REG-2025-00148</t>
  </si>
  <si>
    <t>Student 2025_00148</t>
  </si>
  <si>
    <t>REG-2025-00619</t>
  </si>
  <si>
    <t>Student 2025_00619</t>
  </si>
  <si>
    <t>REG-2025-01157</t>
  </si>
  <si>
    <t>Student 2025_01157</t>
  </si>
  <si>
    <t>REG-2025-01063</t>
  </si>
  <si>
    <t>Student 2025_01063</t>
  </si>
  <si>
    <t>REG-2025-00343</t>
  </si>
  <si>
    <t>Student 2025_00343</t>
  </si>
  <si>
    <t>REG-2025-01487</t>
  </si>
  <si>
    <t>Student 2025_01487</t>
  </si>
  <si>
    <t>REG-2025-00801</t>
  </si>
  <si>
    <t>Student 2025_00801</t>
  </si>
  <si>
    <t>REG-2025-01143</t>
  </si>
  <si>
    <t>Student 2025_01143</t>
  </si>
  <si>
    <t>REG-2025-01112</t>
  </si>
  <si>
    <t>Student 2025_01112</t>
  </si>
  <si>
    <t>REG-2025-01360</t>
  </si>
  <si>
    <t>Student 2025_01360</t>
  </si>
  <si>
    <t>REG-2025-01201</t>
  </si>
  <si>
    <t>Student 2025_01201</t>
  </si>
  <si>
    <t>REG-2025-01684</t>
  </si>
  <si>
    <t>Student 2025_01684</t>
  </si>
  <si>
    <t>REG-2025-01133</t>
  </si>
  <si>
    <t>Student 2025_01133</t>
  </si>
  <si>
    <t>REG-2025-00258</t>
  </si>
  <si>
    <t>Student 2025_00258</t>
  </si>
  <si>
    <t>REG-2025-00075</t>
  </si>
  <si>
    <t>Student 2025_00075</t>
  </si>
  <si>
    <t>REG-2025-00625</t>
  </si>
  <si>
    <t>Student 2025_00625</t>
  </si>
  <si>
    <t>REG-2025-00892</t>
  </si>
  <si>
    <t>Student 2025_00892</t>
  </si>
  <si>
    <t>REG-2025-01508</t>
  </si>
  <si>
    <t>Student 2025_01508</t>
  </si>
  <si>
    <t>REG-2025-01600</t>
  </si>
  <si>
    <t>Student 2025_01600</t>
  </si>
  <si>
    <t>REG-2025-00147</t>
  </si>
  <si>
    <t>Student 2025_00147</t>
  </si>
  <si>
    <t>REG-2025-00819</t>
  </si>
  <si>
    <t>Student 2025_00819</t>
  </si>
  <si>
    <t>REG-2025-00951</t>
  </si>
  <si>
    <t>Student 2025_00951</t>
  </si>
  <si>
    <t>REG-2025-00352</t>
  </si>
  <si>
    <t>Student 2025_00352</t>
  </si>
  <si>
    <t>REG-2025-00832</t>
  </si>
  <si>
    <t>Student 2025_00832</t>
  </si>
  <si>
    <t>REG-2025-00778</t>
  </si>
  <si>
    <t>Student 2025_00778</t>
  </si>
  <si>
    <t>REG-2025-00637</t>
  </si>
  <si>
    <t>Student 2025_00637</t>
  </si>
  <si>
    <t>REG-2025-00927</t>
  </si>
  <si>
    <t>Student 2025_00927</t>
  </si>
  <si>
    <t>REG-2025-00020</t>
  </si>
  <si>
    <t>Student 2025_00020</t>
  </si>
  <si>
    <t>REG-2025-00563</t>
  </si>
  <si>
    <t>Student 2025_00563</t>
  </si>
  <si>
    <t>REG-2025-00176</t>
  </si>
  <si>
    <t>Student 2025_00176</t>
  </si>
  <si>
    <t>REG-2025-01581</t>
  </si>
  <si>
    <t>Student 2025_01581</t>
  </si>
  <si>
    <t>REG-2025-01238</t>
  </si>
  <si>
    <t>Student 2025_01238</t>
  </si>
  <si>
    <t>REG-2025-00719</t>
  </si>
  <si>
    <t>Student 2025_00719</t>
  </si>
  <si>
    <t>REG-2025-01704</t>
  </si>
  <si>
    <t>Student 2025_01704</t>
  </si>
  <si>
    <t>REG-2025-01314</t>
  </si>
  <si>
    <t>Student 2025_01314</t>
  </si>
  <si>
    <t>REG-2025-00544</t>
  </si>
  <si>
    <t>Student 2025_00544</t>
  </si>
  <si>
    <t>REG-2025-00383</t>
  </si>
  <si>
    <t>Student 2025_00383</t>
  </si>
  <si>
    <t>REG-2025-01489</t>
  </si>
  <si>
    <t>Student 2025_01489</t>
  </si>
  <si>
    <t>REG-2025-01596</t>
  </si>
  <si>
    <t>Student 2025_01596</t>
  </si>
  <si>
    <t>REG-2025-01708</t>
  </si>
  <si>
    <t>Student 2025_01708</t>
  </si>
  <si>
    <t>REG-2025-01565</t>
  </si>
  <si>
    <t>Student 2025_01565</t>
  </si>
  <si>
    <t>REG-2025-01623</t>
  </si>
  <si>
    <t>Student 2025_01623</t>
  </si>
  <si>
    <t>REG-2025-00052</t>
  </si>
  <si>
    <t>Student 2025_00052</t>
  </si>
  <si>
    <t>REG-2025-00117</t>
  </si>
  <si>
    <t>Student 2025_00117</t>
  </si>
  <si>
    <t>REG-2025-00251</t>
  </si>
  <si>
    <t>Student 2025_00251</t>
  </si>
  <si>
    <t>REG-2025-01279</t>
  </si>
  <si>
    <t>Student 2025_01279</t>
  </si>
  <si>
    <t>REG-2025-00612</t>
  </si>
  <si>
    <t>Student 2025_00612</t>
  </si>
  <si>
    <t>REG-2025-01083</t>
  </si>
  <si>
    <t>Student 2025_01083</t>
  </si>
  <si>
    <t>REG-2025-00733</t>
  </si>
  <si>
    <t>Student 2025_00733</t>
  </si>
  <si>
    <t>REG-2025-00535</t>
  </si>
  <si>
    <t>Student 2025_00535</t>
  </si>
  <si>
    <t>REG-2025-00785</t>
  </si>
  <si>
    <t>Student 2025_00785</t>
  </si>
  <si>
    <t>REG-2025-01783</t>
  </si>
  <si>
    <t>Student 2025_01783</t>
  </si>
  <si>
    <t>REG-2025-00919</t>
  </si>
  <si>
    <t>Student 2025_00919</t>
  </si>
  <si>
    <t>REG-2025-00262</t>
  </si>
  <si>
    <t>Student 2025_00262</t>
  </si>
  <si>
    <t>REG-2025-01553</t>
  </si>
  <si>
    <t>Student 2025_01553</t>
  </si>
  <si>
    <t>REG-2025-01027</t>
  </si>
  <si>
    <t>Student 2025_01027</t>
  </si>
  <si>
    <t>REG-2025-00749</t>
  </si>
  <si>
    <t>Student 2025_00749</t>
  </si>
  <si>
    <t>REG-2025-01666</t>
  </si>
  <si>
    <t>Student 2025_01666</t>
  </si>
  <si>
    <t>REG-2025-00742</t>
  </si>
  <si>
    <t>Student 2025_00742</t>
  </si>
  <si>
    <t>REG-2025-01739</t>
  </si>
  <si>
    <t>Student 2025_01739</t>
  </si>
  <si>
    <t>REG-2025-00999</t>
  </si>
  <si>
    <t>Student 2025_00999</t>
  </si>
  <si>
    <t>REG-2025-00216</t>
  </si>
  <si>
    <t>Student 2025_00216</t>
  </si>
  <si>
    <t>REG-2025-01014</t>
  </si>
  <si>
    <t>Student 2025_01014</t>
  </si>
  <si>
    <t>REG-2025-00338</t>
  </si>
  <si>
    <t>Student 2025_00338</t>
  </si>
  <si>
    <t>REG-2025-01306</t>
  </si>
  <si>
    <t>Student 2025_01306</t>
  </si>
  <si>
    <t>REG-2025-01542</t>
  </si>
  <si>
    <t>Student 2025_01542</t>
  </si>
  <si>
    <t>REG-2025-01250</t>
  </si>
  <si>
    <t>Student 2025_01250</t>
  </si>
  <si>
    <t>REG-2025-00865</t>
  </si>
  <si>
    <t>Student 2025_00865</t>
  </si>
  <si>
    <t>REG-2025-00426</t>
  </si>
  <si>
    <t>Student 2025_00426</t>
  </si>
  <si>
    <t>REG-2025-00991</t>
  </si>
  <si>
    <t>Student 2025_00991</t>
  </si>
  <si>
    <t>REG-2025-00429</t>
  </si>
  <si>
    <t>Student 2025_00429</t>
  </si>
  <si>
    <t>REG-2025-00547</t>
  </si>
  <si>
    <t>Student 2025_00547</t>
  </si>
  <si>
    <t>REG-2025-00494</t>
  </si>
  <si>
    <t>Student 2025_00494</t>
  </si>
  <si>
    <t>REG-2025-01036</t>
  </si>
  <si>
    <t>Student 2025_01036</t>
  </si>
  <si>
    <t>REG-2025-00932</t>
  </si>
  <si>
    <t>Student 2025_00932</t>
  </si>
  <si>
    <t>REG-2025-01574</t>
  </si>
  <si>
    <t>Student 2025_01574</t>
  </si>
  <si>
    <t>REG-2025-01747</t>
  </si>
  <si>
    <t>Student 2025_01747</t>
  </si>
  <si>
    <t>REG-2025-00769</t>
  </si>
  <si>
    <t>Student 2025_00769</t>
  </si>
  <si>
    <t>REG-2025-01310</t>
  </si>
  <si>
    <t>Student 2025_01310</t>
  </si>
  <si>
    <t>REG-2025-01330</t>
  </si>
  <si>
    <t>Student 2025_01330</t>
  </si>
  <si>
    <t>REG-2025-01262</t>
  </si>
  <si>
    <t>Student 2025_01262</t>
  </si>
  <si>
    <t>REG-2025-00106</t>
  </si>
  <si>
    <t>Student 2025_00106</t>
  </si>
  <si>
    <t>REG-2025-01706</t>
  </si>
  <si>
    <t>Student 2025_01706</t>
  </si>
  <si>
    <t>REG-2025-00807</t>
  </si>
  <si>
    <t>Student 2025_00807</t>
  </si>
  <si>
    <t>REG-2025-01520</t>
  </si>
  <si>
    <t>Student 2025_01520</t>
  </si>
  <si>
    <t>REG-2025-00157</t>
  </si>
  <si>
    <t>Student 2025_00157</t>
  </si>
  <si>
    <t>REG-2025-01208</t>
  </si>
  <si>
    <t>Student 2025_01208</t>
  </si>
  <si>
    <t>REG-2025-01033</t>
  </si>
  <si>
    <t>Student 2025_01033</t>
  </si>
  <si>
    <t>REG-2025-01189</t>
  </si>
  <si>
    <t>Student 2025_01189</t>
  </si>
  <si>
    <t>REG-2025-00576</t>
  </si>
  <si>
    <t>Student 2025_00576</t>
  </si>
  <si>
    <t>REG-2025-01601</t>
  </si>
  <si>
    <t>Student 2025_01601</t>
  </si>
  <si>
    <t>REG-2025-00775</t>
  </si>
  <si>
    <t>Student 2025_00775</t>
  </si>
  <si>
    <t>REG-2025-01670</t>
  </si>
  <si>
    <t>Student 2025_01670</t>
  </si>
  <si>
    <t>REG-2025-00789</t>
  </si>
  <si>
    <t>Student 2025_00789</t>
  </si>
  <si>
    <t>REG-2025-00081</t>
  </si>
  <si>
    <t>Student 2025_00081</t>
  </si>
  <si>
    <t>REG-2025-00599</t>
  </si>
  <si>
    <t>Student 2025_00599</t>
  </si>
  <si>
    <t>REG-2025-01439</t>
  </si>
  <si>
    <t>Student 2025_01439</t>
  </si>
  <si>
    <t>REG-2025-00011</t>
  </si>
  <si>
    <t>Student 2025_00011</t>
  </si>
  <si>
    <t>REG-2025-01181</t>
  </si>
  <si>
    <t>Student 2025_01181</t>
  </si>
  <si>
    <t>REG-2025-00322</t>
  </si>
  <si>
    <t>Student 2025_00322</t>
  </si>
  <si>
    <t>REG-2025-01690</t>
  </si>
  <si>
    <t>Student 2025_01690</t>
  </si>
  <si>
    <t>REG-2025-00729</t>
  </si>
  <si>
    <t>Student 2025_00729</t>
  </si>
  <si>
    <t>REG-2025-00202</t>
  </si>
  <si>
    <t>Student 2025_00202</t>
  </si>
  <si>
    <t>REG-2025-00279</t>
  </si>
  <si>
    <t>Student 2025_00279</t>
  </si>
  <si>
    <t>REG-2025-01585</t>
  </si>
  <si>
    <t>Student 2025_01585</t>
  </si>
  <si>
    <t>REG-2025-01552</t>
  </si>
  <si>
    <t>Student 2025_01552</t>
  </si>
  <si>
    <t>REG-2025-00541</t>
  </si>
  <si>
    <t>Student 2025_00541</t>
  </si>
  <si>
    <t>REG-2025-01309</t>
  </si>
  <si>
    <t>Student 2025_01309</t>
  </si>
  <si>
    <t>REG-2025-01737</t>
  </si>
  <si>
    <t>Student 2025_01737</t>
  </si>
  <si>
    <t>REG-2025-00386</t>
  </si>
  <si>
    <t>Student 2025_00386</t>
  </si>
  <si>
    <t>REG-2025-01383</t>
  </si>
  <si>
    <t>Student 2025_01383</t>
  </si>
  <si>
    <t>REG-2025-00500</t>
  </si>
  <si>
    <t>Student 2025_00500</t>
  </si>
  <si>
    <t>REG-2025-01794</t>
  </si>
  <si>
    <t>Student 2025_01794</t>
  </si>
  <si>
    <t>REG-2025-00264</t>
  </si>
  <si>
    <t>Student 2025_00264</t>
  </si>
  <si>
    <t>REG-2025-01678</t>
  </si>
  <si>
    <t>Student 2025_01678</t>
  </si>
  <si>
    <t>REG-2025-01588</t>
  </si>
  <si>
    <t>Student 2025_01588</t>
  </si>
  <si>
    <t>REG-2025-00669</t>
  </si>
  <si>
    <t>Student 2025_00669</t>
  </si>
  <si>
    <t>REG-2025-00857</t>
  </si>
  <si>
    <t>Student 2025_00857</t>
  </si>
  <si>
    <t>REG-2025-00453</t>
  </si>
  <si>
    <t>Student 2025_00453</t>
  </si>
  <si>
    <t>REG-2025-01094</t>
  </si>
  <si>
    <t>Student 2025_01094</t>
  </si>
  <si>
    <t>REG-2025-01773</t>
  </si>
  <si>
    <t>Student 2025_01773</t>
  </si>
  <si>
    <t>REG-2025-01750</t>
  </si>
  <si>
    <t>Student 2025_01750</t>
  </si>
  <si>
    <t>REG-2025-01709</t>
  </si>
  <si>
    <t>Student 2025_01709</t>
  </si>
  <si>
    <t>REG-2025-01413</t>
  </si>
  <si>
    <t>Student 2025_01413</t>
  </si>
  <si>
    <t>REG-2025-01619</t>
  </si>
  <si>
    <t>Student 2025_01619</t>
  </si>
  <si>
    <t>REG-2025-00907</t>
  </si>
  <si>
    <t>Student 2025_00907</t>
  </si>
  <si>
    <t>REG-2025-01109</t>
  </si>
  <si>
    <t>Student 2025_01109</t>
  </si>
  <si>
    <t>REG-2025-00655</t>
  </si>
  <si>
    <t>Student 2025_00655</t>
  </si>
  <si>
    <t>REG-2025-00232</t>
  </si>
  <si>
    <t>Student 2025_00232</t>
  </si>
  <si>
    <t>REG-2025-00795</t>
  </si>
  <si>
    <t>Student 2025_00795</t>
  </si>
  <si>
    <t>REG-2025-00120</t>
  </si>
  <si>
    <t>Student 2025_00120</t>
  </si>
  <si>
    <t>REG-2025-01715</t>
  </si>
  <si>
    <t>Student 2025_01715</t>
  </si>
  <si>
    <t>REG-2025-01200</t>
  </si>
  <si>
    <t>Student 2025_01200</t>
  </si>
  <si>
    <t>REG-2025-01081</t>
  </si>
  <si>
    <t>Student 2025_01081</t>
  </si>
  <si>
    <t>REG-2025-00346</t>
  </si>
  <si>
    <t>Student 2025_00346</t>
  </si>
  <si>
    <t>REG-2025-00674</t>
  </si>
  <si>
    <t>Student 2025_00674</t>
  </si>
  <si>
    <t>REG-2025-00970</t>
  </si>
  <si>
    <t>Student 2025_00970</t>
  </si>
  <si>
    <t>REG-2025-00748</t>
  </si>
  <si>
    <t>Student 2025_00748</t>
  </si>
  <si>
    <t>REG-2025-01067</t>
  </si>
  <si>
    <t>Student 2025_01067</t>
  </si>
  <si>
    <t>REG-2025-01152</t>
  </si>
  <si>
    <t>Student 2025_01152</t>
  </si>
  <si>
    <t>REG-2025-01494</t>
  </si>
  <si>
    <t>Student 2025_01494</t>
  </si>
  <si>
    <t>REG-2025-00926</t>
  </si>
  <si>
    <t>Student 2025_00926</t>
  </si>
  <si>
    <t>REG-2025-00072</t>
  </si>
  <si>
    <t>Student 2025_00072</t>
  </si>
  <si>
    <t>REG-2025-00539</t>
  </si>
  <si>
    <t>Student 2025_00539</t>
  </si>
  <si>
    <t>REG-2025-01780</t>
  </si>
  <si>
    <t>Student 2025_01780</t>
  </si>
  <si>
    <t>REG-2025-01373</t>
  </si>
  <si>
    <t>Student 2025_01373</t>
  </si>
  <si>
    <t>REG-2025-01234</t>
  </si>
  <si>
    <t>Student 2025_01234</t>
  </si>
  <si>
    <t>REG-2025-01527</t>
  </si>
  <si>
    <t>Student 2025_01527</t>
  </si>
  <si>
    <t>REG-2025-00624</t>
  </si>
  <si>
    <t>Student 2025_00624</t>
  </si>
  <si>
    <t>REG-2025-00828</t>
  </si>
  <si>
    <t>Student 2025_00828</t>
  </si>
  <si>
    <t>REG-2025-00573</t>
  </si>
  <si>
    <t>Student 2025_00573</t>
  </si>
  <si>
    <t>REG-2025-00761</t>
  </si>
  <si>
    <t>Student 2025_00761</t>
  </si>
  <si>
    <t>REG-2025-01190</t>
  </si>
  <si>
    <t>Student 2025_01190</t>
  </si>
  <si>
    <t>REG-2025-00399</t>
  </si>
  <si>
    <t>Student 2025_00399</t>
  </si>
  <si>
    <t>REG-2025-00368</t>
  </si>
  <si>
    <t>Student 2025_00368</t>
  </si>
  <si>
    <t>REG-2025-00562</t>
  </si>
  <si>
    <t>Student 2025_00562</t>
  </si>
  <si>
    <t>REG-2025-01399</t>
  </si>
  <si>
    <t>Student 2025_01399</t>
  </si>
  <si>
    <t>REG-2025-01655</t>
  </si>
  <si>
    <t>Student 2025_01655</t>
  </si>
  <si>
    <t>REG-2025-01559</t>
  </si>
  <si>
    <t>Student 2025_01559</t>
  </si>
  <si>
    <t>REG-2025-00939</t>
  </si>
  <si>
    <t>Student 2025_00939</t>
  </si>
  <si>
    <t>REG-2025-01120</t>
  </si>
  <si>
    <t>Student 2025_01120</t>
  </si>
  <si>
    <t>REG-2025-01456</t>
  </si>
  <si>
    <t>Student 2025_01456</t>
  </si>
  <si>
    <t>REG-2025-00905</t>
  </si>
  <si>
    <t>Student 2025_00905</t>
  </si>
  <si>
    <t>REG-2025-00491</t>
  </si>
  <si>
    <t>Student 2025_00491</t>
  </si>
  <si>
    <t>REG-2025-00497</t>
  </si>
  <si>
    <t>Student 2025_00497</t>
  </si>
  <si>
    <t>REG-2025-00335</t>
  </si>
  <si>
    <t>Student 2025_00335</t>
  </si>
  <si>
    <t>REG-2025-00252</t>
  </si>
  <si>
    <t>Student 2025_00252</t>
  </si>
  <si>
    <t>REG-2025-01041</t>
  </si>
  <si>
    <t>Student 2025_01041</t>
  </si>
  <si>
    <t>REG-2025-01698</t>
  </si>
  <si>
    <t>Student 2025_01698</t>
  </si>
  <si>
    <t>REG-2025-01333</t>
  </si>
  <si>
    <t>Student 2025_01333</t>
  </si>
  <si>
    <t>REG-2025-00812</t>
  </si>
  <si>
    <t>Student 2025_00812</t>
  </si>
  <si>
    <t>REG-2025-00760</t>
  </si>
  <si>
    <t>Student 2025_00760</t>
  </si>
  <si>
    <t>REG-2025-01372</t>
  </si>
  <si>
    <t>Student 2025_01372</t>
  </si>
  <si>
    <t>REG-2025-01502</t>
  </si>
  <si>
    <t>Student 2025_01502</t>
  </si>
  <si>
    <t>REG-2025-01681</t>
  </si>
  <si>
    <t>Student 2025_01681</t>
  </si>
  <si>
    <t>REG-2025-00958</t>
  </si>
  <si>
    <t>Student 2025_00958</t>
  </si>
  <si>
    <t>REG-2025-00602</t>
  </si>
  <si>
    <t>Student 2025_00602</t>
  </si>
  <si>
    <t>REG-2025-00178</t>
  </si>
  <si>
    <t>Student 2025_00178</t>
  </si>
  <si>
    <t>REG-2025-00107</t>
  </si>
  <si>
    <t>Student 2025_00107</t>
  </si>
  <si>
    <t>REG-2025-00025</t>
  </si>
  <si>
    <t>Student 2025_00025</t>
  </si>
  <si>
    <t>REG-2025-00948</t>
  </si>
  <si>
    <t>Student 2025_00948</t>
  </si>
  <si>
    <t>REG-2025-01407</t>
  </si>
  <si>
    <t>Student 2025_01407</t>
  </si>
  <si>
    <t>REG-2025-01594</t>
  </si>
  <si>
    <t>Student 2025_01594</t>
  </si>
  <si>
    <t>REG-2025-01165</t>
  </si>
  <si>
    <t>Student 2025_01165</t>
  </si>
  <si>
    <t>REG-2025-00068</t>
  </si>
  <si>
    <t>Student 2025_00068</t>
  </si>
  <si>
    <t>REG-2025-01007</t>
  </si>
  <si>
    <t>Student 2025_01007</t>
  </si>
  <si>
    <t>REG-2025-00928</t>
  </si>
  <si>
    <t>Student 2025_00928</t>
  </si>
  <si>
    <t>REG-2025-01409</t>
  </si>
  <si>
    <t>Student 2025_01409</t>
  </si>
  <si>
    <t>REG-2025-00571</t>
  </si>
  <si>
    <t>Student 2025_00571</t>
  </si>
  <si>
    <t>REG-2025-00316</t>
  </si>
  <si>
    <t>Student 2025_00316</t>
  </si>
  <si>
    <t>REG-2025-00169</t>
  </si>
  <si>
    <t>Student 2025_00169</t>
  </si>
  <si>
    <t>REG-2025-00558</t>
  </si>
  <si>
    <t>Student 2025_00558</t>
  </si>
  <si>
    <t>REG-2025-00620</t>
  </si>
  <si>
    <t>Student 2025_00620</t>
  </si>
  <si>
    <t>REG-2025-00124</t>
  </si>
  <si>
    <t>Student 2025_00124</t>
  </si>
  <si>
    <t>REG-2025-00266</t>
  </si>
  <si>
    <t>Student 2025_00266</t>
  </si>
  <si>
    <t>REG-2025-00629</t>
  </si>
  <si>
    <t>Student 2025_00629</t>
  </si>
  <si>
    <t>REG-2025-00688</t>
  </si>
  <si>
    <t>Student 2025_00688</t>
  </si>
  <si>
    <t>REG-2025-01749</t>
  </si>
  <si>
    <t>Student 2025_01749</t>
  </si>
  <si>
    <t>REG-2025-01756</t>
  </si>
  <si>
    <t>Student 2025_01756</t>
  </si>
  <si>
    <t>REG-2025-01675</t>
  </si>
  <si>
    <t>Student 2025_01675</t>
  </si>
  <si>
    <t>REG-2025-00542</t>
  </si>
  <si>
    <t>Student 2025_00542</t>
  </si>
  <si>
    <t>REG-2025-00048</t>
  </si>
  <si>
    <t>Student 2025_00048</t>
  </si>
  <si>
    <t>REG-2025-01352</t>
  </si>
  <si>
    <t>Student 2025_01352</t>
  </si>
  <si>
    <t>REG-2025-01173</t>
  </si>
  <si>
    <t>Student 2025_01173</t>
  </si>
  <si>
    <t>REG-2025-01583</t>
  </si>
  <si>
    <t>Student 2025_01583</t>
  </si>
  <si>
    <t>REG-2025-00881</t>
  </si>
  <si>
    <t>Student 2025_00881</t>
  </si>
  <si>
    <t>REG-2025-00457</t>
  </si>
  <si>
    <t>Student 2025_00457</t>
  </si>
  <si>
    <t>REG-2025-00782</t>
  </si>
  <si>
    <t>Student 2025_00782</t>
  </si>
  <si>
    <t>REG-2025-01085</t>
  </si>
  <si>
    <t>Student 2025_01085</t>
  </si>
  <si>
    <t>REG-2025-00505</t>
  </si>
  <si>
    <t>Student 2025_00505</t>
  </si>
  <si>
    <t>REG-2025-01304</t>
  </si>
  <si>
    <t>Student 2025_01304</t>
  </si>
  <si>
    <t>REG-2025-01536</t>
  </si>
  <si>
    <t>Student 2025_01536</t>
  </si>
  <si>
    <t>REG-2025-01410</t>
  </si>
  <si>
    <t>Student 2025_01410</t>
  </si>
  <si>
    <t>REG-2025-01719</t>
  </si>
  <si>
    <t>Student 2025_01719</t>
  </si>
  <si>
    <t>REG-2025-00475</t>
  </si>
  <si>
    <t>Student 2025_00475</t>
  </si>
  <si>
    <t>REG-2025-01052</t>
  </si>
  <si>
    <t>Student 2025_01052</t>
  </si>
  <si>
    <t>REG-2025-00915</t>
  </si>
  <si>
    <t>Student 2025_00915</t>
  </si>
  <si>
    <t>REG-2025-01300</t>
  </si>
  <si>
    <t>Student 2025_01300</t>
  </si>
  <si>
    <t>REG-2025-00721</t>
  </si>
  <si>
    <t>Student 2025_00721</t>
  </si>
  <si>
    <t>REG-2025-00920</t>
  </si>
  <si>
    <t>Student 2025_00920</t>
  </si>
  <si>
    <t>REG-2025-00042</t>
  </si>
  <si>
    <t>Student 2025_00042</t>
  </si>
  <si>
    <t>REG-2025-00029</t>
  </si>
  <si>
    <t>Student 2025_00029</t>
  </si>
  <si>
    <t>REG-2025-01353</t>
  </si>
  <si>
    <t>Student 2025_01353</t>
  </si>
  <si>
    <t>REG-2025-01608</t>
  </si>
  <si>
    <t>Student 2025_01608</t>
  </si>
  <si>
    <t>REG-2025-01226</t>
  </si>
  <si>
    <t>Student 2025_01226</t>
  </si>
  <si>
    <t>REG-2025-01705</t>
  </si>
  <si>
    <t>Student 2025_01705</t>
  </si>
  <si>
    <t>REG-2025-01024</t>
  </si>
  <si>
    <t>Student 2025_01024</t>
  </si>
  <si>
    <t>REG-2025-00433</t>
  </si>
  <si>
    <t>Student 2025_00433</t>
  </si>
  <si>
    <t>REG-2025-01183</t>
  </si>
  <si>
    <t>Student 2025_01183</t>
  </si>
  <si>
    <t>REG-2025-01271</t>
  </si>
  <si>
    <t>Student 2025_01271</t>
  </si>
  <si>
    <t>REG-2025-00685</t>
  </si>
  <si>
    <t>Student 2025_00685</t>
  </si>
  <si>
    <t>REG-2025-01644</t>
  </si>
  <si>
    <t>Student 2025_01644</t>
  </si>
  <si>
    <t>REG-2025-01492</t>
  </si>
  <si>
    <t>Student 2025_01492</t>
  </si>
  <si>
    <t>REG-2025-00199</t>
  </si>
  <si>
    <t>Student 2025_00199</t>
  </si>
  <si>
    <t>REG-2025-00481</t>
  </si>
  <si>
    <t>Student 2025_00481</t>
  </si>
  <si>
    <t>REG-2025-00487</t>
  </si>
  <si>
    <t>Student 2025_00487</t>
  </si>
  <si>
    <t>REG-2025-00978</t>
  </si>
  <si>
    <t>Student 2025_00978</t>
  </si>
  <si>
    <t>REG-2025-01447</t>
  </si>
  <si>
    <t>Student 2025_01447</t>
  </si>
  <si>
    <t>REG-2025-01484</t>
  </si>
  <si>
    <t>Student 2025_01484</t>
  </si>
  <si>
    <t>REG-2025-01703</t>
  </si>
  <si>
    <t>Student 2025_01703</t>
  </si>
  <si>
    <t>REG-2025-00027</t>
  </si>
  <si>
    <t>Student 2025_00027</t>
  </si>
  <si>
    <t>REG-2025-01758</t>
  </si>
  <si>
    <t>Student 2025_01758</t>
  </si>
  <si>
    <t>REG-2025-01720</t>
  </si>
  <si>
    <t>Student 2025_01720</t>
  </si>
  <si>
    <t>REG-2025-01149</t>
  </si>
  <si>
    <t>Student 2025_01149</t>
  </si>
  <si>
    <t>REG-2025-00296</t>
  </si>
  <si>
    <t>Student 2025_00296</t>
  </si>
  <si>
    <t>REG-2025-00651</t>
  </si>
  <si>
    <t>Student 2025_00651</t>
  </si>
  <si>
    <t>REG-2025-00914</t>
  </si>
  <si>
    <t>Student 2025_00914</t>
  </si>
  <si>
    <t>REG-2025-00996</t>
  </si>
  <si>
    <t>Student 2025_00996</t>
  </si>
  <si>
    <t>REG-2025-00689</t>
  </si>
  <si>
    <t>Student 2025_00689</t>
  </si>
  <si>
    <t>REG-2025-00043</t>
  </si>
  <si>
    <t>Student 2025_00043</t>
  </si>
  <si>
    <t>REG-2025-01293</t>
  </si>
  <si>
    <t>Student 2025_01293</t>
  </si>
  <si>
    <t>REG-2025-01533</t>
  </si>
  <si>
    <t>Student 2025_01533</t>
  </si>
  <si>
    <t>REG-2025-00139</t>
  </si>
  <si>
    <t>Student 2025_00139</t>
  </si>
  <si>
    <t>REG-2025-01595</t>
  </si>
  <si>
    <t>Student 2025_01595</t>
  </si>
  <si>
    <t>REG-2025-00997</t>
  </si>
  <si>
    <t>Student 2025_00997</t>
  </si>
  <si>
    <t>REG-2025-00479</t>
  </si>
  <si>
    <t>Student 2025_00479</t>
  </si>
  <si>
    <t>REG-2025-00969</t>
  </si>
  <si>
    <t>Student 2025_00969</t>
  </si>
  <si>
    <t>REG-2025-00824</t>
  </si>
  <si>
    <t>Student 2025_00824</t>
  </si>
  <si>
    <t>REG-2025-01604</t>
  </si>
  <si>
    <t>Student 2025_01604</t>
  </si>
  <si>
    <t>REG-2025-00601</t>
  </si>
  <si>
    <t>Student 2025_00601</t>
  </si>
  <si>
    <t>REG-2025-00360</t>
  </si>
  <si>
    <t>Student 2025_00360</t>
  </si>
  <si>
    <t>REG-2025-00870</t>
  </si>
  <si>
    <t>Student 2025_00870</t>
  </si>
  <si>
    <t>REG-2025-00835</t>
  </si>
  <si>
    <t>Student 2025_00835</t>
  </si>
  <si>
    <t>REG-2025-00228</t>
  </si>
  <si>
    <t>Student 2025_00228</t>
  </si>
  <si>
    <t>REG-2025-01474</t>
  </si>
  <si>
    <t>Student 2025_01474</t>
  </si>
  <si>
    <t>REG-2025-01102</t>
  </si>
  <si>
    <t>Student 2025_01102</t>
  </si>
  <si>
    <t>REG-2025-01312</t>
  </si>
  <si>
    <t>Student 2025_01312</t>
  </si>
  <si>
    <t>REG-2025-01580</t>
  </si>
  <si>
    <t>Student 2025_01580</t>
  </si>
  <si>
    <t>REG-2025-01095</t>
  </si>
  <si>
    <t>Student 2025_01095</t>
  </si>
  <si>
    <t>REG-2025-00471</t>
  </si>
  <si>
    <t>Student 2025_00471</t>
  </si>
  <si>
    <t>REG-2025-01003</t>
  </si>
  <si>
    <t>Student 2025_01003</t>
  </si>
  <si>
    <t>REG-2025-01267</t>
  </si>
  <si>
    <t>Student 2025_01267</t>
  </si>
  <si>
    <t>REG-2025-00581</t>
  </si>
  <si>
    <t>Student 2025_00581</t>
  </si>
  <si>
    <t>REG-2025-01249</t>
  </si>
  <si>
    <t>Student 2025_01249</t>
  </si>
  <si>
    <t>REG-2025-00334</t>
  </si>
  <si>
    <t>Student 2025_00334</t>
  </si>
  <si>
    <t>REG-2025-00953</t>
  </si>
  <si>
    <t>Student 2025_00953</t>
  </si>
  <si>
    <t>REG-2025-01784</t>
  </si>
  <si>
    <t>Student 2025_01784</t>
  </si>
  <si>
    <t>REG-2025-01158</t>
  </si>
  <si>
    <t>Student 2025_01158</t>
  </si>
  <si>
    <t>REG-2025-01582</t>
  </si>
  <si>
    <t>Student 2025_01582</t>
  </si>
  <si>
    <t>REG-2025-00663</t>
  </si>
  <si>
    <t>Student 2025_00663</t>
  </si>
  <si>
    <t>REG-2025-01301</t>
  </si>
  <si>
    <t>Student 2025_01301</t>
  </si>
  <si>
    <t>REG-2025-00172</t>
  </si>
  <si>
    <t>Student 2025_00172</t>
  </si>
  <si>
    <t>REG-2025-00244</t>
  </si>
  <si>
    <t>Student 2025_00244</t>
  </si>
  <si>
    <t>REG-2025-01779</t>
  </si>
  <si>
    <t>Student 2025_01779</t>
  </si>
  <si>
    <t>REG-2025-00592</t>
  </si>
  <si>
    <t>Student 2025_00592</t>
  </si>
  <si>
    <t>REG-2025-00302</t>
  </si>
  <si>
    <t>Student 2025_00302</t>
  </si>
  <si>
    <t>REG-2025-00037</t>
  </si>
  <si>
    <t>Student 2025_00037</t>
  </si>
  <si>
    <t>REG-2025-01275</t>
  </si>
  <si>
    <t>Student 2025_01275</t>
  </si>
  <si>
    <t>REG-2025-00618</t>
  </si>
  <si>
    <t>Student 2025_00618</t>
  </si>
  <si>
    <t>REG-2025-00260</t>
  </si>
  <si>
    <t>Student 2025_00260</t>
  </si>
  <si>
    <t>REG-2025-00638</t>
  </si>
  <si>
    <t>Student 2025_00638</t>
  </si>
  <si>
    <t>REG-2025-01683</t>
  </si>
  <si>
    <t>Student 2025_01683</t>
  </si>
  <si>
    <t>REG-2025-01772</t>
  </si>
  <si>
    <t>Student 2025_01772</t>
  </si>
  <si>
    <t>REG-2025-01322</t>
  </si>
  <si>
    <t>Student 2025_01322</t>
  </si>
  <si>
    <t>REG-2025-00523</t>
  </si>
  <si>
    <t>Student 2025_00523</t>
  </si>
  <si>
    <t>REG-2025-00045</t>
  </si>
  <si>
    <t>Student 2025_00045</t>
  </si>
  <si>
    <t>REG-2025-01345</t>
  </si>
  <si>
    <t>Student 2025_01345</t>
  </si>
  <si>
    <t>REG-2025-00063</t>
  </si>
  <si>
    <t>Student 2025_00063</t>
  </si>
  <si>
    <t>REG-2025-01211</t>
  </si>
  <si>
    <t>Student 2025_01211</t>
  </si>
  <si>
    <t>REG-2025-01462</t>
  </si>
  <si>
    <t>Student 2025_01462</t>
  </si>
  <si>
    <t>REG-2025-00757</t>
  </si>
  <si>
    <t>Student 2025_00757</t>
  </si>
  <si>
    <t>REG-2025-00177</t>
  </si>
  <si>
    <t>Student 2025_00177</t>
  </si>
  <si>
    <t>REG-2025-01716</t>
  </si>
  <si>
    <t>Student 2025_01716</t>
  </si>
  <si>
    <t>REG-2025-00908</t>
  </si>
  <si>
    <t>Student 2025_00908</t>
  </si>
  <si>
    <t>REG-2025-00815</t>
  </si>
  <si>
    <t>Student 2025_00815</t>
  </si>
  <si>
    <t>REG-2025-00200</t>
  </si>
  <si>
    <t>Student 2025_00200</t>
  </si>
  <si>
    <t>REG-2025-00261</t>
  </si>
  <si>
    <t>Student 2025_00261</t>
  </si>
  <si>
    <t>REG-2025-00593</t>
  </si>
  <si>
    <t>Student 2025_00593</t>
  </si>
  <si>
    <t>REG-2025-01192</t>
  </si>
  <si>
    <t>Student 2025_01192</t>
  </si>
  <si>
    <t>REG-2025-00852</t>
  </si>
  <si>
    <t>Student 2025_00852</t>
  </si>
  <si>
    <t>REG-2025-00447</t>
  </si>
  <si>
    <t>Student 2025_00447</t>
  </si>
  <si>
    <t>REG-2025-01000</t>
  </si>
  <si>
    <t>Student 2025_01000</t>
  </si>
  <si>
    <t>REG-2025-01342</t>
  </si>
  <si>
    <t>Student 2025_01342</t>
  </si>
  <si>
    <t>REG-2025-00831</t>
  </si>
  <si>
    <t>Student 2025_00831</t>
  </si>
  <si>
    <t>REG-2025-01419</t>
  </si>
  <si>
    <t>Student 2025_01419</t>
  </si>
  <si>
    <t>REG-2025-01445</t>
  </si>
  <si>
    <t>Student 2025_01445</t>
  </si>
  <si>
    <t>REG-2025-00621</t>
  </si>
  <si>
    <t>Student 2025_00621</t>
  </si>
  <si>
    <t>REG-2025-00751</t>
  </si>
  <si>
    <t>Student 2025_00751</t>
  </si>
  <si>
    <t>REG-2025-00738</t>
  </si>
  <si>
    <t>Student 2025_00738</t>
  </si>
  <si>
    <t>REG-2025-00189</t>
  </si>
  <si>
    <t>Student 2025_00189</t>
  </si>
  <si>
    <t>REG-2025-01248</t>
  </si>
  <si>
    <t>Student 2025_01248</t>
  </si>
  <si>
    <t>REG-2025-01199</t>
  </si>
  <si>
    <t>Student 2025_01199</t>
  </si>
  <si>
    <t>REG-2025-01346</t>
  </si>
  <si>
    <t>Student 2025_01346</t>
  </si>
  <si>
    <t>REG-2025-01621</t>
  </si>
  <si>
    <t>Student 2025_01621</t>
  </si>
  <si>
    <t>REG-2025-01450</t>
  </si>
  <si>
    <t>Student 2025_01450</t>
  </si>
  <si>
    <t>REG-2025-01037</t>
  </si>
  <si>
    <t>Student 2025_01037</t>
  </si>
  <si>
    <t>REG-2025-00816</t>
  </si>
  <si>
    <t>Student 2025_00816</t>
  </si>
  <si>
    <t>REG-2025-00175</t>
  </si>
  <si>
    <t>Student 2025_00175</t>
  </si>
  <si>
    <t>REG-2025-00428</t>
  </si>
  <si>
    <t>Student 2025_00428</t>
  </si>
  <si>
    <t>REG-2025-01087</t>
  </si>
  <si>
    <t>Student 2025_01087</t>
  </si>
  <si>
    <t>REG-2025-00213</t>
  </si>
  <si>
    <t>Student 2025_00213</t>
  </si>
  <si>
    <t>REG-2025-00267</t>
  </si>
  <si>
    <t>Student 2025_00267</t>
  </si>
  <si>
    <t>REG-2025-01186</t>
  </si>
  <si>
    <t>Student 2025_01186</t>
  </si>
  <si>
    <t>REG-2025-01436</t>
  </si>
  <si>
    <t>Student 2025_01436</t>
  </si>
  <si>
    <t>REG-2025-01124</t>
  </si>
  <si>
    <t>Student 2025_01124</t>
  </si>
  <si>
    <t>REG-2025-01241</t>
  </si>
  <si>
    <t>Student 2025_01241</t>
  </si>
  <si>
    <t>REG-2025-00282</t>
  </si>
  <si>
    <t>Student 2025_00282</t>
  </si>
  <si>
    <t>REG-2025-00079</t>
  </si>
  <si>
    <t>Student 2025_00079</t>
  </si>
  <si>
    <t>REG-2025-00369</t>
  </si>
  <si>
    <t>Student 2025_00369</t>
  </si>
  <si>
    <t>REG-2025-01379</t>
  </si>
  <si>
    <t>Student 2025_01379</t>
  </si>
  <si>
    <t>REG-2025-00509</t>
  </si>
  <si>
    <t>Student 2025_00509</t>
  </si>
  <si>
    <t>REG-2025-01669</t>
  </si>
  <si>
    <t>Student 2025_01669</t>
  </si>
  <si>
    <t>REG-2025-00617</t>
  </si>
  <si>
    <t>Student 2025_00617</t>
  </si>
  <si>
    <t>REG-2025-00974</t>
  </si>
  <si>
    <t>Student 2025_00974</t>
  </si>
  <si>
    <t>REG-2025-00137</t>
  </si>
  <si>
    <t>Student 2025_00137</t>
  </si>
  <si>
    <t>REG-2025-01722</t>
  </si>
  <si>
    <t>Student 2025_01722</t>
  </si>
  <si>
    <t>REG-2025-00862</t>
  </si>
  <si>
    <t>Student 2025_00862</t>
  </si>
  <si>
    <t>REG-2025-00998</t>
  </si>
  <si>
    <t>Student 2025_00998</t>
  </si>
  <si>
    <t>REG-2025-00676</t>
  </si>
  <si>
    <t>Student 2025_00676</t>
  </si>
  <si>
    <t>REG-2025-01340</t>
  </si>
  <si>
    <t>Student 2025_01340</t>
  </si>
  <si>
    <t>REG-2025-00250</t>
  </si>
  <si>
    <t>Student 2025_00250</t>
  </si>
  <si>
    <t>REG-2025-01667</t>
  </si>
  <si>
    <t>Student 2025_01667</t>
  </si>
  <si>
    <t>REG-2025-00406</t>
  </si>
  <si>
    <t>Student 2025_00406</t>
  </si>
  <si>
    <t>REG-2025-01214</t>
  </si>
  <si>
    <t>Student 2025_01214</t>
  </si>
  <si>
    <t>REG-2025-01432</t>
  </si>
  <si>
    <t>Student 2025_01432</t>
  </si>
  <si>
    <t>REG-2025-00798</t>
  </si>
  <si>
    <t>Student 2025_00798</t>
  </si>
  <si>
    <t>REG-2025-00078</t>
  </si>
  <si>
    <t>Student 2025_00078</t>
  </si>
  <si>
    <t>REG-2025-01205</t>
  </si>
  <si>
    <t>Student 2025_01205</t>
  </si>
  <si>
    <t>REG-2025-01449</t>
  </si>
  <si>
    <t>Student 2025_01449</t>
  </si>
  <si>
    <t>REG-2025-01497</t>
  </si>
  <si>
    <t>Student 2025_01497</t>
  </si>
  <si>
    <t>REG-2025-01546</t>
  </si>
  <si>
    <t>Student 2025_01546</t>
  </si>
  <si>
    <t>REG-2025-00184</t>
  </si>
  <si>
    <t>Student 2025_00184</t>
  </si>
  <si>
    <t>REG-2025-00236</t>
  </si>
  <si>
    <t>Student 2025_00236</t>
  </si>
  <si>
    <t>REG-2025-01509</t>
  </si>
  <si>
    <t>Student 2025_01509</t>
  </si>
  <si>
    <t>REG-2025-01258</t>
  </si>
  <si>
    <t>Student 2025_01258</t>
  </si>
  <si>
    <t>REG-2025-00679</t>
  </si>
  <si>
    <t>Student 2025_00679</t>
  </si>
  <si>
    <t>REG-2025-01645</t>
  </si>
  <si>
    <t>Student 2025_01645</t>
  </si>
  <si>
    <t>REG-2025-01723</t>
  </si>
  <si>
    <t>Student 2025_01723</t>
  </si>
  <si>
    <t>REG-2025-01664</t>
  </si>
  <si>
    <t>Student 2025_01664</t>
  </si>
  <si>
    <t>REG-2025-00565</t>
  </si>
  <si>
    <t>Student 2025_00565</t>
  </si>
  <si>
    <t>REG-2025-01470</t>
  </si>
  <si>
    <t>Student 2025_01470</t>
  </si>
  <si>
    <t>REG-2025-00708</t>
  </si>
  <si>
    <t>Student 2025_00708</t>
  </si>
  <si>
    <t>REG-2025-00589</t>
  </si>
  <si>
    <t>Student 2025_00589</t>
  </si>
  <si>
    <t>REG-2025-01689</t>
  </si>
  <si>
    <t>Student 2025_01689</t>
  </si>
  <si>
    <t>REG-2025-01335</t>
  </si>
  <si>
    <t>Student 2025_01335</t>
  </si>
  <si>
    <t>REG-2025-01263</t>
  </si>
  <si>
    <t>Student 2025_01263</t>
  </si>
  <si>
    <t>REG-2025-00356</t>
  </si>
  <si>
    <t>Student 2025_00356</t>
  </si>
  <si>
    <t>REG-2025-00654</t>
  </si>
  <si>
    <t>Student 2025_00654</t>
  </si>
  <si>
    <t>REG-2025-00709</t>
  </si>
  <si>
    <t>Student 2025_00709</t>
  </si>
  <si>
    <t>REG-2025-00410</t>
  </si>
  <si>
    <t>Student 2025_00410</t>
  </si>
  <si>
    <t>REG-2025-00131</t>
  </si>
  <si>
    <t>Student 2025_00131</t>
  </si>
  <si>
    <t>REG-2025-01734</t>
  </si>
  <si>
    <t>Student 2025_01734</t>
  </si>
  <si>
    <t>REG-2025-01488</t>
  </si>
  <si>
    <t>Student 2025_01488</t>
  </si>
  <si>
    <t>REG-2025-00585</t>
  </si>
  <si>
    <t>Student 2025_00585</t>
  </si>
  <si>
    <t>REG-2025-01732</t>
  </si>
  <si>
    <t>Student 2025_01732</t>
  </si>
  <si>
    <t>REG-2025-01318</t>
  </si>
  <si>
    <t>Student 2025_01318</t>
  </si>
  <si>
    <t>REG-2025-00552</t>
  </si>
  <si>
    <t>Student 2025_00552</t>
  </si>
  <si>
    <t>REG-2025-00613</t>
  </si>
  <si>
    <t>Student 2025_00613</t>
  </si>
  <si>
    <t>REG-2025-01736</t>
  </si>
  <si>
    <t>Student 2025_01736</t>
  </si>
  <si>
    <t>REG-2025-00526</t>
  </si>
  <si>
    <t>Student 2025_00526</t>
  </si>
  <si>
    <t>REG-2025-01378</t>
  </si>
  <si>
    <t>Student 2025_01378</t>
  </si>
  <si>
    <t>REG-2025-00756</t>
  </si>
  <si>
    <t>Student 2025_00756</t>
  </si>
  <si>
    <t>REG-2025-00363</t>
  </si>
  <si>
    <t>Student 2025_00363</t>
  </si>
  <si>
    <t>REG-2025-00636</t>
  </si>
  <si>
    <t>Student 2025_00636</t>
  </si>
  <si>
    <t>REG-2025-01532</t>
  </si>
  <si>
    <t>Student 2025_01532</t>
  </si>
  <si>
    <t>REG-2025-00503</t>
  </si>
  <si>
    <t>Student 2025_00503</t>
  </si>
  <si>
    <t>REG-2025-00246</t>
  </si>
  <si>
    <t>Student 2025_00246</t>
  </si>
  <si>
    <t>REG-2025-00372</t>
  </si>
  <si>
    <t>Student 2025_00372</t>
  </si>
  <si>
    <t>REG-2025-00649</t>
  </si>
  <si>
    <t>Student 2025_00649</t>
  </si>
  <si>
    <t>REG-2025-00711</t>
  </si>
  <si>
    <t>Student 2025_00711</t>
  </si>
  <si>
    <t>REG-2025-01125</t>
  </si>
  <si>
    <t>Student 2025_01125</t>
  </si>
  <si>
    <t>REG-2025-01786</t>
  </si>
  <si>
    <t>Student 2025_01786</t>
  </si>
  <si>
    <t>REG-2025-01426</t>
  </si>
  <si>
    <t>Student 2025_01426</t>
  </si>
  <si>
    <t>REG-2025-00682</t>
  </si>
  <si>
    <t>Student 2025_00682</t>
  </si>
  <si>
    <t>REG-2025-01054</t>
  </si>
  <si>
    <t>Student 2025_01054</t>
  </si>
  <si>
    <t>REG-2025-01096</t>
  </si>
  <si>
    <t>Student 2025_01096</t>
  </si>
  <si>
    <t>REG-2025-00467</t>
  </si>
  <si>
    <t>Student 2025_00467</t>
  </si>
  <si>
    <t>REG-2025-00954</t>
  </si>
  <si>
    <t>Student 2025_00954</t>
  </si>
  <si>
    <t>REG-2025-00718</t>
  </si>
  <si>
    <t>Student 2025_00718</t>
  </si>
  <si>
    <t>REG-2025-00285</t>
  </si>
  <si>
    <t>Student 2025_00285</t>
  </si>
  <si>
    <t>REG-2025-01676</t>
  </si>
  <si>
    <t>Student 2025_01676</t>
  </si>
  <si>
    <t>REG-2025-00940</t>
  </si>
  <si>
    <t>Student 2025_00940</t>
  </si>
  <si>
    <t>REG-2025-00330</t>
  </si>
  <si>
    <t>Student 2025_00330</t>
  </si>
  <si>
    <t>REG-2025-00588</t>
  </si>
  <si>
    <t>Student 2025_00588</t>
  </si>
  <si>
    <t>REG-2025-00041</t>
  </si>
  <si>
    <t>Student 2025_00041</t>
  </si>
  <si>
    <t>REG-2025-00934</t>
  </si>
  <si>
    <t>Student 2025_00934</t>
  </si>
  <si>
    <t>REG-2025-01545</t>
  </si>
  <si>
    <t>Student 2025_01545</t>
  </si>
  <si>
    <t>REG-2025-01167</t>
  </si>
  <si>
    <t>Student 2025_01167</t>
  </si>
  <si>
    <t>REG-2025-00990</t>
  </si>
  <si>
    <t>Student 2025_00990</t>
  </si>
  <si>
    <t>REG-2025-01616</t>
  </si>
  <si>
    <t>Student 2025_01616</t>
  </si>
  <si>
    <t>REG-2025-00353</t>
  </si>
  <si>
    <t>Student 2025_00353</t>
  </si>
  <si>
    <t>REG-2025-00780</t>
  </si>
  <si>
    <t>Student 2025_00780</t>
  </si>
  <si>
    <t>REG-2025-00694</t>
  </si>
  <si>
    <t>Student 2025_00694</t>
  </si>
  <si>
    <t>REG-2025-01663</t>
  </si>
  <si>
    <t>Student 2025_01663</t>
  </si>
  <si>
    <t>REG-2025-01543</t>
  </si>
  <si>
    <t>Student 2025_01543</t>
  </si>
  <si>
    <t>REG-2025-00921</t>
  </si>
  <si>
    <t>Student 2025_00921</t>
  </si>
  <si>
    <t>REG-2025-01672</t>
  </si>
  <si>
    <t>Student 2025_01672</t>
  </si>
  <si>
    <t>REG-2025-01625</t>
  </si>
  <si>
    <t>Student 2025_01625</t>
  </si>
  <si>
    <t>REG-2025-01038</t>
  </si>
  <si>
    <t>Student 2025_01038</t>
  </si>
  <si>
    <t>REG-2025-00895</t>
  </si>
  <si>
    <t>Student 2025_00895</t>
  </si>
  <si>
    <t>REG-2025-01156</t>
  </si>
  <si>
    <t>Student 2025_01156</t>
  </si>
  <si>
    <t>REG-2025-01060</t>
  </si>
  <si>
    <t>Student 2025_01060</t>
  </si>
  <si>
    <t>REG-2025-01755</t>
  </si>
  <si>
    <t>Student 2025_01755</t>
  </si>
  <si>
    <t>REG-2025-00332</t>
  </si>
  <si>
    <t>Student 2025_00332</t>
  </si>
  <si>
    <t>REG-2025-01011</t>
  </si>
  <si>
    <t>Student 2025_01011</t>
  </si>
  <si>
    <t>REG-2025-00918</t>
  </si>
  <si>
    <t>Student 2025_00918</t>
  </si>
  <si>
    <t>REG-2025-01380</t>
  </si>
  <si>
    <t>Student 2025_01380</t>
  </si>
  <si>
    <t>REG-2025-01725</t>
  </si>
  <si>
    <t>Student 2025_01725</t>
  </si>
  <si>
    <t>REG-2025-00203</t>
  </si>
  <si>
    <t>Student 2025_00203</t>
  </si>
  <si>
    <t>REG-2025-01448</t>
  </si>
  <si>
    <t>Student 2025_01448</t>
  </si>
  <si>
    <t>REG-2025-00525</t>
  </si>
  <si>
    <t>Student 2025_00525</t>
  </si>
  <si>
    <t>REG-2025-01151</t>
  </si>
  <si>
    <t>Student 2025_01151</t>
  </si>
  <si>
    <t>REG-2025-01064</t>
  </si>
  <si>
    <t>Student 2025_01064</t>
  </si>
  <si>
    <t>REG-2025-00704</t>
  </si>
  <si>
    <t>Student 2025_00704</t>
  </si>
  <si>
    <t>REG-2025-00056</t>
  </si>
  <si>
    <t>Student 2025_00056</t>
  </si>
  <si>
    <t>REG-2025-00706</t>
  </si>
  <si>
    <t>Student 2025_00706</t>
  </si>
  <si>
    <t>REG-2025-01486</t>
  </si>
  <si>
    <t>Student 2025_01486</t>
  </si>
  <si>
    <t>REG-2025-00961</t>
  </si>
  <si>
    <t>Student 2025_00961</t>
  </si>
  <si>
    <t>REG-2025-00705</t>
  </si>
  <si>
    <t>Student 2025_00705</t>
  </si>
  <si>
    <t>REG-2025-00499</t>
  </si>
  <si>
    <t>Student 2025_00499</t>
  </si>
  <si>
    <t>REG-2025-01110</t>
  </si>
  <si>
    <t>Student 2025_01110</t>
  </si>
  <si>
    <t>REG-2025-00397</t>
  </si>
  <si>
    <t>Student 2025_00397</t>
  </si>
  <si>
    <t>REG-2025-00378</t>
  </si>
  <si>
    <t>Student 2025_00378</t>
  </si>
  <si>
    <t>REG-2025-00677</t>
  </si>
  <si>
    <t>Student 2025_00677</t>
  </si>
  <si>
    <t>REG-2025-00445</t>
  </si>
  <si>
    <t>Student 2025_00445</t>
  </si>
  <si>
    <t>REG-2025-01089</t>
  </si>
  <si>
    <t>Student 2025_01089</t>
  </si>
  <si>
    <t>REG-2025-00111</t>
  </si>
  <si>
    <t>Student 2025_00111</t>
  </si>
  <si>
    <t>REG-2025-00197</t>
  </si>
  <si>
    <t>Student 2025_00197</t>
  </si>
  <si>
    <t>REG-2025-01375</t>
  </si>
  <si>
    <t>Student 2025_01375</t>
  </si>
  <si>
    <t>REG-2025-01084</t>
  </si>
  <si>
    <t>Student 2025_01084</t>
  </si>
  <si>
    <t>REG-2025-00452</t>
  </si>
  <si>
    <t>Student 2025_00452</t>
  </si>
  <si>
    <t>REG-2025-01228</t>
  </si>
  <si>
    <t>Student 2025_01228</t>
  </si>
  <si>
    <t>REG-2025-01396</t>
  </si>
  <si>
    <t>Student 2025_01396</t>
  </si>
  <si>
    <t>REG-2025-00600</t>
  </si>
  <si>
    <t>Student 2025_00600</t>
  </si>
  <si>
    <t>REG-2025-01053</t>
  </si>
  <si>
    <t>Student 2025_01053</t>
  </si>
  <si>
    <t>REG-2025-00861</t>
  </si>
  <si>
    <t>Student 2025_00861</t>
  </si>
  <si>
    <t>REG-2025-00965</t>
  </si>
  <si>
    <t>Student 2025_00965</t>
  </si>
  <si>
    <t>REG-2025-00791</t>
  </si>
  <si>
    <t>Student 2025_00791</t>
  </si>
  <si>
    <t>REG-2025-01367</t>
  </si>
  <si>
    <t>Student 2025_01367</t>
  </si>
  <si>
    <t>REG-2025-01040</t>
  </si>
  <si>
    <t>Student 2025_01040</t>
  </si>
  <si>
    <t>REG-2025-00242</t>
  </si>
  <si>
    <t>Student 2025_00242</t>
  </si>
  <si>
    <t>REG-2025-00611</t>
  </si>
  <si>
    <t>Student 2025_00611</t>
  </si>
  <si>
    <t>REG-2025-01573</t>
  </si>
  <si>
    <t>Student 2025_01573</t>
  </si>
  <si>
    <t>REG-2025-00574</t>
  </si>
  <si>
    <t>Student 2025_00574</t>
  </si>
  <si>
    <t>REG-2025-00227</t>
  </si>
  <si>
    <t>Student 2025_00227</t>
  </si>
  <si>
    <t>REG-2025-00417</t>
  </si>
  <si>
    <t>Student 2025_00417</t>
  </si>
  <si>
    <t>REG-2025-00650</t>
  </si>
  <si>
    <t>Student 2025_00650</t>
  </si>
  <si>
    <t>REG-2025-01043</t>
  </si>
  <si>
    <t>Student 2025_01043</t>
  </si>
  <si>
    <t>REG-2025-00190</t>
  </si>
  <si>
    <t>Student 2025_00190</t>
  </si>
  <si>
    <t>REG-2025-00022</t>
  </si>
  <si>
    <t>Student 2025_00022</t>
  </si>
  <si>
    <t>REG-2025-01128</t>
  </si>
  <si>
    <t>Student 2025_01128</t>
  </si>
  <si>
    <t>REG-2025-00538</t>
  </si>
  <si>
    <t>Student 2025_00538</t>
  </si>
  <si>
    <t>REG-2025-00272</t>
  </si>
  <si>
    <t>Student 2025_00272</t>
  </si>
  <si>
    <t>REG-2025-00329</t>
  </si>
  <si>
    <t>Student 2025_00329</t>
  </si>
  <si>
    <t>REG-2025-00307</t>
  </si>
  <si>
    <t>Student 2025_00307</t>
  </si>
  <si>
    <t>REG-2025-00080</t>
  </si>
  <si>
    <t>Student 2025_00080</t>
  </si>
  <si>
    <t>REG-2025-01433</t>
  </si>
  <si>
    <t>Student 2025_01433</t>
  </si>
  <si>
    <t>REG-2025-01198</t>
  </si>
  <si>
    <t>Student 2025_01198</t>
  </si>
  <si>
    <t>REG-2025-00297</t>
  </si>
  <si>
    <t>Student 2025_00297</t>
  </si>
  <si>
    <t>REG-2025-00231</t>
  </si>
  <si>
    <t>Student 2025_00231</t>
  </si>
  <si>
    <t>REG-2025-01209</t>
  </si>
  <si>
    <t>Student 2025_01209</t>
  </si>
  <si>
    <t>REG-2025-01717</t>
  </si>
  <si>
    <t>Student 2025_01717</t>
  </si>
  <si>
    <t>REG-2025-01766</t>
  </si>
  <si>
    <t>Student 2025_01766</t>
  </si>
  <si>
    <t>REG-2025-01336</t>
  </si>
  <si>
    <t>Student 2025_01336</t>
  </si>
  <si>
    <t>REG-2025-00605</t>
  </si>
  <si>
    <t>Student 2025_00605</t>
  </si>
  <si>
    <t>REG-2025-00053</t>
  </si>
  <si>
    <t>Student 2025_00053</t>
  </si>
  <si>
    <t>REG-2025-01622</t>
  </si>
  <si>
    <t>Student 2025_01622</t>
  </si>
  <si>
    <t>REG-2025-00864</t>
  </si>
  <si>
    <t>Student 2025_00864</t>
  </si>
  <si>
    <t>REG-2025-01589</t>
  </si>
  <si>
    <t>Student 2025_01589</t>
  </si>
  <si>
    <t>REG-2025-00416</t>
  </si>
  <si>
    <t>Student 2025_00416</t>
  </si>
  <si>
    <t>REG-2025-01245</t>
  </si>
  <si>
    <t>Student 2025_01245</t>
  </si>
  <si>
    <t>REG-2025-01638</t>
  </si>
  <si>
    <t>Student 2025_01638</t>
  </si>
  <si>
    <t>REG-2025-00438</t>
  </si>
  <si>
    <t>Student 2025_00438</t>
  </si>
  <si>
    <t>REG-2025-00128</t>
  </si>
  <si>
    <t>Student 2025_00128</t>
  </si>
  <si>
    <t>REG-2025-00848</t>
  </si>
  <si>
    <t>Student 2025_00848</t>
  </si>
  <si>
    <t>REG-2025-00747</t>
  </si>
  <si>
    <t>Student 2025_00747</t>
  </si>
  <si>
    <t>REG-2025-00299</t>
  </si>
  <si>
    <t>Student 2025_00299</t>
  </si>
  <si>
    <t>REG-2025-00421</t>
  </si>
  <si>
    <t>Student 2025_00421</t>
  </si>
  <si>
    <t>REG-2025-00381</t>
  </si>
  <si>
    <t>Student 2025_00381</t>
  </si>
  <si>
    <t>REG-2025-01259</t>
  </si>
  <si>
    <t>Student 2025_01259</t>
  </si>
  <si>
    <t>REG-2025-01066</t>
  </si>
  <si>
    <t>Student 2025_01066</t>
  </si>
  <si>
    <t>REG-2025-01115</t>
  </si>
  <si>
    <t>Student 2025_01115</t>
  </si>
  <si>
    <t>REG-2025-00270</t>
  </si>
  <si>
    <t>Student 2025_00270</t>
  </si>
  <si>
    <t>REG-2025-00028</t>
  </si>
  <si>
    <t>Student 2025_00028</t>
  </si>
  <si>
    <t>REG-2025-01610</t>
  </si>
  <si>
    <t>Student 2025_01610</t>
  </si>
  <si>
    <t>REG-2025-00802</t>
  </si>
  <si>
    <t>Student 2025_00802</t>
  </si>
  <si>
    <t>REG-2025-00477</t>
  </si>
  <si>
    <t>Student 2025_00477</t>
  </si>
  <si>
    <t>REG-2025-01473</t>
  </si>
  <si>
    <t>Student 2025_01473</t>
  </si>
  <si>
    <t>REG-2025-00430</t>
  </si>
  <si>
    <t>Student 2025_00430</t>
  </si>
  <si>
    <t>REG-2025-01740</t>
  </si>
  <si>
    <t>Student 2025_01740</t>
  </si>
  <si>
    <t>REG-2025-01656</t>
  </si>
  <si>
    <t>Student 2025_01656</t>
  </si>
  <si>
    <t>REG-2025-00465</t>
  </si>
  <si>
    <t>Student 2025_00465</t>
  </si>
  <si>
    <t>REG-2025-00658</t>
  </si>
  <si>
    <t>Student 2025_00658</t>
  </si>
  <si>
    <t>REG-2025-00922</t>
  </si>
  <si>
    <t>Student 2025_00922</t>
  </si>
  <si>
    <t>REG-2025-00229</t>
  </si>
  <si>
    <t>Student 2025_00229</t>
  </si>
  <si>
    <t>REG-2025-01540</t>
  </si>
  <si>
    <t>Student 2025_01540</t>
  </si>
  <si>
    <t>REG-2025-00833</t>
  </si>
  <si>
    <t>Student 2025_00833</t>
  </si>
  <si>
    <t>REG-2025-01169</t>
  </si>
  <si>
    <t>Student 2025_01169</t>
  </si>
  <si>
    <t>REG-2025-01237</t>
  </si>
  <si>
    <t>Student 2025_01237</t>
  </si>
  <si>
    <t>REG-2025-01392</t>
  </si>
  <si>
    <t>Student 2025_01392</t>
  </si>
  <si>
    <t>REG-2025-01382</t>
  </si>
  <si>
    <t>Student 2025_01382</t>
  </si>
  <si>
    <t>REG-2025-00408</t>
  </si>
  <si>
    <t>Student 2025_00408</t>
  </si>
  <si>
    <t>REG-2025-01254</t>
  </si>
  <si>
    <t>Student 2025_01254</t>
  </si>
  <si>
    <t>REG-2025-01065</t>
  </si>
  <si>
    <t>Student 2025_01065</t>
  </si>
  <si>
    <t>REG-2025-01231</t>
  </si>
  <si>
    <t>Student 2025_01231</t>
  </si>
  <si>
    <t>REG-2025-01035</t>
  </si>
  <si>
    <t>Student 2025_01035</t>
  </si>
  <si>
    <t>REG-2025-01510</t>
  </si>
  <si>
    <t>Student 2025_01510</t>
  </si>
  <si>
    <t>REG-2025-00161</t>
  </si>
  <si>
    <t>Student 2025_00161</t>
  </si>
  <si>
    <t>REG-2025-01236</t>
  </si>
  <si>
    <t>Student 2025_01236</t>
  </si>
  <si>
    <t>REG-2025-00324</t>
  </si>
  <si>
    <t>Student 2025_00324</t>
  </si>
  <si>
    <t>REG-2025-01529</t>
  </si>
  <si>
    <t>Student 2025_01529</t>
  </si>
  <si>
    <t>REG-2025-01613</t>
  </si>
  <si>
    <t>Student 2025_01613</t>
  </si>
  <si>
    <t>REG-2025-00863</t>
  </si>
  <si>
    <t>Student 2025_00863</t>
  </si>
  <si>
    <t>REG-2025-01759</t>
  </si>
  <si>
    <t>Student 2025_01759</t>
  </si>
  <si>
    <t>REG-2025-00575</t>
  </si>
  <si>
    <t>Student 2025_00575</t>
  </si>
  <si>
    <t>REG-2026-01090</t>
  </si>
  <si>
    <t>Student 2026_01090</t>
  </si>
  <si>
    <t>REG-2026-02025</t>
  </si>
  <si>
    <t>Student 2026_02025</t>
  </si>
  <si>
    <t>REG-2026-01497</t>
  </si>
  <si>
    <t>Student 2026_01497</t>
  </si>
  <si>
    <t>REG-2026-00529</t>
  </si>
  <si>
    <t>Student 2026_00529</t>
  </si>
  <si>
    <t>REG-2026-01500</t>
  </si>
  <si>
    <t>Student 2026_01500</t>
  </si>
  <si>
    <t>REG-2026-00937</t>
  </si>
  <si>
    <t>Student 2026_00937</t>
  </si>
  <si>
    <t>REG-2026-01197</t>
  </si>
  <si>
    <t>Student 2026_01197</t>
  </si>
  <si>
    <t>REG-2026-01717</t>
  </si>
  <si>
    <t>Student 2026_01717</t>
  </si>
  <si>
    <t>REG-2026-00760</t>
  </si>
  <si>
    <t>Student 2026_00760</t>
  </si>
  <si>
    <t>REG-2026-01138</t>
  </si>
  <si>
    <t>Student 2026_01138</t>
  </si>
  <si>
    <t>REG-2026-00709</t>
  </si>
  <si>
    <t>Student 2026_00709</t>
  </si>
  <si>
    <t>REG-2026-00735</t>
  </si>
  <si>
    <t>Student 2026_00735</t>
  </si>
  <si>
    <t>REG-2026-01325</t>
  </si>
  <si>
    <t>Student 2026_01325</t>
  </si>
  <si>
    <t>REG-2026-01782</t>
  </si>
  <si>
    <t>Student 2026_01782</t>
  </si>
  <si>
    <t>REG-2026-00289</t>
  </si>
  <si>
    <t>Student 2026_00289</t>
  </si>
  <si>
    <t>REG-2026-00095</t>
  </si>
  <si>
    <t>Student 2026_00095</t>
  </si>
  <si>
    <t>REG-2026-00515</t>
  </si>
  <si>
    <t>Student 2026_00515</t>
  </si>
  <si>
    <t>REG-2026-02146</t>
  </si>
  <si>
    <t>Student 2026_02146</t>
  </si>
  <si>
    <t>REG-2026-00852</t>
  </si>
  <si>
    <t>Student 2026_00852</t>
  </si>
  <si>
    <t>REG-2026-00246</t>
  </si>
  <si>
    <t>Student 2026_00246</t>
  </si>
  <si>
    <t>REG-2026-01075</t>
  </si>
  <si>
    <t>Student 2026_01075</t>
  </si>
  <si>
    <t>REG-2026-02057</t>
  </si>
  <si>
    <t>Student 2026_02057</t>
  </si>
  <si>
    <t>REG-2026-02074</t>
  </si>
  <si>
    <t>Student 2026_02074</t>
  </si>
  <si>
    <t>REG-2026-00113</t>
  </si>
  <si>
    <t>Student 2026_00113</t>
  </si>
  <si>
    <t>REG-2026-01505</t>
  </si>
  <si>
    <t>Student 2026_01505</t>
  </si>
  <si>
    <t>REG-2026-01129</t>
  </si>
  <si>
    <t>Student 2026_01129</t>
  </si>
  <si>
    <t>REG-2026-00390</t>
  </si>
  <si>
    <t>Student 2026_00390</t>
  </si>
  <si>
    <t>REG-2026-00555</t>
  </si>
  <si>
    <t>Student 2026_00555</t>
  </si>
  <si>
    <t>REG-2026-00247</t>
  </si>
  <si>
    <t>Student 2026_00247</t>
  </si>
  <si>
    <t>REG-2026-01876</t>
  </si>
  <si>
    <t>Student 2026_01876</t>
  </si>
  <si>
    <t>REG-2026-00168</t>
  </si>
  <si>
    <t>Student 2026_00168</t>
  </si>
  <si>
    <t>REG-2026-01157</t>
  </si>
  <si>
    <t>Student 2026_01157</t>
  </si>
  <si>
    <t>REG-2026-01441</t>
  </si>
  <si>
    <t>Student 2026_01441</t>
  </si>
  <si>
    <t>REG-2026-01856</t>
  </si>
  <si>
    <t>Student 2026_01856</t>
  </si>
  <si>
    <t>REG-2026-01582</t>
  </si>
  <si>
    <t>Student 2026_01582</t>
  </si>
  <si>
    <t>REG-2026-01054</t>
  </si>
  <si>
    <t>Student 2026_01054</t>
  </si>
  <si>
    <t>REG-2026-00809</t>
  </si>
  <si>
    <t>Student 2026_00809</t>
  </si>
  <si>
    <t>REG-2026-01916</t>
  </si>
  <si>
    <t>Student 2026_01916</t>
  </si>
  <si>
    <t>REG-2026-00896</t>
  </si>
  <si>
    <t>Student 2026_00896</t>
  </si>
  <si>
    <t>REG-2026-00720</t>
  </si>
  <si>
    <t>Student 2026_00720</t>
  </si>
  <si>
    <t>REG-2026-00835</t>
  </si>
  <si>
    <t>Student 2026_00835</t>
  </si>
  <si>
    <t>REG-2026-00825</t>
  </si>
  <si>
    <t>Student 2026_00825</t>
  </si>
  <si>
    <t>REG-2026-01837</t>
  </si>
  <si>
    <t>Student 2026_01837</t>
  </si>
  <si>
    <t>REG-2026-01152</t>
  </si>
  <si>
    <t>Student 2026_01152</t>
  </si>
  <si>
    <t>REG-2026-01282</t>
  </si>
  <si>
    <t>Student 2026_01282</t>
  </si>
  <si>
    <t>REG-2026-01975</t>
  </si>
  <si>
    <t>Student 2026_01975</t>
  </si>
  <si>
    <t>REG-2026-01170</t>
  </si>
  <si>
    <t>Student 2026_01170</t>
  </si>
  <si>
    <t>REG-2026-02011</t>
  </si>
  <si>
    <t>Student 2026_02011</t>
  </si>
  <si>
    <t>REG-2026-00620</t>
  </si>
  <si>
    <t>Student 2026_00620</t>
  </si>
  <si>
    <t>REG-2026-01637</t>
  </si>
  <si>
    <t>Student 2026_01637</t>
  </si>
  <si>
    <t>REG-2026-01373</t>
  </si>
  <si>
    <t>Student 2026_01373</t>
  </si>
  <si>
    <t>REG-2026-00592</t>
  </si>
  <si>
    <t>Student 2026_00592</t>
  </si>
  <si>
    <t>REG-2026-01849</t>
  </si>
  <si>
    <t>Student 2026_01849</t>
  </si>
  <si>
    <t>REG-2026-02090</t>
  </si>
  <si>
    <t>Student 2026_02090</t>
  </si>
  <si>
    <t>REG-2026-00060</t>
  </si>
  <si>
    <t>Student 2026_00060</t>
  </si>
  <si>
    <t>REG-2026-01705</t>
  </si>
  <si>
    <t>Student 2026_01705</t>
  </si>
  <si>
    <t>REG-2026-01097</t>
  </si>
  <si>
    <t>Student 2026_01097</t>
  </si>
  <si>
    <t>REG-2026-01850</t>
  </si>
  <si>
    <t>Student 2026_01850</t>
  </si>
  <si>
    <t>REG-2026-00018</t>
  </si>
  <si>
    <t>Student 2026_00018</t>
  </si>
  <si>
    <t>REG-2026-00057</t>
  </si>
  <si>
    <t>Student 2026_00057</t>
  </si>
  <si>
    <t>REG-2026-00944</t>
  </si>
  <si>
    <t>Student 2026_00944</t>
  </si>
  <si>
    <t>REG-2026-00695</t>
  </si>
  <si>
    <t>Student 2026_00695</t>
  </si>
  <si>
    <t>REG-2026-00376</t>
  </si>
  <si>
    <t>Student 2026_00376</t>
  </si>
  <si>
    <t>REG-2026-00903</t>
  </si>
  <si>
    <t>Student 2026_00903</t>
  </si>
  <si>
    <t>REG-2026-02005</t>
  </si>
  <si>
    <t>Student 2026_02005</t>
  </si>
  <si>
    <t>REG-2026-02007</t>
  </si>
  <si>
    <t>Student 2026_02007</t>
  </si>
  <si>
    <t>REG-2026-01003</t>
  </si>
  <si>
    <t>Student 2026_01003</t>
  </si>
  <si>
    <t>REG-2026-02134</t>
  </si>
  <si>
    <t>Student 2026_02134</t>
  </si>
  <si>
    <t>REG-2026-00877</t>
  </si>
  <si>
    <t>Student 2026_00877</t>
  </si>
  <si>
    <t>REG-2026-01654</t>
  </si>
  <si>
    <t>Student 2026_01654</t>
  </si>
  <si>
    <t>REG-2026-01219</t>
  </si>
  <si>
    <t>Student 2026_01219</t>
  </si>
  <si>
    <t>REG-2026-00539</t>
  </si>
  <si>
    <t>Student 2026_00539</t>
  </si>
  <si>
    <t>REG-2026-00324</t>
  </si>
  <si>
    <t>Student 2026_00324</t>
  </si>
  <si>
    <t>REG-2026-01819</t>
  </si>
  <si>
    <t>Student 2026_01819</t>
  </si>
  <si>
    <t>REG-2026-00253</t>
  </si>
  <si>
    <t>Student 2026_00253</t>
  </si>
  <si>
    <t>REG-2026-00391</t>
  </si>
  <si>
    <t>Student 2026_00391</t>
  </si>
  <si>
    <t>REG-2026-01666</t>
  </si>
  <si>
    <t>Student 2026_01666</t>
  </si>
  <si>
    <t>REG-2026-00059</t>
  </si>
  <si>
    <t>Student 2026_00059</t>
  </si>
  <si>
    <t>REG-2026-00032</t>
  </si>
  <si>
    <t>Student 2026_00032</t>
  </si>
  <si>
    <t>REG-2026-00916</t>
  </si>
  <si>
    <t>Student 2026_00916</t>
  </si>
  <si>
    <t>REG-2026-00669</t>
  </si>
  <si>
    <t>Student 2026_00669</t>
  </si>
  <si>
    <t>REG-2026-02018</t>
  </si>
  <si>
    <t>Student 2026_02018</t>
  </si>
  <si>
    <t>REG-2026-00465</t>
  </si>
  <si>
    <t>Student 2026_00465</t>
  </si>
  <si>
    <t>REG-2026-00022</t>
  </si>
  <si>
    <t>Student 2026_00022</t>
  </si>
  <si>
    <t>REG-2026-02038</t>
  </si>
  <si>
    <t>Student 2026_02038</t>
  </si>
  <si>
    <t>REG-2026-01333</t>
  </si>
  <si>
    <t>Student 2026_01333</t>
  </si>
  <si>
    <t>REG-2026-00757</t>
  </si>
  <si>
    <t>Student 2026_00757</t>
  </si>
  <si>
    <t>REG-2026-01009</t>
  </si>
  <si>
    <t>Student 2026_01009</t>
  </si>
  <si>
    <t>REG-2026-01873</t>
  </si>
  <si>
    <t>Student 2026_01873</t>
  </si>
  <si>
    <t>REG-2026-00879</t>
  </si>
  <si>
    <t>Student 2026_00879</t>
  </si>
  <si>
    <t>REG-2026-00275</t>
  </si>
  <si>
    <t>Student 2026_00275</t>
  </si>
  <si>
    <t>REG-2026-01131</t>
  </si>
  <si>
    <t>Student 2026_01131</t>
  </si>
  <si>
    <t>REG-2026-00574</t>
  </si>
  <si>
    <t>Student 2026_00574</t>
  </si>
  <si>
    <t>REG-2026-00682</t>
  </si>
  <si>
    <t>Student 2026_00682</t>
  </si>
  <si>
    <t>REG-2026-00478</t>
  </si>
  <si>
    <t>Student 2026_00478</t>
  </si>
  <si>
    <t>REG-2026-01148</t>
  </si>
  <si>
    <t>Student 2026_01148</t>
  </si>
  <si>
    <t>REG-2026-01872</t>
  </si>
  <si>
    <t>Student 2026_01872</t>
  </si>
  <si>
    <t>REG-2026-00152</t>
  </si>
  <si>
    <t>Student 2026_00152</t>
  </si>
  <si>
    <t>REG-2026-00115</t>
  </si>
  <si>
    <t>Student 2026_00115</t>
  </si>
  <si>
    <t>REG-2026-00163</t>
  </si>
  <si>
    <t>Student 2026_00163</t>
  </si>
  <si>
    <t>REG-2026-00296</t>
  </si>
  <si>
    <t>Student 2026_00296</t>
  </si>
  <si>
    <t>REG-2026-00558</t>
  </si>
  <si>
    <t>Student 2026_00558</t>
  </si>
  <si>
    <t>REG-2026-01391</t>
  </si>
  <si>
    <t>Student 2026_01391</t>
  </si>
  <si>
    <t>REG-2026-01177</t>
  </si>
  <si>
    <t>Student 2026_01177</t>
  </si>
  <si>
    <t>REG-2026-00700</t>
  </si>
  <si>
    <t>Student 2026_00700</t>
  </si>
  <si>
    <t>REG-2026-00773</t>
  </si>
  <si>
    <t>Student 2026_00773</t>
  </si>
  <si>
    <t>REG-2026-00075</t>
  </si>
  <si>
    <t>Student 2026_00075</t>
  </si>
  <si>
    <t>REG-2026-01779</t>
  </si>
  <si>
    <t>Student 2026_01779</t>
  </si>
  <si>
    <t>REG-2026-01073</t>
  </si>
  <si>
    <t>Student 2026_01073</t>
  </si>
  <si>
    <t>REG-2026-01982</t>
  </si>
  <si>
    <t>Student 2026_01982</t>
  </si>
  <si>
    <t>REG-2026-01703</t>
  </si>
  <si>
    <t>Student 2026_01703</t>
  </si>
  <si>
    <t>REG-2026-00091</t>
  </si>
  <si>
    <t>Student 2026_00091</t>
  </si>
  <si>
    <t>REG-2026-01765</t>
  </si>
  <si>
    <t>Student 2026_01765</t>
  </si>
  <si>
    <t>REG-2026-01734</t>
  </si>
  <si>
    <t>Student 2026_01734</t>
  </si>
  <si>
    <t>REG-2026-01531</t>
  </si>
  <si>
    <t>Student 2026_01531</t>
  </si>
  <si>
    <t>REG-2026-00276</t>
  </si>
  <si>
    <t>Student 2026_00276</t>
  </si>
  <si>
    <t>REG-2026-01608</t>
  </si>
  <si>
    <t>Student 2026_01608</t>
  </si>
  <si>
    <t>REG-2026-01479</t>
  </si>
  <si>
    <t>Student 2026_01479</t>
  </si>
  <si>
    <t>REG-2026-01024</t>
  </si>
  <si>
    <t>Student 2026_01024</t>
  </si>
  <si>
    <t>REG-2026-01277</t>
  </si>
  <si>
    <t>Student 2026_01277</t>
  </si>
  <si>
    <t>REG-2026-00657</t>
  </si>
  <si>
    <t>Student 2026_00657</t>
  </si>
  <si>
    <t>REG-2026-01266</t>
  </si>
  <si>
    <t>Student 2026_01266</t>
  </si>
  <si>
    <t>REG-2026-01329</t>
  </si>
  <si>
    <t>Student 2026_01329</t>
  </si>
  <si>
    <t>REG-2026-01476</t>
  </si>
  <si>
    <t>Student 2026_01476</t>
  </si>
  <si>
    <t>REG-2026-01028</t>
  </si>
  <si>
    <t>Student 2026_01028</t>
  </si>
  <si>
    <t>REG-2026-01113</t>
  </si>
  <si>
    <t>Student 2026_01113</t>
  </si>
  <si>
    <t>REG-2026-00336</t>
  </si>
  <si>
    <t>Student 2026_00336</t>
  </si>
  <si>
    <t>REG-2026-01158</t>
  </si>
  <si>
    <t>Student 2026_01158</t>
  </si>
  <si>
    <t>REG-2026-00589</t>
  </si>
  <si>
    <t>Student 2026_00589</t>
  </si>
  <si>
    <t>REG-2026-01415</t>
  </si>
  <si>
    <t>Student 2026_01415</t>
  </si>
  <si>
    <t>REG-2026-00607</t>
  </si>
  <si>
    <t>Student 2026_00607</t>
  </si>
  <si>
    <t>REG-2026-00921</t>
  </si>
  <si>
    <t>Student 2026_00921</t>
  </si>
  <si>
    <t>REG-2026-00533</t>
  </si>
  <si>
    <t>Student 2026_00533</t>
  </si>
  <si>
    <t>REG-2026-00975</t>
  </si>
  <si>
    <t>Student 2026_00975</t>
  </si>
  <si>
    <t>REG-2026-00485</t>
  </si>
  <si>
    <t>Student 2026_00485</t>
  </si>
  <si>
    <t>REG-2026-00227</t>
  </si>
  <si>
    <t>Student 2026_00227</t>
  </si>
  <si>
    <t>REG-2026-00614</t>
  </si>
  <si>
    <t>Student 2026_00614</t>
  </si>
  <si>
    <t>REG-2026-00506</t>
  </si>
  <si>
    <t>Student 2026_00506</t>
  </si>
  <si>
    <t>REG-2026-01296</t>
  </si>
  <si>
    <t>Student 2026_01296</t>
  </si>
  <si>
    <t>REG-2026-01826</t>
  </si>
  <si>
    <t>Student 2026_01826</t>
  </si>
  <si>
    <t>REG-2026-00631</t>
  </si>
  <si>
    <t>Student 2026_00631</t>
  </si>
  <si>
    <t>REG-2026-01481</t>
  </si>
  <si>
    <t>Student 2026_01481</t>
  </si>
  <si>
    <t>REG-2026-00474</t>
  </si>
  <si>
    <t>Student 2026_00474</t>
  </si>
  <si>
    <t>REG-2026-01335</t>
  </si>
  <si>
    <t>Student 2026_01335</t>
  </si>
  <si>
    <t>REG-2026-01523</t>
  </si>
  <si>
    <t>Student 2026_01523</t>
  </si>
  <si>
    <t>REG-2026-01711</t>
  </si>
  <si>
    <t>Student 2026_01711</t>
  </si>
  <si>
    <t>REG-2026-01528</t>
  </si>
  <si>
    <t>Student 2026_01528</t>
  </si>
  <si>
    <t>REG-2026-01634</t>
  </si>
  <si>
    <t>Student 2026_01634</t>
  </si>
  <si>
    <t>REG-2026-00538</t>
  </si>
  <si>
    <t>Student 2026_00538</t>
  </si>
  <si>
    <t>REG-2026-00043</t>
  </si>
  <si>
    <t>Student 2026_00043</t>
  </si>
  <si>
    <t>REG-2026-02092</t>
  </si>
  <si>
    <t>Student 2026_02092</t>
  </si>
  <si>
    <t>REG-2026-01268</t>
  </si>
  <si>
    <t>Student 2026_01268</t>
  </si>
  <si>
    <t>REG-2026-00459</t>
  </si>
  <si>
    <t>Student 2026_00459</t>
  </si>
  <si>
    <t>REG-2026-01950</t>
  </si>
  <si>
    <t>Student 2026_01950</t>
  </si>
  <si>
    <t>REG-2026-01720</t>
  </si>
  <si>
    <t>Student 2026_01720</t>
  </si>
  <si>
    <t>REG-2026-00158</t>
  </si>
  <si>
    <t>Student 2026_00158</t>
  </si>
  <si>
    <t>REG-2026-01114</t>
  </si>
  <si>
    <t>Student 2026_01114</t>
  </si>
  <si>
    <t>REG-2026-01548</t>
  </si>
  <si>
    <t>Student 2026_01548</t>
  </si>
  <si>
    <t>REG-2026-01816</t>
  </si>
  <si>
    <t>Student 2026_01816</t>
  </si>
  <si>
    <t>REG-2026-00224</t>
  </si>
  <si>
    <t>Student 2026_00224</t>
  </si>
  <si>
    <t>REG-2026-00612</t>
  </si>
  <si>
    <t>Student 2026_00612</t>
  </si>
  <si>
    <t>REG-2026-00927</t>
  </si>
  <si>
    <t>Student 2026_00927</t>
  </si>
  <si>
    <t>REG-2026-00027</t>
  </si>
  <si>
    <t>Student 2026_00027</t>
  </si>
  <si>
    <t>REG-2026-00874</t>
  </si>
  <si>
    <t>Student 2026_00874</t>
  </si>
  <si>
    <t>REG-2026-01201</t>
  </si>
  <si>
    <t>Student 2026_01201</t>
  </si>
  <si>
    <t>REG-2026-00541</t>
  </si>
  <si>
    <t>Student 2026_00541</t>
  </si>
  <si>
    <t>REG-2026-00055</t>
  </si>
  <si>
    <t>Student 2026_00055</t>
  </si>
  <si>
    <t>REG-2026-01661</t>
  </si>
  <si>
    <t>Student 2026_01661</t>
  </si>
  <si>
    <t>REG-2026-02114</t>
  </si>
  <si>
    <t>Student 2026_02114</t>
  </si>
  <si>
    <t>REG-2026-00270</t>
  </si>
  <si>
    <t>Student 2026_00270</t>
  </si>
  <si>
    <t>REG-2026-00690</t>
  </si>
  <si>
    <t>Student 2026_00690</t>
  </si>
  <si>
    <t>REG-2026-01602</t>
  </si>
  <si>
    <t>Student 2026_01602</t>
  </si>
  <si>
    <t>REG-2026-01987</t>
  </si>
  <si>
    <t>Student 2026_01987</t>
  </si>
  <si>
    <t>REG-2026-00642</t>
  </si>
  <si>
    <t>Student 2026_00642</t>
  </si>
  <si>
    <t>REG-2026-00978</t>
  </si>
  <si>
    <t>Student 2026_00978</t>
  </si>
  <si>
    <t>REG-2026-02139</t>
  </si>
  <si>
    <t>Student 2026_02139</t>
  </si>
  <si>
    <t>REG-2026-01011</t>
  </si>
  <si>
    <t>Student 2026_01011</t>
  </si>
  <si>
    <t>REG-2026-01358</t>
  </si>
  <si>
    <t>Student 2026_01358</t>
  </si>
  <si>
    <t>REG-2026-01995</t>
  </si>
  <si>
    <t>Student 2026_01995</t>
  </si>
  <si>
    <t>REG-2026-01429</t>
  </si>
  <si>
    <t>Student 2026_01429</t>
  </si>
  <si>
    <t>REG-2026-00103</t>
  </si>
  <si>
    <t>Student 2026_00103</t>
  </si>
  <si>
    <t>REG-2026-01347</t>
  </si>
  <si>
    <t>Student 2026_01347</t>
  </si>
  <si>
    <t>REG-2026-00378</t>
  </si>
  <si>
    <t>Student 2026_00378</t>
  </si>
  <si>
    <t>REG-2026-00180</t>
  </si>
  <si>
    <t>Student 2026_00180</t>
  </si>
  <si>
    <t>REG-2026-01695</t>
  </si>
  <si>
    <t>Student 2026_01695</t>
  </si>
  <si>
    <t>REG-2026-00840</t>
  </si>
  <si>
    <t>Student 2026_00840</t>
  </si>
  <si>
    <t>REG-2026-01969</t>
  </si>
  <si>
    <t>Student 2026_01969</t>
  </si>
  <si>
    <t>REG-2026-01338</t>
  </si>
  <si>
    <t>Student 2026_01338</t>
  </si>
  <si>
    <t>REG-2026-00887</t>
  </si>
  <si>
    <t>Student 2026_00887</t>
  </si>
  <si>
    <t>REG-2026-01394</t>
  </si>
  <si>
    <t>Student 2026_01394</t>
  </si>
  <si>
    <t>REG-2026-00671</t>
  </si>
  <si>
    <t>Student 2026_00671</t>
  </si>
  <si>
    <t>REG-2026-00466</t>
  </si>
  <si>
    <t>Student 2026_00466</t>
  </si>
  <si>
    <t>REG-2026-01702</t>
  </si>
  <si>
    <t>Student 2026_01702</t>
  </si>
  <si>
    <t>REG-2026-01748</t>
  </si>
  <si>
    <t>Student 2026_01748</t>
  </si>
  <si>
    <t>REG-2026-01046</t>
  </si>
  <si>
    <t>Student 2026_01046</t>
  </si>
  <si>
    <t>REG-2026-00701</t>
  </si>
  <si>
    <t>Student 2026_00701</t>
  </si>
  <si>
    <t>REG-2026-01022</t>
  </si>
  <si>
    <t>Student 2026_01022</t>
  </si>
  <si>
    <t>REG-2026-00430</t>
  </si>
  <si>
    <t>Student 2026_00430</t>
  </si>
  <si>
    <t>REG-2026-00733</t>
  </si>
  <si>
    <t>Student 2026_00733</t>
  </si>
  <si>
    <t>REG-2026-01233</t>
  </si>
  <si>
    <t>Student 2026_01233</t>
  </si>
  <si>
    <t>REG-2026-00580</t>
  </si>
  <si>
    <t>Student 2026_00580</t>
  </si>
  <si>
    <t>REG-2026-01760</t>
  </si>
  <si>
    <t>Student 2026_01760</t>
  </si>
  <si>
    <t>REG-2026-00097</t>
  </si>
  <si>
    <t>Student 2026_00097</t>
  </si>
  <si>
    <t>REG-2026-00017</t>
  </si>
  <si>
    <t>Student 2026_00017</t>
  </si>
  <si>
    <t>REG-2026-01937</t>
  </si>
  <si>
    <t>Student 2026_01937</t>
  </si>
  <si>
    <t>REG-2026-00072</t>
  </si>
  <si>
    <t>Student 2026_00072</t>
  </si>
  <si>
    <t>REG-2026-01882</t>
  </si>
  <si>
    <t>Student 2026_01882</t>
  </si>
  <si>
    <t>REG-2026-01529</t>
  </si>
  <si>
    <t>Student 2026_01529</t>
  </si>
  <si>
    <t>REG-2026-01416</t>
  </si>
  <si>
    <t>Student 2026_01416</t>
  </si>
  <si>
    <t>REG-2026-01590</t>
  </si>
  <si>
    <t>Student 2026_01590</t>
  </si>
  <si>
    <t>REG-2026-01586</t>
  </si>
  <si>
    <t>Student 2026_01586</t>
  </si>
  <si>
    <t>REG-2026-01874</t>
  </si>
  <si>
    <t>Student 2026_01874</t>
  </si>
  <si>
    <t>REG-2026-02077</t>
  </si>
  <si>
    <t>Student 2026_02077</t>
  </si>
  <si>
    <t>REG-2026-01554</t>
  </si>
  <si>
    <t>Student 2026_01554</t>
  </si>
  <si>
    <t>REG-2026-01032</t>
  </si>
  <si>
    <t>Student 2026_01032</t>
  </si>
  <si>
    <t>REG-2026-00510</t>
  </si>
  <si>
    <t>Student 2026_00510</t>
  </si>
  <si>
    <t>REG-2026-00393</t>
  </si>
  <si>
    <t>Student 2026_00393</t>
  </si>
  <si>
    <t>REG-2026-01363</t>
  </si>
  <si>
    <t>Student 2026_01363</t>
  </si>
  <si>
    <t>REG-2026-01917</t>
  </si>
  <si>
    <t>Student 2026_01917</t>
  </si>
  <si>
    <t>REG-2026-01871</t>
  </si>
  <si>
    <t>Student 2026_01871</t>
  </si>
  <si>
    <t>REG-2026-01184</t>
  </si>
  <si>
    <t>Student 2026_01184</t>
  </si>
  <si>
    <t>REG-2026-01515</t>
  </si>
  <si>
    <t>Student 2026_01515</t>
  </si>
  <si>
    <t>REG-2026-01972</t>
  </si>
  <si>
    <t>Student 2026_01972</t>
  </si>
  <si>
    <t>REG-2026-02003</t>
  </si>
  <si>
    <t>Student 2026_02003</t>
  </si>
  <si>
    <t>REG-2026-00794</t>
  </si>
  <si>
    <t>Student 2026_00794</t>
  </si>
  <si>
    <t>REG-2026-01334</t>
  </si>
  <si>
    <t>Student 2026_01334</t>
  </si>
  <si>
    <t>REG-2026-00770</t>
  </si>
  <si>
    <t>Student 2026_00770</t>
  </si>
  <si>
    <t>REG-2026-00597</t>
  </si>
  <si>
    <t>Student 2026_00597</t>
  </si>
  <si>
    <t>REG-2026-00833</t>
  </si>
  <si>
    <t>Student 2026_00833</t>
  </si>
  <si>
    <t>REG-2026-00146</t>
  </si>
  <si>
    <t>Student 2026_00146</t>
  </si>
  <si>
    <t>REG-2026-00822</t>
  </si>
  <si>
    <t>Student 2026_00822</t>
  </si>
  <si>
    <t>REG-2026-00676</t>
  </si>
  <si>
    <t>Student 2026_00676</t>
  </si>
  <si>
    <t>REG-2026-01865</t>
  </si>
  <si>
    <t>Student 2026_01865</t>
  </si>
  <si>
    <t>REG-2026-01933</t>
  </si>
  <si>
    <t>Student 2026_01933</t>
  </si>
  <si>
    <t>REG-2026-01058</t>
  </si>
  <si>
    <t>Student 2026_01058</t>
  </si>
  <si>
    <t>REG-2026-01237</t>
  </si>
  <si>
    <t>Student 2026_01237</t>
  </si>
  <si>
    <t>REG-2026-00781</t>
  </si>
  <si>
    <t>Student 2026_00781</t>
  </si>
  <si>
    <t>REG-2026-01851</t>
  </si>
  <si>
    <t>Student 2026_01851</t>
  </si>
  <si>
    <t>REG-2026-00282</t>
  </si>
  <si>
    <t>Student 2026_00282</t>
  </si>
  <si>
    <t>REG-2026-01445</t>
  </si>
  <si>
    <t>Student 2026_01445</t>
  </si>
  <si>
    <t>REG-2026-01963</t>
  </si>
  <si>
    <t>Student 2026_01963</t>
  </si>
  <si>
    <t>REG-2026-00440</t>
  </si>
  <si>
    <t>Student 2026_00440</t>
  </si>
  <si>
    <t>REG-2026-00526</t>
  </si>
  <si>
    <t>Student 2026_00526</t>
  </si>
  <si>
    <t>REG-2026-01345</t>
  </si>
  <si>
    <t>Student 2026_01345</t>
  </si>
  <si>
    <t>REG-2026-00061</t>
  </si>
  <si>
    <t>Student 2026_00061</t>
  </si>
  <si>
    <t>REG-2026-01378</t>
  </si>
  <si>
    <t>Student 2026_01378</t>
  </si>
  <si>
    <t>REG-2026-00684</t>
  </si>
  <si>
    <t>Student 2026_00684</t>
  </si>
  <si>
    <t>REG-2026-00173</t>
  </si>
  <si>
    <t>Student 2026_00173</t>
  </si>
  <si>
    <t>REG-2026-00935</t>
  </si>
  <si>
    <t>Student 2026_00935</t>
  </si>
  <si>
    <t>REG-2026-01276</t>
  </si>
  <si>
    <t>Student 2026_01276</t>
  </si>
  <si>
    <t>REG-2026-01477</t>
  </si>
  <si>
    <t>Student 2026_01477</t>
  </si>
  <si>
    <t>REG-2026-01771</t>
  </si>
  <si>
    <t>Student 2026_01771</t>
  </si>
  <si>
    <t>REG-2026-01949</t>
  </si>
  <si>
    <t>Student 2026_01949</t>
  </si>
  <si>
    <t>REG-2026-02107</t>
  </si>
  <si>
    <t>Student 2026_02107</t>
  </si>
  <si>
    <t>REG-2026-01514</t>
  </si>
  <si>
    <t>Student 2026_01514</t>
  </si>
  <si>
    <t>REG-2026-01627</t>
  </si>
  <si>
    <t>Student 2026_01627</t>
  </si>
  <si>
    <t>REG-2026-01396</t>
  </si>
  <si>
    <t>Student 2026_01396</t>
  </si>
  <si>
    <t>REG-2026-01356</t>
  </si>
  <si>
    <t>Student 2026_01356</t>
  </si>
  <si>
    <t>REG-2026-00599</t>
  </si>
  <si>
    <t>Student 2026_00599</t>
  </si>
  <si>
    <t>REG-2026-00269</t>
  </si>
  <si>
    <t>Student 2026_00269</t>
  </si>
  <si>
    <t>REG-2026-00205</t>
  </si>
  <si>
    <t>Student 2026_00205</t>
  </si>
  <si>
    <t>REG-2026-00814</t>
  </si>
  <si>
    <t>Student 2026_00814</t>
  </si>
  <si>
    <t>REG-2026-01072</t>
  </si>
  <si>
    <t>Student 2026_01072</t>
  </si>
  <si>
    <t>REG-2026-00357</t>
  </si>
  <si>
    <t>Student 2026_00357</t>
  </si>
  <si>
    <t>REG-2026-00175</t>
  </si>
  <si>
    <t>Student 2026_00175</t>
  </si>
  <si>
    <t>REG-2026-00316</t>
  </si>
  <si>
    <t>Student 2026_00316</t>
  </si>
  <si>
    <t>REG-2026-00816</t>
  </si>
  <si>
    <t>Student 2026_00816</t>
  </si>
  <si>
    <t>REG-2026-02091</t>
  </si>
  <si>
    <t>Student 2026_02091</t>
  </si>
  <si>
    <t>REG-2026-00339</t>
  </si>
  <si>
    <t>Student 2026_00339</t>
  </si>
  <si>
    <t>REG-2026-01049</t>
  </si>
  <si>
    <t>Student 2026_01049</t>
  </si>
  <si>
    <t>REG-2026-00337</t>
  </si>
  <si>
    <t>Student 2026_00337</t>
  </si>
  <si>
    <t>REG-2026-01433</t>
  </si>
  <si>
    <t>Student 2026_01433</t>
  </si>
  <si>
    <t>REG-2026-00754</t>
  </si>
  <si>
    <t>Student 2026_00754</t>
  </si>
  <si>
    <t>REG-2026-00846</t>
  </si>
  <si>
    <t>Student 2026_00846</t>
  </si>
  <si>
    <t>REG-2026-01187</t>
  </si>
  <si>
    <t>Student 2026_01187</t>
  </si>
  <si>
    <t>REG-2026-00063</t>
  </si>
  <si>
    <t>Student 2026_00063</t>
  </si>
  <si>
    <t>REG-2026-00950</t>
  </si>
  <si>
    <t>Student 2026_00950</t>
  </si>
  <si>
    <t>REG-2026-00753</t>
  </si>
  <si>
    <t>Student 2026_00753</t>
  </si>
  <si>
    <t>REG-2026-01002</t>
  </si>
  <si>
    <t>Student 2026_01002</t>
  </si>
  <si>
    <t>REG-2026-01694</t>
  </si>
  <si>
    <t>Student 2026_01694</t>
  </si>
  <si>
    <t>REG-2026-01780</t>
  </si>
  <si>
    <t>Student 2026_01780</t>
  </si>
  <si>
    <t>REG-2026-00274</t>
  </si>
  <si>
    <t>Student 2026_00274</t>
  </si>
  <si>
    <t>REG-2026-02102</t>
  </si>
  <si>
    <t>Student 2026_02102</t>
  </si>
  <si>
    <t>REG-2026-01596</t>
  </si>
  <si>
    <t>Student 2026_01596</t>
  </si>
  <si>
    <t>REG-2026-01045</t>
  </si>
  <si>
    <t>Student 2026_01045</t>
  </si>
  <si>
    <t>REG-2026-01641</t>
  </si>
  <si>
    <t>Student 2026_01641</t>
  </si>
  <si>
    <t>REG-2026-00885</t>
  </si>
  <si>
    <t>Student 2026_00885</t>
  </si>
  <si>
    <t>REG-2026-01178</t>
  </si>
  <si>
    <t>Student 2026_01178</t>
  </si>
  <si>
    <t>REG-2026-01153</t>
  </si>
  <si>
    <t>Student 2026_01153</t>
  </si>
  <si>
    <t>REG-2026-01145</t>
  </si>
  <si>
    <t>Student 2026_01145</t>
  </si>
  <si>
    <t>REG-2026-01109</t>
  </si>
  <si>
    <t>Student 2026_01109</t>
  </si>
  <si>
    <t>REG-2026-01149</t>
  </si>
  <si>
    <t>Student 2026_01149</t>
  </si>
  <si>
    <t>REG-2026-01168</t>
  </si>
  <si>
    <t>Student 2026_01168</t>
  </si>
  <si>
    <t>REG-2026-01549</t>
  </si>
  <si>
    <t>Student 2026_01549</t>
  </si>
  <si>
    <t>REG-2026-00926</t>
  </si>
  <si>
    <t>Student 2026_00926</t>
  </si>
  <si>
    <t>REG-2026-01944</t>
  </si>
  <si>
    <t>Student 2026_01944</t>
  </si>
  <si>
    <t>REG-2026-01202</t>
  </si>
  <si>
    <t>Student 2026_01202</t>
  </si>
  <si>
    <t>REG-2026-01599</t>
  </si>
  <si>
    <t>Student 2026_01599</t>
  </si>
  <si>
    <t>REG-2026-01330</t>
  </si>
  <si>
    <t>Student 2026_01330</t>
  </si>
  <si>
    <t>REG-2026-01966</t>
  </si>
  <si>
    <t>Student 2026_01966</t>
  </si>
  <si>
    <t>REG-2026-00655</t>
  </si>
  <si>
    <t>Student 2026_00655</t>
  </si>
  <si>
    <t>REG-2026-00309</t>
  </si>
  <si>
    <t>Student 2026_00309</t>
  </si>
  <si>
    <t>REG-2026-01228</t>
  </si>
  <si>
    <t>Student 2026_01228</t>
  </si>
  <si>
    <t>REG-2026-01879</t>
  </si>
  <si>
    <t>Student 2026_01879</t>
  </si>
  <si>
    <t>REG-2026-00777</t>
  </si>
  <si>
    <t>Student 2026_00777</t>
  </si>
  <si>
    <t>REG-2026-01555</t>
  </si>
  <si>
    <t>Student 2026_01555</t>
  </si>
  <si>
    <t>REG-2026-01349</t>
  </si>
  <si>
    <t>Student 2026_01349</t>
  </si>
  <si>
    <t>REG-2026-01019</t>
  </si>
  <si>
    <t>Student 2026_01019</t>
  </si>
  <si>
    <t>REG-2026-01818</t>
  </si>
  <si>
    <t>Student 2026_01818</t>
  </si>
  <si>
    <t>REG-2026-00853</t>
  </si>
  <si>
    <t>Student 2026_00853</t>
  </si>
  <si>
    <t>REG-2026-00513</t>
  </si>
  <si>
    <t>Student 2026_00513</t>
  </si>
  <si>
    <t>REG-2026-01361</t>
  </si>
  <si>
    <t>Student 2026_01361</t>
  </si>
  <si>
    <t>REG-2026-01520</t>
  </si>
  <si>
    <t>Student 2026_01520</t>
  </si>
  <si>
    <t>REG-2026-00287</t>
  </si>
  <si>
    <t>Student 2026_00287</t>
  </si>
  <si>
    <t>REG-2026-01217</t>
  </si>
  <si>
    <t>Student 2026_01217</t>
  </si>
  <si>
    <t>REG-2026-01424</t>
  </si>
  <si>
    <t>Student 2026_01424</t>
  </si>
  <si>
    <t>REG-2026-00703</t>
  </si>
  <si>
    <t>Student 2026_00703</t>
  </si>
  <si>
    <t>REG-2026-01215</t>
  </si>
  <si>
    <t>Student 2026_01215</t>
  </si>
  <si>
    <t>REG-2026-02015</t>
  </si>
  <si>
    <t>Student 2026_02015</t>
  </si>
  <si>
    <t>REG-2026-01417</t>
  </si>
  <si>
    <t>Student 2026_01417</t>
  </si>
  <si>
    <t>REG-2026-01224</t>
  </si>
  <si>
    <t>Student 2026_01224</t>
  </si>
  <si>
    <t>REG-2026-01102</t>
  </si>
  <si>
    <t>Student 2026_01102</t>
  </si>
  <si>
    <t>REG-2026-00579</t>
  </si>
  <si>
    <t>Student 2026_00579</t>
  </si>
  <si>
    <t>REG-2026-02118</t>
  </si>
  <si>
    <t>Student 2026_02118</t>
  </si>
  <si>
    <t>REG-2026-00716</t>
  </si>
  <si>
    <t>Student 2026_00716</t>
  </si>
  <si>
    <t>REG-2026-00302</t>
  </si>
  <si>
    <t>Student 2026_00302</t>
  </si>
  <si>
    <t>REG-2026-00248</t>
  </si>
  <si>
    <t>Student 2026_00248</t>
  </si>
  <si>
    <t>REG-2026-00581</t>
  </si>
  <si>
    <t>Student 2026_00581</t>
  </si>
  <si>
    <t>REG-2026-01731</t>
  </si>
  <si>
    <t>Student 2026_01731</t>
  </si>
  <si>
    <t>REG-2026-00626</t>
  </si>
  <si>
    <t>Student 2026_00626</t>
  </si>
  <si>
    <t>REG-2026-00373</t>
  </si>
  <si>
    <t>Student 2026_00373</t>
  </si>
  <si>
    <t>REG-2026-01986</t>
  </si>
  <si>
    <t>Student 2026_01986</t>
  </si>
  <si>
    <t>REG-2026-00611</t>
  </si>
  <si>
    <t>Student 2026_00611</t>
  </si>
  <si>
    <t>REG-2026-01033</t>
  </si>
  <si>
    <t>Student 2026_01033</t>
  </si>
  <si>
    <t>REG-2026-01016</t>
  </si>
  <si>
    <t>Student 2026_01016</t>
  </si>
  <si>
    <t>REG-2026-00752</t>
  </si>
  <si>
    <t>Student 2026_00752</t>
  </si>
  <si>
    <t>REG-2026-02093</t>
  </si>
  <si>
    <t>Student 2026_02093</t>
  </si>
  <si>
    <t>REG-2026-00407</t>
  </si>
  <si>
    <t>Student 2026_00407</t>
  </si>
  <si>
    <t>REG-2026-00349</t>
  </si>
  <si>
    <t>Student 2026_00349</t>
  </si>
  <si>
    <t>REG-2026-01423</t>
  </si>
  <si>
    <t>Student 2026_01423</t>
  </si>
  <si>
    <t>REG-2026-00928</t>
  </si>
  <si>
    <t>Student 2026_00928</t>
  </si>
  <si>
    <t>REG-2026-01755</t>
  </si>
  <si>
    <t>Student 2026_01755</t>
  </si>
  <si>
    <t>REG-2026-01544</t>
  </si>
  <si>
    <t>Student 2026_01544</t>
  </si>
  <si>
    <t>REG-2026-00469</t>
  </si>
  <si>
    <t>Student 2026_00469</t>
  </si>
  <si>
    <t>REG-2026-01112</t>
  </si>
  <si>
    <t>Student 2026_01112</t>
  </si>
  <si>
    <t>REG-2026-00557</t>
  </si>
  <si>
    <t>Student 2026_00557</t>
  </si>
  <si>
    <t>REG-2026-00523</t>
  </si>
  <si>
    <t>Student 2026_00523</t>
  </si>
  <si>
    <t>REG-2026-00085</t>
  </si>
  <si>
    <t>Student 2026_00085</t>
  </si>
  <si>
    <t>REG-2026-02104</t>
  </si>
  <si>
    <t>Student 2026_02104</t>
  </si>
  <si>
    <t>REG-2026-01651</t>
  </si>
  <si>
    <t>Student 2026_01651</t>
  </si>
  <si>
    <t>REG-2026-02070</t>
  </si>
  <si>
    <t>Student 2026_02070</t>
  </si>
  <si>
    <t>REG-2026-00414</t>
  </si>
  <si>
    <t>Student 2026_00414</t>
  </si>
  <si>
    <t>REG-2026-02049</t>
  </si>
  <si>
    <t>Student 2026_02049</t>
  </si>
  <si>
    <t>REG-2026-01367</t>
  </si>
  <si>
    <t>Student 2026_01367</t>
  </si>
  <si>
    <t>REG-2026-00093</t>
  </si>
  <si>
    <t>Student 2026_00093</t>
  </si>
  <si>
    <t>REG-2026-00241</t>
  </si>
  <si>
    <t>Student 2026_00241</t>
  </si>
  <si>
    <t>REG-2026-01840</t>
  </si>
  <si>
    <t>Student 2026_01840</t>
  </si>
  <si>
    <t>REG-2026-01385</t>
  </si>
  <si>
    <t>Student 2026_01385</t>
  </si>
  <si>
    <t>REG-2026-01346</t>
  </si>
  <si>
    <t>Student 2026_01346</t>
  </si>
  <si>
    <t>REG-2026-00147</t>
  </si>
  <si>
    <t>Student 2026_00147</t>
  </si>
  <si>
    <t>REG-2026-00161</t>
  </si>
  <si>
    <t>Student 2026_00161</t>
  </si>
  <si>
    <t>REG-2026-00092</t>
  </si>
  <si>
    <t>Student 2026_00092</t>
  </si>
  <si>
    <t>REG-2026-00942</t>
  </si>
  <si>
    <t>Student 2026_00942</t>
  </si>
  <si>
    <t>REG-2026-02124</t>
  </si>
  <si>
    <t>Student 2026_02124</t>
  </si>
  <si>
    <t>REG-2026-01942</t>
  </si>
  <si>
    <t>Student 2026_01942</t>
  </si>
  <si>
    <t>REG-2026-00410</t>
  </si>
  <si>
    <t>Student 2026_00410</t>
  </si>
  <si>
    <t>REG-2026-01776</t>
  </si>
  <si>
    <t>Student 2026_01776</t>
  </si>
  <si>
    <t>REG-2026-00570</t>
  </si>
  <si>
    <t>Student 2026_00570</t>
  </si>
  <si>
    <t>REG-2026-01227</t>
  </si>
  <si>
    <t>Student 2026_01227</t>
  </si>
  <si>
    <t>REG-2026-01542</t>
  </si>
  <si>
    <t>Student 2026_01542</t>
  </si>
  <si>
    <t>REG-2026-00364</t>
  </si>
  <si>
    <t>Student 2026_00364</t>
  </si>
  <si>
    <t>REG-2026-01139</t>
  </si>
  <si>
    <t>Student 2026_01139</t>
  </si>
  <si>
    <t>REG-2026-00549</t>
  </si>
  <si>
    <t>Student 2026_00549</t>
  </si>
  <si>
    <t>REG-2026-01448</t>
  </si>
  <si>
    <t>Student 2026_01448</t>
  </si>
  <si>
    <t>REG-2026-01493</t>
  </si>
  <si>
    <t>Student 2026_01493</t>
  </si>
  <si>
    <t>REG-2026-00821</t>
  </si>
  <si>
    <t>Student 2026_00821</t>
  </si>
  <si>
    <t>REG-2026-00038</t>
  </si>
  <si>
    <t>Student 2026_00038</t>
  </si>
  <si>
    <t>REG-2026-01672</t>
  </si>
  <si>
    <t>Student 2026_01672</t>
  </si>
  <si>
    <t>REG-2026-01791</t>
  </si>
  <si>
    <t>Student 2026_01791</t>
  </si>
  <si>
    <t>REG-2026-01354</t>
  </si>
  <si>
    <t>Student 2026_01354</t>
  </si>
  <si>
    <t>REG-2026-01110</t>
  </si>
  <si>
    <t>Student 2026_01110</t>
  </si>
  <si>
    <t>REG-2026-01801</t>
  </si>
  <si>
    <t>Student 2026_01801</t>
  </si>
  <si>
    <t>REG-2026-01539</t>
  </si>
  <si>
    <t>Student 2026_01539</t>
  </si>
  <si>
    <t>REG-2026-01150</t>
  </si>
  <si>
    <t>Student 2026_01150</t>
  </si>
  <si>
    <t>REG-2026-00044</t>
  </si>
  <si>
    <t>Student 2026_00044</t>
  </si>
  <si>
    <t>REG-2026-01655</t>
  </si>
  <si>
    <t>Student 2026_01655</t>
  </si>
  <si>
    <t>REG-2026-02073</t>
  </si>
  <si>
    <t>Student 2026_02073</t>
  </si>
  <si>
    <t>REG-2026-01960</t>
  </si>
  <si>
    <t>Student 2026_01960</t>
  </si>
  <si>
    <t>REG-2026-02127</t>
  </si>
  <si>
    <t>Student 2026_02127</t>
  </si>
  <si>
    <t>REG-2026-01216</t>
  </si>
  <si>
    <t>Student 2026_01216</t>
  </si>
  <si>
    <t>REG-2026-00314</t>
  </si>
  <si>
    <t>Student 2026_00314</t>
  </si>
  <si>
    <t>REG-2026-00930</t>
  </si>
  <si>
    <t>Student 2026_00930</t>
  </si>
  <si>
    <t>REG-2026-01297</t>
  </si>
  <si>
    <t>Student 2026_01297</t>
  </si>
  <si>
    <t>REG-2026-00426</t>
  </si>
  <si>
    <t>Student 2026_00426</t>
  </si>
  <si>
    <t>REG-2026-01794</t>
  </si>
  <si>
    <t>Student 2026_01794</t>
  </si>
  <si>
    <t>REG-2026-01498</t>
  </si>
  <si>
    <t>Student 2026_01498</t>
  </si>
  <si>
    <t>REG-2026-02097</t>
  </si>
  <si>
    <t>Student 2026_02097</t>
  </si>
  <si>
    <t>REG-2026-00026</t>
  </si>
  <si>
    <t>Student 2026_00026</t>
  </si>
  <si>
    <t>REG-2026-01857</t>
  </si>
  <si>
    <t>Student 2026_01857</t>
  </si>
  <si>
    <t>REG-2026-01831</t>
  </si>
  <si>
    <t>Student 2026_01831</t>
  </si>
  <si>
    <t>REG-2026-00554</t>
  </si>
  <si>
    <t>Student 2026_00554</t>
  </si>
  <si>
    <t>REG-2026-00508</t>
  </si>
  <si>
    <t>Student 2026_00508</t>
  </si>
  <si>
    <t>REG-2026-00083</t>
  </si>
  <si>
    <t>Student 2026_00083</t>
  </si>
  <si>
    <t>REG-2026-00040</t>
  </si>
  <si>
    <t>Student 2026_00040</t>
  </si>
  <si>
    <t>REG-2026-01190</t>
  </si>
  <si>
    <t>Student 2026_01190</t>
  </si>
  <si>
    <t>REG-2026-01298</t>
  </si>
  <si>
    <t>Student 2026_01298</t>
  </si>
  <si>
    <t>REG-2026-00333</t>
  </si>
  <si>
    <t>Student 2026_00333</t>
  </si>
  <si>
    <t>REG-2026-01323</t>
  </si>
  <si>
    <t>Student 2026_01323</t>
  </si>
  <si>
    <t>REG-2026-00848</t>
  </si>
  <si>
    <t>Student 2026_00848</t>
  </si>
  <si>
    <t>REG-2026-02083</t>
  </si>
  <si>
    <t>Student 2026_02083</t>
  </si>
  <si>
    <t>REG-2026-00359</t>
  </si>
  <si>
    <t>Student 2026_00359</t>
  </si>
  <si>
    <t>REG-2026-00605</t>
  </si>
  <si>
    <t>Student 2026_00605</t>
  </si>
  <si>
    <t>REG-2026-00028</t>
  </si>
  <si>
    <t>Student 2026_00028</t>
  </si>
  <si>
    <t>REG-2026-01934</t>
  </si>
  <si>
    <t>Student 2026_01934</t>
  </si>
  <si>
    <t>REG-2026-00594</t>
  </si>
  <si>
    <t>Student 2026_00594</t>
  </si>
  <si>
    <t>REG-2026-01038</t>
  </si>
  <si>
    <t>Student 2026_01038</t>
  </si>
  <si>
    <t>REG-2026-00445</t>
  </si>
  <si>
    <t>Student 2026_00445</t>
  </si>
  <si>
    <t>REG-2026-00443</t>
  </si>
  <si>
    <t>Student 2026_00443</t>
  </si>
  <si>
    <t>REG-2026-01098</t>
  </si>
  <si>
    <t>Student 2026_01098</t>
  </si>
  <si>
    <t>REG-2026-01671</t>
  </si>
  <si>
    <t>Student 2026_01671</t>
  </si>
  <si>
    <t>REG-2026-00303</t>
  </si>
  <si>
    <t>Student 2026_00303</t>
  </si>
  <si>
    <t>REG-2026-00062</t>
  </si>
  <si>
    <t>Student 2026_00062</t>
  </si>
  <si>
    <t>REG-2026-01692</t>
  </si>
  <si>
    <t>Student 2026_01692</t>
  </si>
  <si>
    <t>REG-2026-01288</t>
  </si>
  <si>
    <t>Student 2026_01288</t>
  </si>
  <si>
    <t>REG-2026-00416</t>
  </si>
  <si>
    <t>Student 2026_00416</t>
  </si>
  <si>
    <t>REG-2026-02064</t>
  </si>
  <si>
    <t>Student 2026_02064</t>
  </si>
  <si>
    <t>REG-2026-01386</t>
  </si>
  <si>
    <t>Student 2026_01386</t>
  </si>
  <si>
    <t>REG-2026-01397</t>
  </si>
  <si>
    <t>Student 2026_01397</t>
  </si>
  <si>
    <t>REG-2026-01183</t>
  </si>
  <si>
    <t>Student 2026_01183</t>
  </si>
  <si>
    <t>REG-2026-01300</t>
  </si>
  <si>
    <t>Student 2026_01300</t>
  </si>
  <si>
    <t>REG-2026-00972</t>
  </si>
  <si>
    <t>Student 2026_00972</t>
  </si>
  <si>
    <t>REG-2026-00409</t>
  </si>
  <si>
    <t>Student 2026_00409</t>
  </si>
  <si>
    <t>REG-2026-00150</t>
  </si>
  <si>
    <t>Student 2026_00150</t>
  </si>
  <si>
    <t>REG-2026-01880</t>
  </si>
  <si>
    <t>Student 2026_01880</t>
  </si>
  <si>
    <t>REG-2026-01144</t>
  </si>
  <si>
    <t>Student 2026_01144</t>
  </si>
  <si>
    <t>REG-2026-01552</t>
  </si>
  <si>
    <t>Student 2026_01552</t>
  </si>
  <si>
    <t>REG-2026-01127</t>
  </si>
  <si>
    <t>Student 2026_01127</t>
  </si>
  <si>
    <t>REG-2026-01161</t>
  </si>
  <si>
    <t>Student 2026_01161</t>
  </si>
  <si>
    <t>REG-2026-01568</t>
  </si>
  <si>
    <t>Student 2026_01568</t>
  </si>
  <si>
    <t>REG-2026-01042</t>
  </si>
  <si>
    <t>Student 2026_01042</t>
  </si>
  <si>
    <t>REG-2026-00311</t>
  </si>
  <si>
    <t>Student 2026_00311</t>
  </si>
  <si>
    <t>REG-2026-00807</t>
  </si>
  <si>
    <t>Student 2026_00807</t>
  </si>
  <si>
    <t>REG-2026-01610</t>
  </si>
  <si>
    <t>Student 2026_01610</t>
  </si>
  <si>
    <t>REG-2026-01767</t>
  </si>
  <si>
    <t>Student 2026_01767</t>
  </si>
  <si>
    <t>REG-2026-01172</t>
  </si>
  <si>
    <t>Student 2026_01172</t>
  </si>
  <si>
    <t>REG-2026-00089</t>
  </si>
  <si>
    <t>Student 2026_00089</t>
  </si>
  <si>
    <t>REG-2026-00910</t>
  </si>
  <si>
    <t>Student 2026_00910</t>
  </si>
  <si>
    <t>REG-2026-01452</t>
  </si>
  <si>
    <t>Student 2026_01452</t>
  </si>
  <si>
    <t>REG-2026-00749</t>
  </si>
  <si>
    <t>Student 2026_00749</t>
  </si>
  <si>
    <t>REG-2026-01714</t>
  </si>
  <si>
    <t>Student 2026_01714</t>
  </si>
  <si>
    <t>REG-2026-01858</t>
  </si>
  <si>
    <t>Student 2026_01858</t>
  </si>
  <si>
    <t>REG-2026-02030</t>
  </si>
  <si>
    <t>Student 2026_02030</t>
  </si>
  <si>
    <t>REG-2026-00233</t>
  </si>
  <si>
    <t>Student 2026_00233</t>
  </si>
  <si>
    <t>REG-2026-00480</t>
  </si>
  <si>
    <t>Student 2026_00480</t>
  </si>
  <si>
    <t>REG-2026-01652</t>
  </si>
  <si>
    <t>Student 2026_01652</t>
  </si>
  <si>
    <t>REG-2026-01117</t>
  </si>
  <si>
    <t>Student 2026_01117</t>
  </si>
  <si>
    <t>REG-2026-00514</t>
  </si>
  <si>
    <t>Student 2026_00514</t>
  </si>
  <si>
    <t>REG-2026-01909</t>
  </si>
  <si>
    <t>Student 2026_01909</t>
  </si>
  <si>
    <t>REG-2026-00493</t>
  </si>
  <si>
    <t>Student 2026_00493</t>
  </si>
  <si>
    <t>REG-2026-01516</t>
  </si>
  <si>
    <t>Student 2026_01516</t>
  </si>
  <si>
    <t>REG-2026-00142</t>
  </si>
  <si>
    <t>Student 2026_00142</t>
  </si>
  <si>
    <t>REG-2026-00395</t>
  </si>
  <si>
    <t>Student 2026_00395</t>
  </si>
  <si>
    <t>REG-2026-01719</t>
  </si>
  <si>
    <t>Student 2026_01719</t>
  </si>
  <si>
    <t>REG-2026-01173</t>
  </si>
  <si>
    <t>Student 2026_01173</t>
  </si>
  <si>
    <t>REG-2026-00243</t>
  </si>
  <si>
    <t>Student 2026_00243</t>
  </si>
  <si>
    <t>REG-2026-01806</t>
  </si>
  <si>
    <t>Student 2026_01806</t>
  </si>
  <si>
    <t>REG-2026-00931</t>
  </si>
  <si>
    <t>Student 2026_00931</t>
  </si>
  <si>
    <t>REG-2026-00258</t>
  </si>
  <si>
    <t>Student 2026_00258</t>
  </si>
  <si>
    <t>REG-2026-02132</t>
  </si>
  <si>
    <t>Student 2026_02132</t>
  </si>
  <si>
    <t>REG-2026-01805</t>
  </si>
  <si>
    <t>Student 2026_01805</t>
  </si>
  <si>
    <t>REG-2026-01764</t>
  </si>
  <si>
    <t>Student 2026_01764</t>
  </si>
  <si>
    <t>REG-2026-00677</t>
  </si>
  <si>
    <t>Student 2026_00677</t>
  </si>
  <si>
    <t>REG-2026-00860</t>
  </si>
  <si>
    <t>Student 2026_00860</t>
  </si>
  <si>
    <t>REG-2026-01328</t>
  </si>
  <si>
    <t>Student 2026_01328</t>
  </si>
  <si>
    <t>REG-2026-01901</t>
  </si>
  <si>
    <t>Student 2026_01901</t>
  </si>
  <si>
    <t>REG-2026-02076</t>
  </si>
  <si>
    <t>Student 2026_02076</t>
  </si>
  <si>
    <t>REG-2026-01271</t>
  </si>
  <si>
    <t>Student 2026_01271</t>
  </si>
  <si>
    <t>REG-2026-01647</t>
  </si>
  <si>
    <t>Student 2026_01647</t>
  </si>
  <si>
    <t>REG-2026-01357</t>
  </si>
  <si>
    <t>Student 2026_01357</t>
  </si>
  <si>
    <t>REG-2026-00135</t>
  </si>
  <si>
    <t>Student 2026_00135</t>
  </si>
  <si>
    <t>REG-2026-00477</t>
  </si>
  <si>
    <t>Student 2026_00477</t>
  </si>
  <si>
    <t>REG-2026-00049</t>
  </si>
  <si>
    <t>Student 2026_00049</t>
  </si>
  <si>
    <t>REG-2026-00982</t>
  </si>
  <si>
    <t>Student 2026_00982</t>
  </si>
  <si>
    <t>REG-2026-01577</t>
  </si>
  <si>
    <t>Student 2026_01577</t>
  </si>
  <si>
    <t>REG-2026-00810</t>
  </si>
  <si>
    <t>Student 2026_00810</t>
  </si>
  <si>
    <t>REG-2026-01121</t>
  </si>
  <si>
    <t>Student 2026_01121</t>
  </si>
  <si>
    <t>REG-2026-00616</t>
  </si>
  <si>
    <t>Student 2026_00616</t>
  </si>
  <si>
    <t>REG-2026-00408</t>
  </si>
  <si>
    <t>Student 2026_00408</t>
  </si>
  <si>
    <t>REG-2026-00254</t>
  </si>
  <si>
    <t>Student 2026_00254</t>
  </si>
  <si>
    <t>REG-2026-01927</t>
  </si>
  <si>
    <t>Student 2026_01927</t>
  </si>
  <si>
    <t>REG-2026-01848</t>
  </si>
  <si>
    <t>Student 2026_01848</t>
  </si>
  <si>
    <t>REG-2026-00693</t>
  </si>
  <si>
    <t>Student 2026_00693</t>
  </si>
  <si>
    <t>REG-2026-01453</t>
  </si>
  <si>
    <t>Student 2026_01453</t>
  </si>
  <si>
    <t>REG-2026-02100</t>
  </si>
  <si>
    <t>Student 2026_02100</t>
  </si>
  <si>
    <t>REG-2026-00630</t>
  </si>
  <si>
    <t>Student 2026_00630</t>
  </si>
  <si>
    <t>REG-2026-00473</t>
  </si>
  <si>
    <t>Student 2026_00473</t>
  </si>
  <si>
    <t>REG-2026-01473</t>
  </si>
  <si>
    <t>Student 2026_01473</t>
  </si>
  <si>
    <t>REG-2026-01632</t>
  </si>
  <si>
    <t>Student 2026_01632</t>
  </si>
  <si>
    <t>REG-2026-01978</t>
  </si>
  <si>
    <t>Student 2026_01978</t>
  </si>
  <si>
    <t>REG-2026-00929</t>
  </si>
  <si>
    <t>Student 2026_00929</t>
  </si>
  <si>
    <t>REG-2026-02067</t>
  </si>
  <si>
    <t>Student 2026_02067</t>
  </si>
  <si>
    <t>REG-2026-01211</t>
  </si>
  <si>
    <t>Student 2026_01211</t>
  </si>
  <si>
    <t>REG-2026-02022</t>
  </si>
  <si>
    <t>Student 2026_02022</t>
  </si>
  <si>
    <t>REG-2026-00920</t>
  </si>
  <si>
    <t>Student 2026_00920</t>
  </si>
  <si>
    <t>REG-2026-00974</t>
  </si>
  <si>
    <t>Student 2026_00974</t>
  </si>
  <si>
    <t>REG-2026-00031</t>
  </si>
  <si>
    <t>Student 2026_00031</t>
  </si>
  <si>
    <t>REG-2026-00844</t>
  </si>
  <si>
    <t>Student 2026_00844</t>
  </si>
  <si>
    <t>REG-2026-00503</t>
  </si>
  <si>
    <t>Student 2026_00503</t>
  </si>
  <si>
    <t>REG-2026-01572</t>
  </si>
  <si>
    <t>Student 2026_01572</t>
  </si>
  <si>
    <t>REG-2026-01089</t>
  </si>
  <si>
    <t>Student 2026_01089</t>
  </si>
  <si>
    <t>REG-2026-00718</t>
  </si>
  <si>
    <t>Student 2026_00718</t>
  </si>
  <si>
    <t>REG-2026-01547</t>
  </si>
  <si>
    <t>Student 2026_01547</t>
  </si>
  <si>
    <t>REG-2026-01543</t>
  </si>
  <si>
    <t>Student 2026_01543</t>
  </si>
  <si>
    <t>REG-2026-01609</t>
  </si>
  <si>
    <t>Student 2026_01609</t>
  </si>
  <si>
    <t>REG-2026-00941</t>
  </si>
  <si>
    <t>Student 2026_00941</t>
  </si>
  <si>
    <t>REG-2026-01740</t>
  </si>
  <si>
    <t>Student 2026_01740</t>
  </si>
  <si>
    <t>REG-2026-01027</t>
  </si>
  <si>
    <t>Student 2026_01027</t>
  </si>
  <si>
    <t>REG-2026-02143</t>
  </si>
  <si>
    <t>Student 2026_02143</t>
  </si>
  <si>
    <t>REG-2026-00967</t>
  </si>
  <si>
    <t>Student 2026_00967</t>
  </si>
  <si>
    <t>REG-2026-01214</t>
  </si>
  <si>
    <t>Student 2026_01214</t>
  </si>
  <si>
    <t>REG-2026-01532</t>
  </si>
  <si>
    <t>Student 2026_01532</t>
  </si>
  <si>
    <t>REG-2026-00002</t>
  </si>
  <si>
    <t>Student 2026_00002</t>
  </si>
  <si>
    <t>REG-2026-00212</t>
  </si>
  <si>
    <t>Student 2026_00212</t>
  </si>
  <si>
    <t>REG-2026-00858</t>
  </si>
  <si>
    <t>Student 2026_00858</t>
  </si>
  <si>
    <t>REG-2026-00977</t>
  </si>
  <si>
    <t>Student 2026_00977</t>
  </si>
  <si>
    <t>REG-2026-01796</t>
  </si>
  <si>
    <t>Student 2026_01796</t>
  </si>
  <si>
    <t>REG-2026-00951</t>
  </si>
  <si>
    <t>Student 2026_00951</t>
  </si>
  <si>
    <t>REG-2026-01844</t>
  </si>
  <si>
    <t>Student 2026_01844</t>
  </si>
  <si>
    <t>REG-2026-01996</t>
  </si>
  <si>
    <t>Student 2026_01996</t>
  </si>
  <si>
    <t>REG-2026-01537</t>
  </si>
  <si>
    <t>Student 2026_01537</t>
  </si>
  <si>
    <t>REG-2026-00151</t>
  </si>
  <si>
    <t>Student 2026_00151</t>
  </si>
  <si>
    <t>REG-2026-00162</t>
  </si>
  <si>
    <t>Student 2026_00162</t>
  </si>
  <si>
    <t>REG-2026-00883</t>
  </si>
  <si>
    <t>Student 2026_00883</t>
  </si>
  <si>
    <t>REG-2026-01715</t>
  </si>
  <si>
    <t>Student 2026_01715</t>
  </si>
  <si>
    <t>REG-2026-00912</t>
  </si>
  <si>
    <t>Student 2026_00912</t>
  </si>
  <si>
    <t>REG-2026-02121</t>
  </si>
  <si>
    <t>Student 2026_02121</t>
  </si>
  <si>
    <t>REG-2026-00305</t>
  </si>
  <si>
    <t>Student 2026_00305</t>
  </si>
  <si>
    <t>REG-2026-00371</t>
  </si>
  <si>
    <t>Student 2026_00371</t>
  </si>
  <si>
    <t>REG-2026-01593</t>
  </si>
  <si>
    <t>Student 2026_01593</t>
  </si>
  <si>
    <t>REG-2026-01407</t>
  </si>
  <si>
    <t>Student 2026_01407</t>
  </si>
  <si>
    <t>REG-2026-00559</t>
  </si>
  <si>
    <t>Student 2026_00559</t>
  </si>
  <si>
    <t>REG-2026-01510</t>
  </si>
  <si>
    <t>Student 2026_01510</t>
  </si>
  <si>
    <t>REG-2026-00238</t>
  </si>
  <si>
    <t>Student 2026_00238</t>
  </si>
  <si>
    <t>REG-2026-00643</t>
  </si>
  <si>
    <t>Student 2026_00643</t>
  </si>
  <si>
    <t>REG-2026-01522</t>
  </si>
  <si>
    <t>Student 2026_01522</t>
  </si>
  <si>
    <t>REG-2026-00686</t>
  </si>
  <si>
    <t>Student 2026_00686</t>
  </si>
  <si>
    <t>REG-2026-00906</t>
  </si>
  <si>
    <t>Student 2026_00906</t>
  </si>
  <si>
    <t>REG-2026-00866</t>
  </si>
  <si>
    <t>Student 2026_00866</t>
  </si>
  <si>
    <t>REG-2026-00042</t>
  </si>
  <si>
    <t>Student 2026_00042</t>
  </si>
  <si>
    <t>REG-2026-01685</t>
  </si>
  <si>
    <t>Student 2026_01685</t>
  </si>
  <si>
    <t>REG-2026-01631</t>
  </si>
  <si>
    <t>Student 2026_01631</t>
  </si>
  <si>
    <t>REG-2026-02130</t>
  </si>
  <si>
    <t>Student 2026_02130</t>
  </si>
  <si>
    <t>REG-2026-01475</t>
  </si>
  <si>
    <t>Student 2026_01475</t>
  </si>
  <si>
    <t>REG-2026-00776</t>
  </si>
  <si>
    <t>Student 2026_00776</t>
  </si>
  <si>
    <t>REG-2026-01287</t>
  </si>
  <si>
    <t>Student 2026_01287</t>
  </si>
  <si>
    <t>REG-2026-00582</t>
  </si>
  <si>
    <t>Student 2026_00582</t>
  </si>
  <si>
    <t>REG-2026-01010</t>
  </si>
  <si>
    <t>Student 2026_01010</t>
  </si>
  <si>
    <t>REG-2026-00345</t>
  </si>
  <si>
    <t>Student 2026_00345</t>
  </si>
  <si>
    <t>REG-2026-00743</t>
  </si>
  <si>
    <t>Student 2026_00743</t>
  </si>
  <si>
    <t>REG-2026-00461</t>
  </si>
  <si>
    <t>Student 2026_00461</t>
  </si>
  <si>
    <t>REG-2026-01752</t>
  </si>
  <si>
    <t>Student 2026_01752</t>
  </si>
  <si>
    <t>REG-2026-00259</t>
  </si>
  <si>
    <t>Student 2026_00259</t>
  </si>
  <si>
    <t>REG-2026-00890</t>
  </si>
  <si>
    <t>Student 2026_00890</t>
  </si>
  <si>
    <t>REG-2026-00020</t>
  </si>
  <si>
    <t>Student 2026_00020</t>
  </si>
  <si>
    <t>REG-2026-01191</t>
  </si>
  <si>
    <t>Student 2026_01191</t>
  </si>
  <si>
    <t>REG-2026-01331</t>
  </si>
  <si>
    <t>Student 2026_01331</t>
  </si>
  <si>
    <t>REG-2026-00388</t>
  </si>
  <si>
    <t>Student 2026_00388</t>
  </si>
  <si>
    <t>REG-2026-01264</t>
  </si>
  <si>
    <t>Student 2026_01264</t>
  </si>
  <si>
    <t>REG-2026-00862</t>
  </si>
  <si>
    <t>Student 2026_00862</t>
  </si>
  <si>
    <t>REG-2026-02059</t>
  </si>
  <si>
    <t>Student 2026_02059</t>
  </si>
  <si>
    <t>REG-2026-02099</t>
  </si>
  <si>
    <t>Student 2026_02099</t>
  </si>
  <si>
    <t>REG-2026-00560</t>
  </si>
  <si>
    <t>Student 2026_00560</t>
  </si>
  <si>
    <t>REG-2026-00434</t>
  </si>
  <si>
    <t>Student 2026_00434</t>
  </si>
  <si>
    <t>REG-2026-00946</t>
  </si>
  <si>
    <t>Student 2026_00946</t>
  </si>
  <si>
    <t>REG-2026-00496</t>
  </si>
  <si>
    <t>Student 2026_00496</t>
  </si>
  <si>
    <t>REG-2026-01633</t>
  </si>
  <si>
    <t>Student 2026_01633</t>
  </si>
  <si>
    <t>REG-2026-00056</t>
  </si>
  <si>
    <t>Student 2026_00056</t>
  </si>
  <si>
    <t>REG-2026-00995</t>
  </si>
  <si>
    <t>Student 2026_00995</t>
  </si>
  <si>
    <t>REG-2026-01258</t>
  </si>
  <si>
    <t>Student 2026_01258</t>
  </si>
  <si>
    <t>REG-2026-00133</t>
  </si>
  <si>
    <t>Student 2026_00133</t>
  </si>
  <si>
    <t>REG-2026-00100</t>
  </si>
  <si>
    <t>Student 2026_00100</t>
  </si>
  <si>
    <t>REG-2026-00460</t>
  </si>
  <si>
    <t>Student 2026_00460</t>
  </si>
  <si>
    <t>REG-2026-01236</t>
  </si>
  <si>
    <t>Student 2026_01236</t>
  </si>
  <si>
    <t>REG-2026-01430</t>
  </si>
  <si>
    <t>Student 2026_01430</t>
  </si>
  <si>
    <t>REG-2026-00663</t>
  </si>
  <si>
    <t>Student 2026_00663</t>
  </si>
  <si>
    <t>REG-2026-00797</t>
  </si>
  <si>
    <t>Student 2026_00797</t>
  </si>
  <si>
    <t>REG-2026-00830</t>
  </si>
  <si>
    <t>Student 2026_00830</t>
  </si>
  <si>
    <t>REG-2026-01635</t>
  </si>
  <si>
    <t>Student 2026_01635</t>
  </si>
  <si>
    <t>REG-2026-01439</t>
  </si>
  <si>
    <t>Student 2026_01439</t>
  </si>
  <si>
    <t>REG-2026-00993</t>
  </si>
  <si>
    <t>Student 2026_00993</t>
  </si>
  <si>
    <t>REG-2026-00464</t>
  </si>
  <si>
    <t>Student 2026_00464</t>
  </si>
  <si>
    <t>REG-2026-01014</t>
  </si>
  <si>
    <t>Student 2026_01014</t>
  </si>
  <si>
    <t>REG-2026-00650</t>
  </si>
  <si>
    <t>Student 2026_00650</t>
  </si>
  <si>
    <t>REG-2026-01503</t>
  </si>
  <si>
    <t>Student 2026_01503</t>
  </si>
  <si>
    <t>REG-2026-01444</t>
  </si>
  <si>
    <t>Student 2026_01444</t>
  </si>
  <si>
    <t>REG-2026-00291</t>
  </si>
  <si>
    <t>Student 2026_00291</t>
  </si>
  <si>
    <t>REG-2026-00034</t>
  </si>
  <si>
    <t>Student 2026_00034</t>
  </si>
  <si>
    <t>REG-2026-00798</t>
  </si>
  <si>
    <t>Student 2026_00798</t>
  </si>
  <si>
    <t>REG-2026-01427</t>
  </si>
  <si>
    <t>Student 2026_01427</t>
  </si>
  <si>
    <t>REG-2026-01232</t>
  </si>
  <si>
    <t>Student 2026_01232</t>
  </si>
  <si>
    <t>REG-2026-00380</t>
  </si>
  <si>
    <t>Student 2026_00380</t>
  </si>
  <si>
    <t>REG-2026-01306</t>
  </si>
  <si>
    <t>Student 2026_01306</t>
  </si>
  <si>
    <t>REG-2026-01573</t>
  </si>
  <si>
    <t>Student 2026_01573</t>
  </si>
  <si>
    <t>REG-2026-00617</t>
  </si>
  <si>
    <t>Student 2026_00617</t>
  </si>
  <si>
    <t>REG-2026-01811</t>
  </si>
  <si>
    <t>Student 2026_01811</t>
  </si>
  <si>
    <t>REG-2026-02094</t>
  </si>
  <si>
    <t>Student 2026_02094</t>
  </si>
  <si>
    <t>REG-2026-01693</t>
  </si>
  <si>
    <t>Student 2026_01693</t>
  </si>
  <si>
    <t>REG-2026-00673</t>
  </si>
  <si>
    <t>Student 2026_00673</t>
  </si>
  <si>
    <t>REG-2026-01900</t>
  </si>
  <si>
    <t>Student 2026_01900</t>
  </si>
  <si>
    <t>REG-2026-01591</t>
  </si>
  <si>
    <t>Student 2026_01591</t>
  </si>
  <si>
    <t>REG-2026-00572</t>
  </si>
  <si>
    <t>Student 2026_00572</t>
  </si>
  <si>
    <t>REG-2026-01318</t>
  </si>
  <si>
    <t>Student 2026_01318</t>
  </si>
  <si>
    <t>REG-2026-00431</t>
  </si>
  <si>
    <t>Student 2026_00431</t>
  </si>
  <si>
    <t>REG-2026-00681</t>
  </si>
  <si>
    <t>Student 2026_00681</t>
  </si>
  <si>
    <t>REG-2026-00748</t>
  </si>
  <si>
    <t>Student 2026_00748</t>
  </si>
  <si>
    <t>REG-2026-00172</t>
  </si>
  <si>
    <t>Student 2026_00172</t>
  </si>
  <si>
    <t>REG-2026-01126</t>
  </si>
  <si>
    <t>Student 2026_01126</t>
  </si>
  <si>
    <t>REG-2026-00255</t>
  </si>
  <si>
    <t>Student 2026_00255</t>
  </si>
  <si>
    <t>REG-2026-00829</t>
  </si>
  <si>
    <t>Student 2026_00829</t>
  </si>
  <si>
    <t>REG-2026-01380</t>
  </si>
  <si>
    <t>Student 2026_01380</t>
  </si>
  <si>
    <t>REG-2026-02033</t>
  </si>
  <si>
    <t>Student 2026_02033</t>
  </si>
  <si>
    <t>REG-2026-01093</t>
  </si>
  <si>
    <t>Student 2026_01093</t>
  </si>
  <si>
    <t>REG-2026-01736</t>
  </si>
  <si>
    <t>Student 2026_01736</t>
  </si>
  <si>
    <t>REG-2026-02008</t>
  </si>
  <si>
    <t>Student 2026_02008</t>
  </si>
  <si>
    <t>REG-2026-01772</t>
  </si>
  <si>
    <t>Student 2026_01772</t>
  </si>
  <si>
    <t>REG-2026-01284</t>
  </si>
  <si>
    <t>Student 2026_01284</t>
  </si>
  <si>
    <t>REG-2026-01931</t>
  </si>
  <si>
    <t>Student 2026_01931</t>
  </si>
  <si>
    <t>REG-2026-00397</t>
  </si>
  <si>
    <t>Student 2026_00397</t>
  </si>
  <si>
    <t>REG-2026-00136</t>
  </si>
  <si>
    <t>Student 2026_00136</t>
  </si>
  <si>
    <t>REG-2026-00144</t>
  </si>
  <si>
    <t>Student 2026_00144</t>
  </si>
  <si>
    <t>REG-2026-00432</t>
  </si>
  <si>
    <t>Student 2026_00432</t>
  </si>
  <si>
    <t>REG-2026-01691</t>
  </si>
  <si>
    <t>Student 2026_01691</t>
  </si>
  <si>
    <t>REG-2026-00148</t>
  </si>
  <si>
    <t>Student 2026_00148</t>
  </si>
  <si>
    <t>REG-2026-00304</t>
  </si>
  <si>
    <t>Student 2026_00304</t>
  </si>
  <si>
    <t>REG-2026-00122</t>
  </si>
  <si>
    <t>Student 2026_00122</t>
  </si>
  <si>
    <t>REG-2026-01337</t>
  </si>
  <si>
    <t>Student 2026_01337</t>
  </si>
  <si>
    <t>REG-2026-00170</t>
  </si>
  <si>
    <t>Student 2026_00170</t>
  </si>
  <si>
    <t>REG-2026-00344</t>
  </si>
  <si>
    <t>Student 2026_00344</t>
  </si>
  <si>
    <t>REG-2026-00187</t>
  </si>
  <si>
    <t>Student 2026_00187</t>
  </si>
  <si>
    <t>REG-2026-01238</t>
  </si>
  <si>
    <t>Student 2026_01238</t>
  </si>
  <si>
    <t>REG-2026-01309</t>
  </si>
  <si>
    <t>Student 2026_01309</t>
  </si>
  <si>
    <t>REG-2026-01267</t>
  </si>
  <si>
    <t>Student 2026_01267</t>
  </si>
  <si>
    <t>REG-2026-01920</t>
  </si>
  <si>
    <t>Student 2026_01920</t>
  </si>
  <si>
    <t>REG-2026-00654</t>
  </si>
  <si>
    <t>Student 2026_00654</t>
  </si>
  <si>
    <t>REG-2026-01483</t>
  </si>
  <si>
    <t>Student 2026_01483</t>
  </si>
  <si>
    <t>REG-2026-00082</t>
  </si>
  <si>
    <t>Student 2026_00082</t>
  </si>
  <si>
    <t>REG-2026-00041</t>
  </si>
  <si>
    <t>Student 2026_00041</t>
  </si>
  <si>
    <t>REG-2026-01094</t>
  </si>
  <si>
    <t>Student 2026_01094</t>
  </si>
  <si>
    <t>REG-2026-02137</t>
  </si>
  <si>
    <t>Student 2026_02137</t>
  </si>
  <si>
    <t>REG-2026-01261</t>
  </si>
  <si>
    <t>Student 2026_01261</t>
  </si>
  <si>
    <t>REG-2026-01959</t>
  </si>
  <si>
    <t>Student 2026_01959</t>
  </si>
  <si>
    <t>REG-2026-01196</t>
  </si>
  <si>
    <t>Student 2026_01196</t>
  </si>
  <si>
    <t>REG-2026-01212</t>
  </si>
  <si>
    <t>Student 2026_01212</t>
  </si>
  <si>
    <t>REG-2026-01451</t>
  </si>
  <si>
    <t>Student 2026_01451</t>
  </si>
  <si>
    <t>REG-2026-01564</t>
  </si>
  <si>
    <t>Student 2026_01564</t>
  </si>
  <si>
    <t>REG-2026-01456</t>
  </si>
  <si>
    <t>Student 2026_01456</t>
  </si>
  <si>
    <t>REG-2026-01069</t>
  </si>
  <si>
    <t>Student 2026_01069</t>
  </si>
  <si>
    <t>REG-2026-00105</t>
  </si>
  <si>
    <t>Student 2026_00105</t>
  </si>
  <si>
    <t>REG-2026-00145</t>
  </si>
  <si>
    <t>Student 2026_00145</t>
  </si>
  <si>
    <t>REG-2026-00046</t>
  </si>
  <si>
    <t>Student 2026_00046</t>
  </si>
  <si>
    <t>REG-2026-00251</t>
  </si>
  <si>
    <t>Student 2026_00251</t>
  </si>
  <si>
    <t>REG-2026-01817</t>
  </si>
  <si>
    <t>Student 2026_01817</t>
  </si>
  <si>
    <t>REG-2026-00245</t>
  </si>
  <si>
    <t>Student 2026_00245</t>
  </si>
  <si>
    <t>REG-2026-00904</t>
  </si>
  <si>
    <t>Student 2026_00904</t>
  </si>
  <si>
    <t>REG-2026-01741</t>
  </si>
  <si>
    <t>Student 2026_01741</t>
  </si>
  <si>
    <t>REG-2026-01584</t>
  </si>
  <si>
    <t>Student 2026_01584</t>
  </si>
  <si>
    <t>REG-2026-00193</t>
  </si>
  <si>
    <t>Student 2026_00193</t>
  </si>
  <si>
    <t>REG-2026-00936</t>
  </si>
  <si>
    <t>Student 2026_00936</t>
  </si>
  <si>
    <t>REG-2026-01189</t>
  </si>
  <si>
    <t>Student 2026_01189</t>
  </si>
  <si>
    <t>REG-2026-01553</t>
  </si>
  <si>
    <t>Student 2026_01553</t>
  </si>
  <si>
    <t>REG-2026-01777</t>
  </si>
  <si>
    <t>Student 2026_01777</t>
  </si>
  <si>
    <t>REG-2026-00837</t>
  </si>
  <si>
    <t>Student 2026_00837</t>
  </si>
  <si>
    <t>REG-2026-01881</t>
  </si>
  <si>
    <t>Student 2026_01881</t>
  </si>
  <si>
    <t>REG-2026-01465</t>
  </si>
  <si>
    <t>Student 2026_01465</t>
  </si>
  <si>
    <t>REG-2026-01275</t>
  </si>
  <si>
    <t>Student 2026_01275</t>
  </si>
  <si>
    <t>REG-2026-02098</t>
  </si>
  <si>
    <t>Student 2026_02098</t>
  </si>
  <si>
    <t>REG-2026-01355</t>
  </si>
  <si>
    <t>Student 2026_01355</t>
  </si>
  <si>
    <t>REG-2026-01601</t>
  </si>
  <si>
    <t>Student 2026_01601</t>
  </si>
  <si>
    <t>REG-2026-00793</t>
  </si>
  <si>
    <t>Student 2026_00793</t>
  </si>
  <si>
    <t>REG-2026-01260</t>
  </si>
  <si>
    <t>Student 2026_01260</t>
  </si>
  <si>
    <t>REG-2026-00715</t>
  </si>
  <si>
    <t>Student 2026_00715</t>
  </si>
  <si>
    <t>REG-2026-01682</t>
  </si>
  <si>
    <t>Student 2026_01682</t>
  </si>
  <si>
    <t>REG-2026-00015</t>
  </si>
  <si>
    <t>Student 2026_00015</t>
  </si>
  <si>
    <t>REG-2026-00956</t>
  </si>
  <si>
    <t>Student 2026_00956</t>
  </si>
  <si>
    <t>REG-2026-01470</t>
  </si>
  <si>
    <t>Student 2026_01470</t>
  </si>
  <si>
    <t>REG-2026-01310</t>
  </si>
  <si>
    <t>Student 2026_01310</t>
  </si>
  <si>
    <t>REG-2026-00818</t>
  </si>
  <si>
    <t>Student 2026_00818</t>
  </si>
  <si>
    <t>REG-2026-00114</t>
  </si>
  <si>
    <t>Student 2026_00114</t>
  </si>
  <si>
    <t>REG-2026-00468</t>
  </si>
  <si>
    <t>Student 2026_00468</t>
  </si>
  <si>
    <t>REG-2026-01841</t>
  </si>
  <si>
    <t>Student 2026_01841</t>
  </si>
  <si>
    <t>REG-2026-00110</t>
  </si>
  <si>
    <t>Student 2026_00110</t>
  </si>
  <si>
    <t>REG-2026-01793</t>
  </si>
  <si>
    <t>Student 2026_01793</t>
  </si>
  <si>
    <t>REG-2026-00804</t>
  </si>
  <si>
    <t>Student 2026_00804</t>
  </si>
  <si>
    <t>REG-2026-01223</t>
  </si>
  <si>
    <t>Student 2026_01223</t>
  </si>
  <si>
    <t>REG-2026-01293</t>
  </si>
  <si>
    <t>Student 2026_01293</t>
  </si>
  <si>
    <t>REG-2026-01889</t>
  </si>
  <si>
    <t>Student 2026_01889</t>
  </si>
  <si>
    <t>REG-2026-01246</t>
  </si>
  <si>
    <t>Student 2026_01246</t>
  </si>
  <si>
    <t>REG-2026-01569</t>
  </si>
  <si>
    <t>Student 2026_01569</t>
  </si>
  <si>
    <t>REG-2026-00662</t>
  </si>
  <si>
    <t>Student 2026_00662</t>
  </si>
  <si>
    <t>REG-2026-00948</t>
  </si>
  <si>
    <t>Student 2026_00948</t>
  </si>
  <si>
    <t>REG-2026-01057</t>
  </si>
  <si>
    <t>Student 2026_01057</t>
  </si>
  <si>
    <t>REG-2026-01404</t>
  </si>
  <si>
    <t>Student 2026_01404</t>
  </si>
  <si>
    <t>REG-2026-01321</t>
  </si>
  <si>
    <t>Student 2026_01321</t>
  </si>
  <si>
    <t>REG-2026-01111</t>
  </si>
  <si>
    <t>Student 2026_01111</t>
  </si>
  <si>
    <t>REG-2026-02082</t>
  </si>
  <si>
    <t>Student 2026_02082</t>
  </si>
  <si>
    <t>REG-2026-01388</t>
  </si>
  <si>
    <t>Student 2026_01388</t>
  </si>
  <si>
    <t>REG-2026-00778</t>
  </si>
  <si>
    <t>Student 2026_00778</t>
  </si>
  <si>
    <t>REG-2026-01159</t>
  </si>
  <si>
    <t>Student 2026_01159</t>
  </si>
  <si>
    <t>REG-2026-01362</t>
  </si>
  <si>
    <t>Student 2026_01362</t>
  </si>
  <si>
    <t>REG-2026-00124</t>
  </si>
  <si>
    <t>Student 2026_00124</t>
  </si>
  <si>
    <t>REG-2026-02048</t>
  </si>
  <si>
    <t>Student 2026_02048</t>
  </si>
  <si>
    <t>REG-2026-00462</t>
  </si>
  <si>
    <t>Student 2026_00462</t>
  </si>
  <si>
    <t>REG-2026-01449</t>
  </si>
  <si>
    <t>Student 2026_01449</t>
  </si>
  <si>
    <t>REG-2026-00898</t>
  </si>
  <si>
    <t>Student 2026_00898</t>
  </si>
  <si>
    <t>REG-2026-00084</t>
  </si>
  <si>
    <t>Student 2026_00084</t>
  </si>
  <si>
    <t>REG-2026-00712</t>
  </si>
  <si>
    <t>Student 2026_00712</t>
  </si>
  <si>
    <t>REG-2026-00273</t>
  </si>
  <si>
    <t>Student 2026_00273</t>
  </si>
  <si>
    <t>REG-2026-01279</t>
  </si>
  <si>
    <t>Student 2026_01279</t>
  </si>
  <si>
    <t>REG-2026-01103</t>
  </si>
  <si>
    <t>Student 2026_01103</t>
  </si>
  <si>
    <t>REG-2026-00659</t>
  </si>
  <si>
    <t>Student 2026_00659</t>
  </si>
  <si>
    <t>REG-2026-00153</t>
  </si>
  <si>
    <t>Student 2026_00153</t>
  </si>
  <si>
    <t>REG-2026-01043</t>
  </si>
  <si>
    <t>Student 2026_01043</t>
  </si>
  <si>
    <t>REG-2026-00774</t>
  </si>
  <si>
    <t>Student 2026_00774</t>
  </si>
  <si>
    <t>REG-2026-01830</t>
  </si>
  <si>
    <t>Student 2026_01830</t>
  </si>
  <si>
    <t>REG-2026-01234</t>
  </si>
  <si>
    <t>Student 2026_01234</t>
  </si>
  <si>
    <t>REG-2026-01255</t>
  </si>
  <si>
    <t>Student 2026_01255</t>
  </si>
  <si>
    <t>REG-2026-00992</t>
  </si>
  <si>
    <t>Student 2026_00992</t>
  </si>
  <si>
    <t>REG-2026-01788</t>
  </si>
  <si>
    <t>Student 2026_01788</t>
  </si>
  <si>
    <t>REG-2026-00900</t>
  </si>
  <si>
    <t>Student 2026_00900</t>
  </si>
  <si>
    <t>REG-2026-00119</t>
  </si>
  <si>
    <t>Student 2026_00119</t>
  </si>
  <si>
    <t>REG-2026-00674</t>
  </si>
  <si>
    <t>Student 2026_00674</t>
  </si>
  <si>
    <t>REG-2026-00382</t>
  </si>
  <si>
    <t>Student 2026_00382</t>
  </si>
  <si>
    <t>REG-2026-02029</t>
  </si>
  <si>
    <t>Student 2026_02029</t>
  </si>
  <si>
    <t>REG-2026-01589</t>
  </si>
  <si>
    <t>Student 2026_01589</t>
  </si>
  <si>
    <t>REG-2026-01727</t>
  </si>
  <si>
    <t>Student 2026_01727</t>
  </si>
  <si>
    <t>REG-2026-00694</t>
  </si>
  <si>
    <t>Student 2026_00694</t>
  </si>
  <si>
    <t>REG-2026-00832</t>
  </si>
  <si>
    <t>Student 2026_00832</t>
  </si>
  <si>
    <t>REG-2026-00610</t>
  </si>
  <si>
    <t>Student 2026_00610</t>
  </si>
  <si>
    <t>REG-2026-00915</t>
  </si>
  <si>
    <t>Student 2026_00915</t>
  </si>
  <si>
    <t>REG-2026-00312</t>
  </si>
  <si>
    <t>Student 2026_00312</t>
  </si>
  <si>
    <t>REG-2026-02119</t>
  </si>
  <si>
    <t>Student 2026_02119</t>
  </si>
  <si>
    <t>REG-2026-01945</t>
  </si>
  <si>
    <t>Student 2026_01945</t>
  </si>
  <si>
    <t>REG-2026-00980</t>
  </si>
  <si>
    <t>Student 2026_00980</t>
  </si>
  <si>
    <t>REG-2026-02034</t>
  </si>
  <si>
    <t>Student 2026_02034</t>
  </si>
  <si>
    <t>REG-2026-00487</t>
  </si>
  <si>
    <t>Student 2026_00487</t>
  </si>
  <si>
    <t>REG-2026-00010</t>
  </si>
  <si>
    <t>Student 2026_00010</t>
  </si>
  <si>
    <t>REG-2026-00575</t>
  </si>
  <si>
    <t>Student 2026_00575</t>
  </si>
  <si>
    <t>REG-2026-01607</t>
  </si>
  <si>
    <t>Student 2026_01607</t>
  </si>
  <si>
    <t>REG-2026-00237</t>
  </si>
  <si>
    <t>Student 2026_00237</t>
  </si>
  <si>
    <t>REG-2026-01611</t>
  </si>
  <si>
    <t>Student 2026_01611</t>
  </si>
  <si>
    <t>REG-2026-01344</t>
  </si>
  <si>
    <t>Student 2026_01344</t>
  </si>
  <si>
    <t>REG-2026-00412</t>
  </si>
  <si>
    <t>Student 2026_00412</t>
  </si>
  <si>
    <t>REG-2026-01142</t>
  </si>
  <si>
    <t>Student 2026_01142</t>
  </si>
  <si>
    <t>REG-2026-00785</t>
  </si>
  <si>
    <t>Student 2026_00785</t>
  </si>
  <si>
    <t>REG-2026-00381</t>
  </si>
  <si>
    <t>Student 2026_00381</t>
  </si>
  <si>
    <t>REG-2026-02037</t>
  </si>
  <si>
    <t>Student 2026_02037</t>
  </si>
  <si>
    <t>REG-2026-01797</t>
  </si>
  <si>
    <t>Student 2026_01797</t>
  </si>
  <si>
    <t>REG-2026-00666</t>
  </si>
  <si>
    <t>Student 2026_00666</t>
  </si>
  <si>
    <t>REG-2026-00714</t>
  </si>
  <si>
    <t>Student 2026_00714</t>
  </si>
  <si>
    <t>REG-2026-02024</t>
  </si>
  <si>
    <t>Student 2026_02024</t>
  </si>
  <si>
    <t>REG-2026-00834</t>
  </si>
  <si>
    <t>Student 2026_00834</t>
  </si>
  <si>
    <t>REG-2026-00447</t>
  </si>
  <si>
    <t>Student 2026_00447</t>
  </si>
  <si>
    <t>REG-2026-00827</t>
  </si>
  <si>
    <t>Student 2026_00827</t>
  </si>
  <si>
    <t>REG-2026-01412</t>
  </si>
  <si>
    <t>Student 2026_01412</t>
  </si>
  <si>
    <t>REG-2026-00986</t>
  </si>
  <si>
    <t>Student 2026_00986</t>
  </si>
  <si>
    <t>REG-2026-01080</t>
  </si>
  <si>
    <t>Student 2026_01080</t>
  </si>
  <si>
    <t>REG-2026-00532</t>
  </si>
  <si>
    <t>Student 2026_00532</t>
  </si>
  <si>
    <t>REG-2026-01064</t>
  </si>
  <si>
    <t>Student 2026_01064</t>
  </si>
  <si>
    <t>REG-2026-01180</t>
  </si>
  <si>
    <t>Student 2026_01180</t>
  </si>
  <si>
    <t>REG-2026-01461</t>
  </si>
  <si>
    <t>Student 2026_01461</t>
  </si>
  <si>
    <t>REG-2026-01636</t>
  </si>
  <si>
    <t>Student 2026_01636</t>
  </si>
  <si>
    <t>REG-2026-00347</t>
  </si>
  <si>
    <t>Student 2026_00347</t>
  </si>
  <si>
    <t>REG-2026-00467</t>
  </si>
  <si>
    <t>Student 2026_00467</t>
  </si>
  <si>
    <t>REG-2026-02080</t>
  </si>
  <si>
    <t>Student 2026_02080</t>
  </si>
  <si>
    <t>REG-2026-00102</t>
  </si>
  <si>
    <t>Student 2026_00102</t>
  </si>
  <si>
    <t>REG-2026-01991</t>
  </si>
  <si>
    <t>Student 2026_01991</t>
  </si>
  <si>
    <t>REG-2026-00444</t>
  </si>
  <si>
    <t>Student 2026_00444</t>
  </si>
  <si>
    <t>REG-2026-00228</t>
  </si>
  <si>
    <t>Student 2026_00228</t>
  </si>
  <si>
    <t>REG-2026-01893</t>
  </si>
  <si>
    <t>Student 2026_01893</t>
  </si>
  <si>
    <t>REG-2026-01606</t>
  </si>
  <si>
    <t>Student 2026_01606</t>
  </si>
  <si>
    <t>REG-2026-01943</t>
  </si>
  <si>
    <t>Student 2026_01943</t>
  </si>
  <si>
    <t>REG-2026-00850</t>
  </si>
  <si>
    <t>Student 2026_00850</t>
  </si>
  <si>
    <t>REG-2026-00226</t>
  </si>
  <si>
    <t>Student 2026_00226</t>
  </si>
  <si>
    <t>REG-2026-01524</t>
  </si>
  <si>
    <t>Student 2026_01524</t>
  </si>
  <si>
    <t>REG-2026-01499</t>
  </si>
  <si>
    <t>Student 2026_01499</t>
  </si>
  <si>
    <t>REG-2026-00831</t>
  </si>
  <si>
    <t>Student 2026_00831</t>
  </si>
  <si>
    <t>REG-2026-00571</t>
  </si>
  <si>
    <t>Student 2026_00571</t>
  </si>
  <si>
    <t>REG-2026-01738</t>
  </si>
  <si>
    <t>Student 2026_01738</t>
  </si>
  <si>
    <t>REG-2026-01384</t>
  </si>
  <si>
    <t>Student 2026_01384</t>
  </si>
  <si>
    <t>REG-2026-00598</t>
  </si>
  <si>
    <t>Student 2026_00598</t>
  </si>
  <si>
    <t>REG-2026-00815</t>
  </si>
  <si>
    <t>Student 2026_00815</t>
  </si>
  <si>
    <t>REG-2026-00429</t>
  </si>
  <si>
    <t>Student 2026_00429</t>
  </si>
  <si>
    <t>REG-2026-01894</t>
  </si>
  <si>
    <t>Student 2026_01894</t>
  </si>
  <si>
    <t>REG-2026-00199</t>
  </si>
  <si>
    <t>Student 2026_00199</t>
  </si>
  <si>
    <t>REG-2026-01167</t>
  </si>
  <si>
    <t>Student 2026_01167</t>
  </si>
  <si>
    <t>REG-2026-00502</t>
  </si>
  <si>
    <t>Student 2026_00502</t>
  </si>
  <si>
    <t>REG-2026-00350</t>
  </si>
  <si>
    <t>Student 2026_00350</t>
  </si>
  <si>
    <t>REG-2026-00126</t>
  </si>
  <si>
    <t>Student 2026_00126</t>
  </si>
  <si>
    <t>REG-2026-01474</t>
  </si>
  <si>
    <t>Student 2026_01474</t>
  </si>
  <si>
    <t>REG-2026-02060</t>
  </si>
  <si>
    <t>Student 2026_02060</t>
  </si>
  <si>
    <t>REG-2026-01862</t>
  </si>
  <si>
    <t>Student 2026_01862</t>
  </si>
  <si>
    <t>REG-2026-00405</t>
  </si>
  <si>
    <t>Student 2026_00405</t>
  </si>
  <si>
    <t>REG-2026-00675</t>
  </si>
  <si>
    <t>Student 2026_00675</t>
  </si>
  <si>
    <t>REG-2026-00608</t>
  </si>
  <si>
    <t>Student 2026_00608</t>
  </si>
  <si>
    <t>REG-2026-00234</t>
  </si>
  <si>
    <t>Student 2026_00234</t>
  </si>
  <si>
    <t>REG-2026-00016</t>
  </si>
  <si>
    <t>Student 2026_00016</t>
  </si>
  <si>
    <t>REG-2026-01185</t>
  </si>
  <si>
    <t>Student 2026_01185</t>
  </si>
  <si>
    <t>REG-2026-01494</t>
  </si>
  <si>
    <t>Student 2026_01494</t>
  </si>
  <si>
    <t>REG-2026-01393</t>
  </si>
  <si>
    <t>Student 2026_01393</t>
  </si>
  <si>
    <t>REG-2026-01285</t>
  </si>
  <si>
    <t>Student 2026_01285</t>
  </si>
  <si>
    <t>REG-2026-00672</t>
  </si>
  <si>
    <t>Student 2026_00672</t>
  </si>
  <si>
    <t>REG-2026-02142</t>
  </si>
  <si>
    <t>Student 2026_02142</t>
  </si>
  <si>
    <t>REG-2026-01342</t>
  </si>
  <si>
    <t>Student 2026_01342</t>
  </si>
  <si>
    <t>REG-2026-00954</t>
  </si>
  <si>
    <t>Student 2026_00954</t>
  </si>
  <si>
    <t>REG-2026-02084</t>
  </si>
  <si>
    <t>Student 2026_02084</t>
  </si>
  <si>
    <t>REG-2026-00386</t>
  </si>
  <si>
    <t>Student 2026_00386</t>
  </si>
  <si>
    <t>REG-2026-00164</t>
  </si>
  <si>
    <t>Student 2026_00164</t>
  </si>
  <si>
    <t>REG-2026-00399</t>
  </si>
  <si>
    <t>Student 2026_00399</t>
  </si>
  <si>
    <t>REG-2026-00634</t>
  </si>
  <si>
    <t>Student 2026_00634</t>
  </si>
  <si>
    <t>REG-2026-00351</t>
  </si>
  <si>
    <t>Student 2026_00351</t>
  </si>
  <si>
    <t>REG-2026-01026</t>
  </si>
  <si>
    <t>Student 2026_01026</t>
  </si>
  <si>
    <t>REG-2026-00943</t>
  </si>
  <si>
    <t>Student 2026_00943</t>
  </si>
  <si>
    <t>REG-2026-00562</t>
  </si>
  <si>
    <t>Student 2026_00562</t>
  </si>
  <si>
    <t>REG-2026-02085</t>
  </si>
  <si>
    <t>Student 2026_02085</t>
  </si>
  <si>
    <t>REG-2026-00519</t>
  </si>
  <si>
    <t>Student 2026_00519</t>
  </si>
  <si>
    <t>REG-2026-00436</t>
  </si>
  <si>
    <t>Student 2026_00436</t>
  </si>
  <si>
    <t>REG-2026-02087</t>
  </si>
  <si>
    <t>Student 2026_02087</t>
  </si>
  <si>
    <t>REG-2026-01324</t>
  </si>
  <si>
    <t>Student 2026_01324</t>
  </si>
  <si>
    <t>REG-2026-01128</t>
  </si>
  <si>
    <t>Student 2026_01128</t>
  </si>
  <si>
    <t>REG-2026-00646</t>
  </si>
  <si>
    <t>Student 2026_00646</t>
  </si>
  <si>
    <t>REG-2026-02020</t>
  </si>
  <si>
    <t>Student 2026_02020</t>
  </si>
  <si>
    <t>REG-2026-00488</t>
  </si>
  <si>
    <t>Student 2026_00488</t>
  </si>
  <si>
    <t>REG-2026-02145</t>
  </si>
  <si>
    <t>Student 2026_02145</t>
  </si>
  <si>
    <t>REG-2026-00475</t>
  </si>
  <si>
    <t>Student 2026_00475</t>
  </si>
  <si>
    <t>REG-2026-01146</t>
  </si>
  <si>
    <t>Student 2026_01146</t>
  </si>
  <si>
    <t>REG-2026-01946</t>
  </si>
  <si>
    <t>Student 2026_01946</t>
  </si>
  <si>
    <t>REG-2026-01604</t>
  </si>
  <si>
    <t>Student 2026_01604</t>
  </si>
  <si>
    <t>REG-2026-00472</t>
  </si>
  <si>
    <t>Student 2026_00472</t>
  </si>
  <si>
    <t>REG-2026-00997</t>
  </si>
  <si>
    <t>Student 2026_00997</t>
  </si>
  <si>
    <t>REG-2026-01668</t>
  </si>
  <si>
    <t>Student 2026_01668</t>
  </si>
  <si>
    <t>REG-2026-00520</t>
  </si>
  <si>
    <t>Student 2026_00520</t>
  </si>
  <si>
    <t>REG-2026-01432</t>
  </si>
  <si>
    <t>Student 2026_01432</t>
  </si>
  <si>
    <t>REG-2026-01618</t>
  </si>
  <si>
    <t>Student 2026_01618</t>
  </si>
  <si>
    <t>REG-2026-01810</t>
  </si>
  <si>
    <t>Student 2026_01810</t>
  </si>
  <si>
    <t>REG-2026-00308</t>
  </si>
  <si>
    <t>Student 2026_00308</t>
  </si>
  <si>
    <t>REG-2026-01545</t>
  </si>
  <si>
    <t>Student 2026_01545</t>
  </si>
  <si>
    <t>REG-2026-01462</t>
  </si>
  <si>
    <t>Student 2026_01462</t>
  </si>
  <si>
    <t>REG-2026-00341</t>
  </si>
  <si>
    <t>Student 2026_00341</t>
  </si>
  <si>
    <t>REG-2026-00035</t>
  </si>
  <si>
    <t>Student 2026_00035</t>
  </si>
  <si>
    <t>REG-2026-01018</t>
  </si>
  <si>
    <t>Student 2026_01018</t>
  </si>
  <si>
    <t>REG-2026-00131</t>
  </si>
  <si>
    <t>Student 2026_00131</t>
  </si>
  <si>
    <t>REG-2026-01678</t>
  </si>
  <si>
    <t>Student 2026_01678</t>
  </si>
  <si>
    <t>REG-2026-00919</t>
  </si>
  <si>
    <t>Student 2026_00919</t>
  </si>
  <si>
    <t>REG-2026-00486</t>
  </si>
  <si>
    <t>Student 2026_00486</t>
  </si>
  <si>
    <t>REG-2026-01413</t>
  </si>
  <si>
    <t>Student 2026_01413</t>
  </si>
  <si>
    <t>REG-2026-00534</t>
  </si>
  <si>
    <t>Student 2026_00534</t>
  </si>
  <si>
    <t>REG-2026-00637</t>
  </si>
  <si>
    <t>Student 2026_00637</t>
  </si>
  <si>
    <t>REG-2026-00338</t>
  </si>
  <si>
    <t>Student 2026_00338</t>
  </si>
  <si>
    <t>REG-2026-00384</t>
  </si>
  <si>
    <t>Student 2026_00384</t>
  </si>
  <si>
    <t>REG-2026-01051</t>
  </si>
  <si>
    <t>Student 2026_01051</t>
  </si>
  <si>
    <t>REG-2026-00812</t>
  </si>
  <si>
    <t>Student 2026_00812</t>
  </si>
  <si>
    <t>REG-2026-01096</t>
  </si>
  <si>
    <t>Student 2026_01096</t>
  </si>
  <si>
    <t>REG-2026-00965</t>
  </si>
  <si>
    <t>Student 2026_00965</t>
  </si>
  <si>
    <t>REG-2026-01308</t>
  </si>
  <si>
    <t>Student 2026_01308</t>
  </si>
  <si>
    <t>REG-2026-02150</t>
  </si>
  <si>
    <t>Student 2026_02150</t>
  </si>
  <si>
    <t>REG-2026-01436</t>
  </si>
  <si>
    <t>Student 2026_01436</t>
  </si>
  <si>
    <t>REG-2026-02014</t>
  </si>
  <si>
    <t>Student 2026_02014</t>
  </si>
  <si>
    <t>REG-2026-00106</t>
  </si>
  <si>
    <t>Student 2026_00106</t>
  </si>
  <si>
    <t>REG-2026-01698</t>
  </si>
  <si>
    <t>Student 2026_01698</t>
  </si>
  <si>
    <t>REG-2026-01600</t>
  </si>
  <si>
    <t>Student 2026_01600</t>
  </si>
  <si>
    <t>REG-2026-00198</t>
  </si>
  <si>
    <t>Student 2026_00198</t>
  </si>
  <si>
    <t>REG-2026-00564</t>
  </si>
  <si>
    <t>Student 2026_00564</t>
  </si>
  <si>
    <t>REG-2026-01644</t>
  </si>
  <si>
    <t>Student 2026_01644</t>
  </si>
  <si>
    <t>REG-2026-00596</t>
  </si>
  <si>
    <t>Student 2026_00596</t>
  </si>
  <si>
    <t>REG-2026-01827</t>
  </si>
  <si>
    <t>Student 2026_01827</t>
  </si>
  <si>
    <t>REG-2026-00112</t>
  </si>
  <si>
    <t>Student 2026_00112</t>
  </si>
  <si>
    <t>REG-2026-00838</t>
  </si>
  <si>
    <t>Student 2026_00838</t>
  </si>
  <si>
    <t>REG-2026-00801</t>
  </si>
  <si>
    <t>Student 2026_00801</t>
  </si>
  <si>
    <t>REG-2026-00521</t>
  </si>
  <si>
    <t>Student 2026_00521</t>
  </si>
  <si>
    <t>REG-2026-01466</t>
  </si>
  <si>
    <t>Student 2026_01466</t>
  </si>
  <si>
    <t>REG-2026-00622</t>
  </si>
  <si>
    <t>Student 2026_00622</t>
  </si>
  <si>
    <t>REG-2026-02140</t>
  </si>
  <si>
    <t>Student 2026_02140</t>
  </si>
  <si>
    <t>REG-2026-00118</t>
  </si>
  <si>
    <t>Student 2026_00118</t>
  </si>
  <si>
    <t>REG-2026-00415</t>
  </si>
  <si>
    <t>Student 2026_00415</t>
  </si>
  <si>
    <t>REG-2026-01421</t>
  </si>
  <si>
    <t>Student 2026_01421</t>
  </si>
  <si>
    <t>REG-2026-00294</t>
  </si>
  <si>
    <t>Student 2026_00294</t>
  </si>
  <si>
    <t>REG-2026-00353</t>
  </si>
  <si>
    <t>Student 2026_00353</t>
  </si>
  <si>
    <t>REG-2026-00849</t>
  </si>
  <si>
    <t>Student 2026_00849</t>
  </si>
  <si>
    <t>REG-2026-00746</t>
  </si>
  <si>
    <t>Student 2026_00746</t>
  </si>
  <si>
    <t>REG-2026-00664</t>
  </si>
  <si>
    <t>Student 2026_00664</t>
  </si>
  <si>
    <t>REG-2026-00639</t>
  </si>
  <si>
    <t>Student 2026_00639</t>
  </si>
  <si>
    <t>REG-2026-02053</t>
  </si>
  <si>
    <t>Student 2026_02053</t>
  </si>
  <si>
    <t>REG-2026-01622</t>
  </si>
  <si>
    <t>Student 2026_01622</t>
  </si>
  <si>
    <t>REG-2026-00318</t>
  </si>
  <si>
    <t>Student 2026_00318</t>
  </si>
  <si>
    <t>REG-2026-01530</t>
  </si>
  <si>
    <t>Student 2026_01530</t>
  </si>
  <si>
    <t>REG-2026-00442</t>
  </si>
  <si>
    <t>Student 2026_00442</t>
  </si>
  <si>
    <t>REG-2026-00527</t>
  </si>
  <si>
    <t>Student 2026_00527</t>
  </si>
  <si>
    <t>REG-2026-00484</t>
  </si>
  <si>
    <t>Student 2026_00484</t>
  </si>
  <si>
    <t>REG-2026-00561</t>
  </si>
  <si>
    <t>Student 2026_00561</t>
  </si>
  <si>
    <t>REG-2026-01304</t>
  </si>
  <si>
    <t>Student 2026_01304</t>
  </si>
  <si>
    <t>REG-2026-02026</t>
  </si>
  <si>
    <t>Student 2026_02026</t>
  </si>
  <si>
    <t>REG-2026-01221</t>
  </si>
  <si>
    <t>Student 2026_01221</t>
  </si>
  <si>
    <t>REG-2026-01204</t>
  </si>
  <si>
    <t>Student 2026_01204</t>
  </si>
  <si>
    <t>REG-2026-01225</t>
  </si>
  <si>
    <t>Student 2026_01225</t>
  </si>
  <si>
    <t>REG-2026-00964</t>
  </si>
  <si>
    <t>Student 2026_00964</t>
  </si>
  <si>
    <t>REG-2026-00306</t>
  </si>
  <si>
    <t>Student 2026_00306</t>
  </si>
  <si>
    <t>REG-2026-01970</t>
  </si>
  <si>
    <t>Student 2026_01970</t>
  </si>
  <si>
    <t>REG-2026-00360</t>
  </si>
  <si>
    <t>Student 2026_00360</t>
  </si>
  <si>
    <t>REG-2026-00732</t>
  </si>
  <si>
    <t>Student 2026_00732</t>
  </si>
  <si>
    <t>REG-2026-01280</t>
  </si>
  <si>
    <t>Student 2026_01280</t>
  </si>
  <si>
    <t>REG-2026-00543</t>
  </si>
  <si>
    <t>Student 2026_00543</t>
  </si>
  <si>
    <t>REG-2026-00194</t>
  </si>
  <si>
    <t>Student 2026_00194</t>
  </si>
  <si>
    <t>REG-2026-01496</t>
  </si>
  <si>
    <t>Student 2026_01496</t>
  </si>
  <si>
    <t>REG-2026-01484</t>
  </si>
  <si>
    <t>Student 2026_01484</t>
  </si>
  <si>
    <t>REG-2026-02135</t>
  </si>
  <si>
    <t>Student 2026_02135</t>
  </si>
  <si>
    <t>REG-2026-01988</t>
  </si>
  <si>
    <t>Student 2026_01988</t>
  </si>
  <si>
    <t>REG-2026-00047</t>
  </si>
  <si>
    <t>Student 2026_00047</t>
  </si>
  <si>
    <t>REG-2026-00120</t>
  </si>
  <si>
    <t>Student 2026_00120</t>
  </si>
  <si>
    <t>REG-2026-01322</t>
  </si>
  <si>
    <t>Student 2026_01322</t>
  </si>
  <si>
    <t>REG-2026-01802</t>
  </si>
  <si>
    <t>Student 2026_01802</t>
  </si>
  <si>
    <t>REG-2026-00285</t>
  </si>
  <si>
    <t>Student 2026_00285</t>
  </si>
  <si>
    <t>REG-2026-01259</t>
  </si>
  <si>
    <t>Student 2026_01259</t>
  </si>
  <si>
    <t>REG-2026-00563</t>
  </si>
  <si>
    <t>Student 2026_00563</t>
  </si>
  <si>
    <t>REG-2026-00367</t>
  </si>
  <si>
    <t>Student 2026_00367</t>
  </si>
  <si>
    <t>REG-2026-00271</t>
  </si>
  <si>
    <t>Student 2026_00271</t>
  </si>
  <si>
    <t>REG-2026-00719</t>
  </si>
  <si>
    <t>Student 2026_00719</t>
  </si>
  <si>
    <t>REG-2026-02105</t>
  </si>
  <si>
    <t>Student 2026_02105</t>
  </si>
  <si>
    <t>REG-2026-00971</t>
  </si>
  <si>
    <t>Student 2026_00971</t>
  </si>
  <si>
    <t>REG-2026-00542</t>
  </si>
  <si>
    <t>Student 2026_00542</t>
  </si>
  <si>
    <t>REG-2026-01390</t>
  </si>
  <si>
    <t>Student 2026_01390</t>
  </si>
  <si>
    <t>REG-2026-01076</t>
  </si>
  <si>
    <t>Student 2026_01076</t>
  </si>
  <si>
    <t>REG-2026-00983</t>
  </si>
  <si>
    <t>Student 2026_00983</t>
  </si>
  <si>
    <t>REG-2026-00768</t>
  </si>
  <si>
    <t>Student 2026_00768</t>
  </si>
  <si>
    <t>REG-2026-01965</t>
  </si>
  <si>
    <t>Student 2026_01965</t>
  </si>
  <si>
    <t>REG-2026-00244</t>
  </si>
  <si>
    <t>Student 2026_00244</t>
  </si>
  <si>
    <t>REG-2026-01171</t>
  </si>
  <si>
    <t>Student 2026_01171</t>
  </si>
  <si>
    <t>REG-2026-00593</t>
  </si>
  <si>
    <t>Student 2026_00593</t>
  </si>
  <si>
    <t>REG-2026-00908</t>
  </si>
  <si>
    <t>Student 2026_00908</t>
  </si>
  <si>
    <t>REG-2026-01025</t>
  </si>
  <si>
    <t>Student 2026_01025</t>
  </si>
  <si>
    <t>REG-2026-00176</t>
  </si>
  <si>
    <t>Student 2026_00176</t>
  </si>
  <si>
    <t>REG-2026-02131</t>
  </si>
  <si>
    <t>Student 2026_02131</t>
  </si>
  <si>
    <t>REG-2026-00242</t>
  </si>
  <si>
    <t>Student 2026_00242</t>
  </si>
  <si>
    <t>REG-2026-00342</t>
  </si>
  <si>
    <t>Student 2026_00342</t>
  </si>
  <si>
    <t>REG-2026-00104</t>
  </si>
  <si>
    <t>Student 2026_00104</t>
  </si>
  <si>
    <t>REG-2026-00779</t>
  </si>
  <si>
    <t>Student 2026_00779</t>
  </si>
  <si>
    <t>REG-2026-00320</t>
  </si>
  <si>
    <t>Student 2026_00320</t>
  </si>
  <si>
    <t>REG-2026-00101</t>
  </si>
  <si>
    <t>Student 2026_00101</t>
  </si>
  <si>
    <t>REG-2026-00737</t>
  </si>
  <si>
    <t>Student 2026_00737</t>
  </si>
  <si>
    <t>REG-2026-01509</t>
  </si>
  <si>
    <t>Student 2026_01509</t>
  </si>
  <si>
    <t>REG-2026-00805</t>
  </si>
  <si>
    <t>Student 2026_00805</t>
  </si>
  <si>
    <t>REG-2026-00952</t>
  </si>
  <si>
    <t>Student 2026_00952</t>
  </si>
  <si>
    <t>REG-2026-01710</t>
  </si>
  <si>
    <t>Student 2026_01710</t>
  </si>
  <si>
    <t>REG-2026-01681</t>
  </si>
  <si>
    <t>Student 2026_01681</t>
  </si>
  <si>
    <t>REG-2026-00512</t>
  </si>
  <si>
    <t>Student 2026_00512</t>
  </si>
  <si>
    <t>REG-2026-01316</t>
  </si>
  <si>
    <t>Student 2026_01316</t>
  </si>
  <si>
    <t>REG-2026-00870</t>
  </si>
  <si>
    <t>Student 2026_00870</t>
  </si>
  <si>
    <t>REG-2026-00428</t>
  </si>
  <si>
    <t>Student 2026_00428</t>
  </si>
  <si>
    <t>REG-2026-00505</t>
  </si>
  <si>
    <t>Student 2026_00505</t>
  </si>
  <si>
    <t>REG-2026-01643</t>
  </si>
  <si>
    <t>Student 2026_01643</t>
  </si>
  <si>
    <t>REG-2026-01758</t>
  </si>
  <si>
    <t>Student 2026_01758</t>
  </si>
  <si>
    <t>REG-2026-00470</t>
  </si>
  <si>
    <t>Student 2026_00470</t>
  </si>
  <si>
    <t>REG-2026-01964</t>
  </si>
  <si>
    <t>Student 2026_01964</t>
  </si>
  <si>
    <t>REG-2026-01892</t>
  </si>
  <si>
    <t>Student 2026_01892</t>
  </si>
  <si>
    <t>REG-2026-01689</t>
  </si>
  <si>
    <t>Student 2026_01689</t>
  </si>
  <si>
    <t>REG-2026-01670</t>
  </si>
  <si>
    <t>Student 2026_01670</t>
  </si>
  <si>
    <t>REG-2026-01001</t>
  </si>
  <si>
    <t>Student 2026_01001</t>
  </si>
  <si>
    <t>REG-2026-01756</t>
  </si>
  <si>
    <t>Student 2026_01756</t>
  </si>
  <si>
    <t>REG-2026-01015</t>
  </si>
  <si>
    <t>Student 2026_01015</t>
  </si>
  <si>
    <t>REG-2026-00453</t>
  </si>
  <si>
    <t>Student 2026_00453</t>
  </si>
  <si>
    <t>REG-2026-00897</t>
  </si>
  <si>
    <t>Student 2026_00897</t>
  </si>
  <si>
    <t>REG-2026-01437</t>
  </si>
  <si>
    <t>Student 2026_01437</t>
  </si>
  <si>
    <t>REG-2026-00710</t>
  </si>
  <si>
    <t>Student 2026_00710</t>
  </si>
  <si>
    <t>REG-2026-01940</t>
  </si>
  <si>
    <t>Student 2026_01940</t>
  </si>
  <si>
    <t>REG-2026-00969</t>
  </si>
  <si>
    <t>Student 2026_00969</t>
  </si>
  <si>
    <t>REG-2026-01087</t>
  </si>
  <si>
    <t>Student 2026_01087</t>
  </si>
  <si>
    <t>REG-2026-01594</t>
  </si>
  <si>
    <t>Student 2026_01594</t>
  </si>
  <si>
    <t>REG-2026-02117</t>
  </si>
  <si>
    <t>Student 2026_02117</t>
  </si>
  <si>
    <t>REG-2026-01769</t>
  </si>
  <si>
    <t>Student 2026_01769</t>
  </si>
  <si>
    <t>REG-2026-00425</t>
  </si>
  <si>
    <t>Student 2026_00425</t>
  </si>
  <si>
    <t>REG-2026-01952</t>
  </si>
  <si>
    <t>Student 2026_01952</t>
  </si>
  <si>
    <t>REG-2026-00256</t>
  </si>
  <si>
    <t>Student 2026_00256</t>
  </si>
  <si>
    <t>REG-2026-00878</t>
  </si>
  <si>
    <t>Student 2026_00878</t>
  </si>
  <si>
    <t>REG-2026-00547</t>
  </si>
  <si>
    <t>Student 2026_00547</t>
  </si>
  <si>
    <t>REG-2026-02027</t>
  </si>
  <si>
    <t>Student 2026_02027</t>
  </si>
  <si>
    <t>REG-2026-00728</t>
  </si>
  <si>
    <t>Student 2026_00728</t>
  </si>
  <si>
    <t>REG-2026-01222</t>
  </si>
  <si>
    <t>Student 2026_01222</t>
  </si>
  <si>
    <t>REG-2026-01081</t>
  </si>
  <si>
    <t>Student 2026_01081</t>
  </si>
  <si>
    <t>REG-2026-00218</t>
  </si>
  <si>
    <t>Student 2026_00218</t>
  </si>
  <si>
    <t>REG-2026-01365</t>
  </si>
  <si>
    <t>Student 2026_01365</t>
  </si>
  <si>
    <t>REG-2026-01994</t>
  </si>
  <si>
    <t>Student 2026_01994</t>
  </si>
  <si>
    <t>REG-2026-02086</t>
  </si>
  <si>
    <t>Student 2026_02086</t>
  </si>
  <si>
    <t>REG-2026-02111</t>
  </si>
  <si>
    <t>Student 2026_02111</t>
  </si>
  <si>
    <t>REG-2026-00299</t>
  </si>
  <si>
    <t>Student 2026_00299</t>
  </si>
  <si>
    <t>REG-2026-00208</t>
  </si>
  <si>
    <t>Student 2026_00208</t>
  </si>
  <si>
    <t>REG-2026-01013</t>
  </si>
  <si>
    <t>Student 2026_01013</t>
  </si>
  <si>
    <t>REG-2026-00454</t>
  </si>
  <si>
    <t>Student 2026_00454</t>
  </si>
  <si>
    <t>REG-2026-01401</t>
  </si>
  <si>
    <t>Student 2026_01401</t>
  </si>
  <si>
    <t>REG-2026-00893</t>
  </si>
  <si>
    <t>Student 2026_00893</t>
  </si>
  <si>
    <t>REG-2026-01513</t>
  </si>
  <si>
    <t>Student 2026_01513</t>
  </si>
  <si>
    <t>REG-2026-00109</t>
  </si>
  <si>
    <t>Student 2026_00109</t>
  </si>
  <si>
    <t>REG-2026-01220</t>
  </si>
  <si>
    <t>Student 2026_01220</t>
  </si>
  <si>
    <t>REG-2026-01595</t>
  </si>
  <si>
    <t>Student 2026_01595</t>
  </si>
  <si>
    <t>REG-2026-01650</t>
  </si>
  <si>
    <t>Student 2026_01650</t>
  </si>
  <si>
    <t>REG-2026-01295</t>
  </si>
  <si>
    <t>Student 2026_01295</t>
  </si>
  <si>
    <t>REG-2026-00578</t>
  </si>
  <si>
    <t>Student 2026_00578</t>
  </si>
  <si>
    <t>REG-2026-01732</t>
  </si>
  <si>
    <t>Student 2026_01732</t>
  </si>
  <si>
    <t>REG-2026-01877</t>
  </si>
  <si>
    <t>Student 2026_01877</t>
  </si>
  <si>
    <t>REG-2026-00354</t>
  </si>
  <si>
    <t>Student 2026_00354</t>
  </si>
  <si>
    <t>REG-2026-00771</t>
  </si>
  <si>
    <t>Student 2026_00771</t>
  </si>
  <si>
    <t>REG-2026-00401</t>
  </si>
  <si>
    <t>Student 2026_00401</t>
  </si>
  <si>
    <t>REG-2026-01508</t>
  </si>
  <si>
    <t>Student 2026_01508</t>
  </si>
  <si>
    <t>REG-2026-01854</t>
  </si>
  <si>
    <t>Student 2026_01854</t>
  </si>
  <si>
    <t>REG-2026-00240</t>
  </si>
  <si>
    <t>Student 2026_00240</t>
  </si>
  <si>
    <t>REG-2026-00970</t>
  </si>
  <si>
    <t>Student 2026_00970</t>
  </si>
  <si>
    <t>REG-2026-01914</t>
  </si>
  <si>
    <t>Student 2026_01914</t>
  </si>
  <si>
    <t>REG-2026-00315</t>
  </si>
  <si>
    <t>Student 2026_00315</t>
  </si>
  <si>
    <t>REG-2026-02061</t>
  </si>
  <si>
    <t>Student 2026_02061</t>
  </si>
  <si>
    <t>REG-2026-01179</t>
  </si>
  <si>
    <t>Student 2026_01179</t>
  </si>
  <si>
    <t>REG-2026-00216</t>
  </si>
  <si>
    <t>Student 2026_00216</t>
  </si>
  <si>
    <t>REG-2026-00569</t>
  </si>
  <si>
    <t>Student 2026_00569</t>
  </si>
  <si>
    <t>REG-2026-00644</t>
  </si>
  <si>
    <t>Student 2026_00644</t>
  </si>
  <si>
    <t>REG-2026-01125</t>
  </si>
  <si>
    <t>Student 2026_01125</t>
  </si>
  <si>
    <t>REG-2026-00331</t>
  </si>
  <si>
    <t>Student 2026_00331</t>
  </si>
  <si>
    <t>REG-2026-01541</t>
  </si>
  <si>
    <t>Student 2026_01541</t>
  </si>
  <si>
    <t>REG-2026-02052</t>
  </si>
  <si>
    <t>Student 2026_02052</t>
  </si>
  <si>
    <t>REG-2026-01798</t>
  </si>
  <si>
    <t>Student 2026_01798</t>
  </si>
  <si>
    <t>REG-2026-01428</t>
  </si>
  <si>
    <t>Student 2026_01428</t>
  </si>
  <si>
    <t>REG-2026-00968</t>
  </si>
  <si>
    <t>Student 2026_00968</t>
  </si>
  <si>
    <t>REG-2026-00252</t>
  </si>
  <si>
    <t>Student 2026_00252</t>
  </si>
  <si>
    <t>REG-2026-00411</t>
  </si>
  <si>
    <t>Student 2026_00411</t>
  </si>
  <si>
    <t>REG-2026-00800</t>
  </si>
  <si>
    <t>Student 2026_00800</t>
  </si>
  <si>
    <t>REG-2026-01198</t>
  </si>
  <si>
    <t>Student 2026_01198</t>
  </si>
  <si>
    <t>REG-2026-00334</t>
  </si>
  <si>
    <t>Student 2026_00334</t>
  </si>
  <si>
    <t>REG-2026-00855</t>
  </si>
  <si>
    <t>Student 2026_00855</t>
  </si>
  <si>
    <t>REG-2026-01252</t>
  </si>
  <si>
    <t>Student 2026_01252</t>
  </si>
  <si>
    <t>REG-2026-01243</t>
  </si>
  <si>
    <t>Student 2026_01243</t>
  </si>
  <si>
    <t>REG-2026-00823</t>
  </si>
  <si>
    <t>Student 2026_00823</t>
  </si>
  <si>
    <t>REG-2026-01744</t>
  </si>
  <si>
    <t>Student 2026_01744</t>
  </si>
  <si>
    <t>REG-2026-01624</t>
  </si>
  <si>
    <t>Student 2026_01624</t>
  </si>
  <si>
    <t>REG-2026-00295</t>
  </si>
  <si>
    <t>Student 2026_00295</t>
  </si>
  <si>
    <t>REG-2026-01164</t>
  </si>
  <si>
    <t>Student 2026_01164</t>
  </si>
  <si>
    <t>REG-2026-00651</t>
  </si>
  <si>
    <t>Student 2026_00651</t>
  </si>
  <si>
    <t>REG-2026-01936</t>
  </si>
  <si>
    <t>Student 2026_01936</t>
  </si>
  <si>
    <t>REG-2026-00121</t>
  </si>
  <si>
    <t>Student 2026_00121</t>
  </si>
  <si>
    <t>REG-2026-00697</t>
  </si>
  <si>
    <t>Student 2026_00697</t>
  </si>
  <si>
    <t>REG-2026-00933</t>
  </si>
  <si>
    <t>Student 2026_00933</t>
  </si>
  <si>
    <t>REG-2026-01721</t>
  </si>
  <si>
    <t>Student 2026_01721</t>
  </si>
  <si>
    <t>REG-2026-01055</t>
  </si>
  <si>
    <t>Student 2026_01055</t>
  </si>
  <si>
    <t>REG-2026-00284</t>
  </si>
  <si>
    <t>Student 2026_00284</t>
  </si>
  <si>
    <t>REG-2026-00984</t>
  </si>
  <si>
    <t>Student 2026_00984</t>
  </si>
  <si>
    <t>REG-2026-00602</t>
  </si>
  <si>
    <t>Student 2026_00602</t>
  </si>
  <si>
    <t>REG-2026-02078</t>
  </si>
  <si>
    <t>Student 2026_02078</t>
  </si>
  <si>
    <t>REG-2026-00139</t>
  </si>
  <si>
    <t>Student 2026_00139</t>
  </si>
  <si>
    <t>REG-2026-00645</t>
  </si>
  <si>
    <t>Student 2026_00645</t>
  </si>
  <si>
    <t>REG-2026-00864</t>
  </si>
  <si>
    <t>Student 2026_00864</t>
  </si>
  <si>
    <t>REG-2026-01842</t>
  </si>
  <si>
    <t>Student 2026_01842</t>
  </si>
  <si>
    <t>REG-2026-00990</t>
  </si>
  <si>
    <t>Student 2026_00990</t>
  </si>
  <si>
    <t>REG-2026-00213</t>
  </si>
  <si>
    <t>Student 2026_00213</t>
  </si>
  <si>
    <t>REG-2026-01471</t>
  </si>
  <si>
    <t>Student 2026_01471</t>
  </si>
  <si>
    <t>REG-2026-00567</t>
  </si>
  <si>
    <t>Student 2026_00567</t>
  </si>
  <si>
    <t>REG-2026-00742</t>
  </si>
  <si>
    <t>Student 2026_00742</t>
  </si>
  <si>
    <t>REG-2026-01706</t>
  </si>
  <si>
    <t>Student 2026_01706</t>
  </si>
  <si>
    <t>REG-2026-01770</t>
  </si>
  <si>
    <t>Student 2026_01770</t>
  </si>
  <si>
    <t>REG-2026-01192</t>
  </si>
  <si>
    <t>Student 2026_01192</t>
  </si>
  <si>
    <t>REG-2026-01307</t>
  </si>
  <si>
    <t>Student 2026_01307</t>
  </si>
  <si>
    <t>REG-2026-01495</t>
  </si>
  <si>
    <t>Student 2026_01495</t>
  </si>
  <si>
    <t>REG-2026-01814</t>
  </si>
  <si>
    <t>Student 2026_01814</t>
  </si>
  <si>
    <t>REG-2026-01697</t>
  </si>
  <si>
    <t>Student 2026_01697</t>
  </si>
  <si>
    <t>REG-2026-00257</t>
  </si>
  <si>
    <t>Student 2026_00257</t>
  </si>
  <si>
    <t>REG-2026-01829</t>
  </si>
  <si>
    <t>Student 2026_01829</t>
  </si>
  <si>
    <t>REG-2026-00495</t>
  </si>
  <si>
    <t>Student 2026_00495</t>
  </si>
  <si>
    <t>REG-2026-00452</t>
  </si>
  <si>
    <t>Student 2026_00452</t>
  </si>
  <si>
    <t>REG-2026-01464</t>
  </si>
  <si>
    <t>Student 2026_01464</t>
  </si>
  <si>
    <t>REG-2026-00691</t>
  </si>
  <si>
    <t>Student 2026_00691</t>
  </si>
  <si>
    <t>REG-2026-00192</t>
  </si>
  <si>
    <t>Student 2026_00192</t>
  </si>
  <si>
    <t>REG-2026-01968</t>
  </si>
  <si>
    <t>Student 2026_01968</t>
  </si>
  <si>
    <t>REG-2026-00511</t>
  </si>
  <si>
    <t>Student 2026_00511</t>
  </si>
  <si>
    <t>REG-2026-01257</t>
  </si>
  <si>
    <t>Student 2026_01257</t>
  </si>
  <si>
    <t>REG-2026-01815</t>
  </si>
  <si>
    <t>Student 2026_01815</t>
  </si>
  <si>
    <t>REG-2026-00174</t>
  </si>
  <si>
    <t>Student 2026_00174</t>
  </si>
  <si>
    <t>REG-2026-01281</t>
  </si>
  <si>
    <t>Student 2026_01281</t>
  </si>
  <si>
    <t>REG-2026-00427</t>
  </si>
  <si>
    <t>Student 2026_00427</t>
  </si>
  <si>
    <t>REG-2026-01974</t>
  </si>
  <si>
    <t>Student 2026_01974</t>
  </si>
  <si>
    <t>REG-2026-01387</t>
  </si>
  <si>
    <t>Student 2026_01387</t>
  </si>
  <si>
    <t>REG-2026-01784</t>
  </si>
  <si>
    <t>Student 2026_01784</t>
  </si>
  <si>
    <t>REG-2026-01726</t>
  </si>
  <si>
    <t>Student 2026_01726</t>
  </si>
  <si>
    <t>REG-2026-00647</t>
  </si>
  <si>
    <t>Student 2026_00647</t>
  </si>
  <si>
    <t>REG-2026-01961</t>
  </si>
  <si>
    <t>Student 2026_01961</t>
  </si>
  <si>
    <t>REG-2026-01712</t>
  </si>
  <si>
    <t>Student 2026_01712</t>
  </si>
  <si>
    <t>REG-2026-01658</t>
  </si>
  <si>
    <t>Student 2026_01658</t>
  </si>
  <si>
    <t>REG-2026-00764</t>
  </si>
  <si>
    <t>Student 2026_00764</t>
  </si>
  <si>
    <t>REG-2026-00450</t>
  </si>
  <si>
    <t>Student 2026_00450</t>
  </si>
  <si>
    <t>REG-2026-00636</t>
  </si>
  <si>
    <t>Student 2026_00636</t>
  </si>
  <si>
    <t>REG-2026-01299</t>
  </si>
  <si>
    <t>Student 2026_01299</t>
  </si>
  <si>
    <t>REG-2026-01381</t>
  </si>
  <si>
    <t>Student 2026_01381</t>
  </si>
  <si>
    <t>REG-2026-00497</t>
  </si>
  <si>
    <t>Student 2026_00497</t>
  </si>
  <si>
    <t>REG-2026-01068</t>
  </si>
  <si>
    <t>Student 2026_01068</t>
  </si>
  <si>
    <t>REG-2026-01630</t>
  </si>
  <si>
    <t>Student 2026_01630</t>
  </si>
  <si>
    <t>REG-2026-01377</t>
  </si>
  <si>
    <t>Student 2026_01377</t>
  </si>
  <si>
    <t>REG-2026-01867</t>
  </si>
  <si>
    <t>Student 2026_01867</t>
  </si>
  <si>
    <t>REG-2026-00604</t>
  </si>
  <si>
    <t>Student 2026_00604</t>
  </si>
  <si>
    <t>REG-2026-00727</t>
  </si>
  <si>
    <t>Student 2026_00727</t>
  </si>
  <si>
    <t>REG-2026-00184</t>
  </si>
  <si>
    <t>Student 2026_00184</t>
  </si>
  <si>
    <t>REG-2026-01878</t>
  </si>
  <si>
    <t>Student 2026_01878</t>
  </si>
  <si>
    <t>REG-2026-02055</t>
  </si>
  <si>
    <t>Student 2026_02055</t>
  </si>
  <si>
    <t>REG-2026-01130</t>
  </si>
  <si>
    <t>Student 2026_01130</t>
  </si>
  <si>
    <t>REG-2026-00394</t>
  </si>
  <si>
    <t>Student 2026_00394</t>
  </si>
  <si>
    <t>REG-2026-00668</t>
  </si>
  <si>
    <t>Student 2026_00668</t>
  </si>
  <si>
    <t>REG-2026-00587</t>
  </si>
  <si>
    <t>Student 2026_00587</t>
  </si>
  <si>
    <t>REG-2026-00847</t>
  </si>
  <si>
    <t>Student 2026_00847</t>
  </si>
  <si>
    <t>REG-2026-00711</t>
  </si>
  <si>
    <t>Student 2026_00711</t>
  </si>
  <si>
    <t>REG-2026-01742</t>
  </si>
  <si>
    <t>Student 2026_01742</t>
  </si>
  <si>
    <t>REG-2026-00851</t>
  </si>
  <si>
    <t>Student 2026_00851</t>
  </si>
  <si>
    <t>REG-2026-01766</t>
  </si>
  <si>
    <t>Student 2026_01766</t>
  </si>
  <si>
    <t>REG-2026-00705</t>
  </si>
  <si>
    <t>Student 2026_00705</t>
  </si>
  <si>
    <t>REG-2026-01301</t>
  </si>
  <si>
    <t>Student 2026_01301</t>
  </si>
  <si>
    <t>REG-2026-02089</t>
  </si>
  <si>
    <t>Student 2026_02089</t>
  </si>
  <si>
    <t>REG-2026-01379</t>
  </si>
  <si>
    <t>Student 2026_01379</t>
  </si>
  <si>
    <t>REG-2026-00215</t>
  </si>
  <si>
    <t>Student 2026_00215</t>
  </si>
  <si>
    <t>REG-2026-00080</t>
  </si>
  <si>
    <t>Student 2026_00080</t>
  </si>
  <si>
    <t>REG-2026-01674</t>
  </si>
  <si>
    <t>Student 2026_01674</t>
  </si>
  <si>
    <t>REG-2026-01101</t>
  </si>
  <si>
    <t>Student 2026_01101</t>
  </si>
  <si>
    <t>REG-2026-00219</t>
  </si>
  <si>
    <t>Student 2026_00219</t>
  </si>
  <si>
    <t>REG-2026-01759</t>
  </si>
  <si>
    <t>Student 2026_01759</t>
  </si>
  <si>
    <t>REG-2026-00030</t>
  </si>
  <si>
    <t>Student 2026_00030</t>
  </si>
  <si>
    <t>REG-2026-00871</t>
  </si>
  <si>
    <t>Student 2026_00871</t>
  </si>
  <si>
    <t>REG-2026-01107</t>
  </si>
  <si>
    <t>Student 2026_01107</t>
  </si>
  <si>
    <t>REG-2026-00090</t>
  </si>
  <si>
    <t>Student 2026_00090</t>
  </si>
  <si>
    <t>REG-2026-00945</t>
  </si>
  <si>
    <t>Student 2026_00945</t>
  </si>
  <si>
    <t>REG-2026-02009</t>
  </si>
  <si>
    <t>Student 2026_02009</t>
  </si>
  <si>
    <t>REG-2026-01786</t>
  </si>
  <si>
    <t>Student 2026_01786</t>
  </si>
  <si>
    <t>REG-2026-00329</t>
  </si>
  <si>
    <t>Student 2026_00329</t>
  </si>
  <si>
    <t>REG-2026-01521</t>
  </si>
  <si>
    <t>Student 2026_01521</t>
  </si>
  <si>
    <t>REG-2026-01207</t>
  </si>
  <si>
    <t>Student 2026_01207</t>
  </si>
  <si>
    <t>REG-2026-02062</t>
  </si>
  <si>
    <t>Student 2026_02062</t>
  </si>
  <si>
    <t>REG-2026-01684</t>
  </si>
  <si>
    <t>Student 2026_01684</t>
  </si>
  <si>
    <t>REG-2026-01864</t>
  </si>
  <si>
    <t>Student 2026_01864</t>
  </si>
  <si>
    <t>REG-2026-02071</t>
  </si>
  <si>
    <t>Student 2026_02071</t>
  </si>
  <si>
    <t>REG-2026-00262</t>
  </si>
  <si>
    <t>Student 2026_00262</t>
  </si>
  <si>
    <t>REG-2026-01048</t>
  </si>
  <si>
    <t>Student 2026_01048</t>
  </si>
  <si>
    <t>REG-2026-00129</t>
  </si>
  <si>
    <t>Student 2026_00129</t>
  </si>
  <si>
    <t>REG-2026-00221</t>
  </si>
  <si>
    <t>Student 2026_00221</t>
  </si>
  <si>
    <t>REG-2026-00130</t>
  </si>
  <si>
    <t>Student 2026_00130</t>
  </si>
  <si>
    <t>REG-2026-02047</t>
  </si>
  <si>
    <t>Student 2026_02047</t>
  </si>
  <si>
    <t>REG-2026-01341</t>
  </si>
  <si>
    <t>Student 2026_01341</t>
  </si>
  <si>
    <t>REG-2026-00149</t>
  </si>
  <si>
    <t>Student 2026_00149</t>
  </si>
  <si>
    <t>REG-2026-01376</t>
  </si>
  <si>
    <t>Student 2026_01376</t>
  </si>
  <si>
    <t>REG-2026-00679</t>
  </si>
  <si>
    <t>Student 2026_00679</t>
  </si>
  <si>
    <t>REG-2026-00167</t>
  </si>
  <si>
    <t>Student 2026_00167</t>
  </si>
  <si>
    <t>REG-2026-01463</t>
  </si>
  <si>
    <t>Student 2026_01463</t>
  </si>
  <si>
    <t>REG-2026-01724</t>
  </si>
  <si>
    <t>Student 2026_01724</t>
  </si>
  <si>
    <t>REG-2026-01615</t>
  </si>
  <si>
    <t>Student 2026_01615</t>
  </si>
  <si>
    <t>REG-2026-00125</t>
  </si>
  <si>
    <t>Student 2026_00125</t>
  </si>
  <si>
    <t>REG-2026-00326</t>
  </si>
  <si>
    <t>Student 2026_00326</t>
  </si>
  <si>
    <t>REG-2026-00003</t>
  </si>
  <si>
    <t>Student 2026_00003</t>
  </si>
  <si>
    <t>REG-2026-00621</t>
  </si>
  <si>
    <t>Student 2026_00621</t>
  </si>
  <si>
    <t>REG-2026-01200</t>
  </si>
  <si>
    <t>Student 2026_01200</t>
  </si>
  <si>
    <t>REG-2026-00045</t>
  </si>
  <si>
    <t>Student 2026_00045</t>
  </si>
  <si>
    <t>REG-2026-02129</t>
  </si>
  <si>
    <t>Student 2026_02129</t>
  </si>
  <si>
    <t>REG-2026-01116</t>
  </si>
  <si>
    <t>Student 2026_01116</t>
  </si>
  <si>
    <t>REG-2026-01136</t>
  </si>
  <si>
    <t>Student 2026_01136</t>
  </si>
  <si>
    <t>REG-2026-00724</t>
  </si>
  <si>
    <t>Student 2026_00724</t>
  </si>
  <si>
    <t>REG-2026-02051</t>
  </si>
  <si>
    <t>Student 2026_02051</t>
  </si>
  <si>
    <t>REG-2026-01435</t>
  </si>
  <si>
    <t>Student 2026_01435</t>
  </si>
  <si>
    <t>REG-2026-01420</t>
  </si>
  <si>
    <t>Student 2026_01420</t>
  </si>
  <si>
    <t>REG-2026-00128</t>
  </si>
  <si>
    <t>Student 2026_00128</t>
  </si>
  <si>
    <t>REG-2026-00979</t>
  </si>
  <si>
    <t>Student 2026_00979</t>
  </si>
  <si>
    <t>REG-2026-01082</t>
  </si>
  <si>
    <t>Student 2026_01082</t>
  </si>
  <si>
    <t>REG-2026-00524</t>
  </si>
  <si>
    <t>Student 2026_00524</t>
  </si>
  <si>
    <t>REG-2026-01454</t>
  </si>
  <si>
    <t>Student 2026_01454</t>
  </si>
  <si>
    <t>REG-2026-02028</t>
  </si>
  <si>
    <t>Student 2026_02028</t>
  </si>
  <si>
    <t>REG-2026-00325</t>
  </si>
  <si>
    <t>Student 2026_00325</t>
  </si>
  <si>
    <t>REG-2026-00843</t>
  </si>
  <si>
    <t>Student 2026_00843</t>
  </si>
  <si>
    <t>REG-2026-01340</t>
  </si>
  <si>
    <t>Student 2026_01340</t>
  </si>
  <si>
    <t>REG-2026-00902</t>
  </si>
  <si>
    <t>Student 2026_00902</t>
  </si>
  <si>
    <t>REG-2026-00116</t>
  </si>
  <si>
    <t>Student 2026_00116</t>
  </si>
  <si>
    <t>REG-2026-02109</t>
  </si>
  <si>
    <t>Student 2026_02109</t>
  </si>
  <si>
    <t>REG-2026-00758</t>
  </si>
  <si>
    <t>Student 2026_00758</t>
  </si>
  <si>
    <t>REG-2026-00808</t>
  </si>
  <si>
    <t>Student 2026_00808</t>
  </si>
  <si>
    <t>REG-2026-00739</t>
  </si>
  <si>
    <t>Student 2026_00739</t>
  </si>
  <si>
    <t>REG-2026-00789</t>
  </si>
  <si>
    <t>Student 2026_00789</t>
  </si>
  <si>
    <t>REG-2026-00206</t>
  </si>
  <si>
    <t>Student 2026_00206</t>
  </si>
  <si>
    <t>REG-2026-00007</t>
  </si>
  <si>
    <t>Student 2026_00007</t>
  </si>
  <si>
    <t>REG-2026-01029</t>
  </si>
  <si>
    <t>Student 2026_01029</t>
  </si>
  <si>
    <t>REG-2026-00892</t>
  </si>
  <si>
    <t>Student 2026_00892</t>
  </si>
  <si>
    <t>REG-2026-01860</t>
  </si>
  <si>
    <t>Student 2026_01860</t>
  </si>
  <si>
    <t>REG-2026-01951</t>
  </si>
  <si>
    <t>Student 2026_01951</t>
  </si>
  <si>
    <t>REG-2026-00747</t>
  </si>
  <si>
    <t>Student 2026_00747</t>
  </si>
  <si>
    <t>REG-2026-01730</t>
  </si>
  <si>
    <t>Student 2026_01730</t>
  </si>
  <si>
    <t>REG-2026-01315</t>
  </si>
  <si>
    <t>Student 2026_01315</t>
  </si>
  <si>
    <t>REG-2026-01450</t>
  </si>
  <si>
    <t>Student 2026_01450</t>
  </si>
  <si>
    <t>REG-2026-01004</t>
  </si>
  <si>
    <t>Student 2026_01004</t>
  </si>
  <si>
    <t>REG-2026-00905</t>
  </si>
  <si>
    <t>Student 2026_00905</t>
  </si>
  <si>
    <t>REG-2026-00328</t>
  </si>
  <si>
    <t>Student 2026_00328</t>
  </si>
  <si>
    <t>REG-2026-00507</t>
  </si>
  <si>
    <t>Student 2026_00507</t>
  </si>
  <si>
    <t>REG-2026-01031</t>
  </si>
  <si>
    <t>Student 2026_01031</t>
  </si>
  <si>
    <t>REG-2026-01807</t>
  </si>
  <si>
    <t>Student 2026_01807</t>
  </si>
  <si>
    <t>REG-2026-01773</t>
  </si>
  <si>
    <t>Student 2026_01773</t>
  </si>
  <si>
    <t>REG-2026-01067</t>
  </si>
  <si>
    <t>Student 2026_01067</t>
  </si>
  <si>
    <t>REG-2026-00200</t>
  </si>
  <si>
    <t>Student 2026_00200</t>
  </si>
  <si>
    <t>REG-2026-00340</t>
  </si>
  <si>
    <t>Student 2026_00340</t>
  </si>
  <si>
    <t>REG-2026-01506</t>
  </si>
  <si>
    <t>Student 2026_01506</t>
  </si>
  <si>
    <t>REG-2026-02128</t>
  </si>
  <si>
    <t>Student 2026_02128</t>
  </si>
  <si>
    <t>REG-2026-01899</t>
  </si>
  <si>
    <t>Student 2026_01899</t>
  </si>
  <si>
    <t>REG-2026-00756</t>
  </si>
  <si>
    <t>Student 2026_00756</t>
  </si>
  <si>
    <t>REG-2026-01040</t>
  </si>
  <si>
    <t>Student 2026_01040</t>
  </si>
  <si>
    <t>REG-2026-00392</t>
  </si>
  <si>
    <t>Student 2026_00392</t>
  </si>
  <si>
    <t>REG-2026-01037</t>
  </si>
  <si>
    <t>Student 2026_01037</t>
  </si>
  <si>
    <t>REG-2026-01821</t>
  </si>
  <si>
    <t>Student 2026_01821</t>
  </si>
  <si>
    <t>REG-2026-00873</t>
  </si>
  <si>
    <t>Student 2026_00873</t>
  </si>
  <si>
    <t>REG-2026-01208</t>
  </si>
  <si>
    <t>Student 2026_01208</t>
  </si>
  <si>
    <t>REG-2026-01869</t>
  </si>
  <si>
    <t>Student 2026_01869</t>
  </si>
  <si>
    <t>REG-2026-00925</t>
  </si>
  <si>
    <t>Student 2026_00925</t>
  </si>
  <si>
    <t>REG-2026-01888</t>
  </si>
  <si>
    <t>Student 2026_01888</t>
  </si>
  <si>
    <t>REG-2026-01166</t>
  </si>
  <si>
    <t>Student 2026_01166</t>
  </si>
  <si>
    <t>REG-2026-01061</t>
  </si>
  <si>
    <t>Student 2026_01061</t>
  </si>
  <si>
    <t>REG-2026-01115</t>
  </si>
  <si>
    <t>Student 2026_01115</t>
  </si>
  <si>
    <t>REG-2026-01206</t>
  </si>
  <si>
    <t>Student 2026_01206</t>
  </si>
  <si>
    <t>REG-2026-00406</t>
  </si>
  <si>
    <t>Student 2026_00406</t>
  </si>
  <si>
    <t>REG-2026-01231</t>
  </si>
  <si>
    <t>Student 2026_01231</t>
  </si>
  <si>
    <t>REG-2026-00947</t>
  </si>
  <si>
    <t>Student 2026_00947</t>
  </si>
  <si>
    <t>REG-2026-01967</t>
  </si>
  <si>
    <t>Student 2026_01967</t>
  </si>
  <si>
    <t>REG-2026-01400</t>
  </si>
  <si>
    <t>Student 2026_01400</t>
  </si>
  <si>
    <t>REG-2026-01570</t>
  </si>
  <si>
    <t>Student 2026_01570</t>
  </si>
  <si>
    <t>REG-2026-00726</t>
  </si>
  <si>
    <t>Student 2026_00726</t>
  </si>
  <si>
    <t>REG-2026-01419</t>
  </si>
  <si>
    <t>Student 2026_01419</t>
  </si>
  <si>
    <t>REG-2026-00817</t>
  </si>
  <si>
    <t>Student 2026_00817</t>
  </si>
  <si>
    <t>REG-2026-00050</t>
  </si>
  <si>
    <t>Student 2026_00050</t>
  </si>
  <si>
    <t>REG-2026-01199</t>
  </si>
  <si>
    <t>Student 2026_01199</t>
  </si>
  <si>
    <t>REG-2026-01852</t>
  </si>
  <si>
    <t>Student 2026_01852</t>
  </si>
  <si>
    <t>REG-2026-01617</t>
  </si>
  <si>
    <t>Student 2026_01617</t>
  </si>
  <si>
    <t>REG-2026-01151</t>
  </si>
  <si>
    <t>Student 2026_01151</t>
  </si>
  <si>
    <t>REG-2026-00280</t>
  </si>
  <si>
    <t>Student 2026_00280</t>
  </si>
  <si>
    <t>REG-2026-01833</t>
  </si>
  <si>
    <t>Student 2026_01833</t>
  </si>
  <si>
    <t>REG-2026-02023</t>
  </si>
  <si>
    <t>Student 2026_02023</t>
  </si>
  <si>
    <t>REG-2026-00909</t>
  </si>
  <si>
    <t>Student 2026_00909</t>
  </si>
  <si>
    <t>REG-2026-01409</t>
  </si>
  <si>
    <t>Student 2026_01409</t>
  </si>
  <si>
    <t>REG-2026-00988</t>
  </si>
  <si>
    <t>Student 2026_00988</t>
  </si>
  <si>
    <t>REG-2026-00775</t>
  </si>
  <si>
    <t>Student 2026_00775</t>
  </si>
  <si>
    <t>REG-2026-01665</t>
  </si>
  <si>
    <t>Student 2026_01665</t>
  </si>
  <si>
    <t>REG-2026-01350</t>
  </si>
  <si>
    <t>Student 2026_01350</t>
  </si>
  <si>
    <t>REG-2026-01781</t>
  </si>
  <si>
    <t>Student 2026_01781</t>
  </si>
  <si>
    <t>REG-2026-01971</t>
  </si>
  <si>
    <t>Student 2026_01971</t>
  </si>
  <si>
    <t>REG-2026-00759</t>
  </si>
  <si>
    <t>Student 2026_00759</t>
  </si>
  <si>
    <t>REG-2026-01143</t>
  </si>
  <si>
    <t>Student 2026_01143</t>
  </si>
  <si>
    <t>REG-2026-02125</t>
  </si>
  <si>
    <t>Student 2026_02125</t>
  </si>
  <si>
    <t>REG-2026-01132</t>
  </si>
  <si>
    <t>Student 2026_01132</t>
  </si>
  <si>
    <t>REG-2026-01623</t>
  </si>
  <si>
    <t>Student 2026_01623</t>
  </si>
  <si>
    <t>REG-2026-01502</t>
  </si>
  <si>
    <t>Student 2026_01502</t>
  </si>
  <si>
    <t>REG-2026-01722</t>
  </si>
  <si>
    <t>Student 2026_01722</t>
  </si>
  <si>
    <t>REG-2026-00019</t>
  </si>
  <si>
    <t>Student 2026_00019</t>
  </si>
  <si>
    <t>REG-2026-01047</t>
  </si>
  <si>
    <t>Student 2026_01047</t>
  </si>
  <si>
    <t>REG-2026-00585</t>
  </si>
  <si>
    <t>Student 2026_00585</t>
  </si>
  <si>
    <t>REG-2026-01999</t>
  </si>
  <si>
    <t>Student 2026_01999</t>
  </si>
  <si>
    <t>REG-2026-01247</t>
  </si>
  <si>
    <t>Student 2026_01247</t>
  </si>
  <si>
    <t>REG-2026-00802</t>
  </si>
  <si>
    <t>Student 2026_00802</t>
  </si>
  <si>
    <t>REG-2026-01704</t>
  </si>
  <si>
    <t>Student 2026_01704</t>
  </si>
  <si>
    <t>REG-2026-00536</t>
  </si>
  <si>
    <t>Student 2026_00536</t>
  </si>
  <si>
    <t>REG-2026-00553</t>
  </si>
  <si>
    <t>Student 2026_00553</t>
  </si>
  <si>
    <t>REG-2026-01041</t>
  </si>
  <si>
    <t>Student 2026_01041</t>
  </si>
  <si>
    <t>REG-2026-01800</t>
  </si>
  <si>
    <t>Student 2026_01800</t>
  </si>
  <si>
    <t>REG-2026-02081</t>
  </si>
  <si>
    <t>Student 2026_02081</t>
  </si>
  <si>
    <t>REG-2026-01560</t>
  </si>
  <si>
    <t>Student 2026_01560</t>
  </si>
  <si>
    <t>REG-2026-00209</t>
  </si>
  <si>
    <t>Student 2026_00209</t>
  </si>
  <si>
    <t>REG-2026-00500</t>
  </si>
  <si>
    <t>Student 2026_00500</t>
  </si>
  <si>
    <t>REG-2026-01954</t>
  </si>
  <si>
    <t>Student 2026_01954</t>
  </si>
  <si>
    <t>REG-2026-00530</t>
  </si>
  <si>
    <t>Student 2026_00530</t>
  </si>
  <si>
    <t>REG-2026-00001</t>
  </si>
  <si>
    <t>Student 2026_00001</t>
  </si>
  <si>
    <t>REG-2026-01581</t>
  </si>
  <si>
    <t>Student 2026_01581</t>
  </si>
  <si>
    <t>REG-2026-01283</t>
  </si>
  <si>
    <t>Student 2026_01283</t>
  </si>
  <si>
    <t>REG-2026-01904</t>
  </si>
  <si>
    <t>Student 2026_01904</t>
  </si>
  <si>
    <t>REG-2026-02043</t>
  </si>
  <si>
    <t>Student 2026_02043</t>
  </si>
  <si>
    <t>REG-2026-01567</t>
  </si>
  <si>
    <t>Student 2026_01567</t>
  </si>
  <si>
    <t>REG-2026-02112</t>
  </si>
  <si>
    <t>Student 2026_02112</t>
  </si>
  <si>
    <t>REG-2026-01507</t>
  </si>
  <si>
    <t>Student 2026_01507</t>
  </si>
  <si>
    <t>REG-2026-01176</t>
  </si>
  <si>
    <t>Student 2026_01176</t>
  </si>
  <si>
    <t>REG-2026-01921</t>
  </si>
  <si>
    <t>Student 2026_01921</t>
  </si>
  <si>
    <t>REG-2026-00751</t>
  </si>
  <si>
    <t>Student 2026_00751</t>
  </si>
  <si>
    <t>REG-2026-00854</t>
  </si>
  <si>
    <t>Student 2026_00854</t>
  </si>
  <si>
    <t>REG-2026-01612</t>
  </si>
  <si>
    <t>Student 2026_01612</t>
  </si>
  <si>
    <t>REG-2026-00973</t>
  </si>
  <si>
    <t>Student 2026_00973</t>
  </si>
  <si>
    <t>REG-2026-01535</t>
  </si>
  <si>
    <t>Student 2026_01535</t>
  </si>
  <si>
    <t>REG-2026-00165</t>
  </si>
  <si>
    <t>Student 2026_00165</t>
  </si>
  <si>
    <t>REG-2026-00160</t>
  </si>
  <si>
    <t>Student 2026_00160</t>
  </si>
  <si>
    <t>REG-2026-01414</t>
  </si>
  <si>
    <t>Student 2026_01414</t>
  </si>
  <si>
    <t>REG-2026-01099</t>
  </si>
  <si>
    <t>Student 2026_01099</t>
  </si>
  <si>
    <t>REG-2026-01383</t>
  </si>
  <si>
    <t>Student 2026_01383</t>
  </si>
  <si>
    <t>REG-2026-01574</t>
  </si>
  <si>
    <t>Student 2026_01574</t>
  </si>
  <si>
    <t>REG-2026-01292</t>
  </si>
  <si>
    <t>Student 2026_01292</t>
  </si>
  <si>
    <t>REG-2026-01443</t>
  </si>
  <si>
    <t>Student 2026_01443</t>
  </si>
  <si>
    <t>REG-2026-01195</t>
  </si>
  <si>
    <t>Student 2026_01195</t>
  </si>
  <si>
    <t>REG-2026-00766</t>
  </si>
  <si>
    <t>Student 2026_00766</t>
  </si>
  <si>
    <t>REG-2026-00491</t>
  </si>
  <si>
    <t>Student 2026_00491</t>
  </si>
  <si>
    <t>REG-2026-01077</t>
  </si>
  <si>
    <t>Student 2026_01077</t>
  </si>
  <si>
    <t>REG-2026-01675</t>
  </si>
  <si>
    <t>Student 2026_01675</t>
  </si>
  <si>
    <t>REG-2026-00263</t>
  </si>
  <si>
    <t>Student 2026_00263</t>
  </si>
  <si>
    <t>REG-2026-00355</t>
  </si>
  <si>
    <t>Student 2026_00355</t>
  </si>
  <si>
    <t>REG-2026-01997</t>
  </si>
  <si>
    <t>Student 2026_01997</t>
  </si>
  <si>
    <t>REG-2026-01979</t>
  </si>
  <si>
    <t>Student 2026_01979</t>
  </si>
  <si>
    <t>REG-2026-02095</t>
  </si>
  <si>
    <t>Student 2026_02095</t>
  </si>
  <si>
    <t>REG-2026-01747</t>
  </si>
  <si>
    <t>Student 2026_01747</t>
  </si>
  <si>
    <t>REG-2026-00841</t>
  </si>
  <si>
    <t>Student 2026_00841</t>
  </si>
  <si>
    <t>REG-2026-01030</t>
  </si>
  <si>
    <t>Student 2026_01030</t>
  </si>
  <si>
    <t>REG-2026-02075</t>
  </si>
  <si>
    <t>Student 2026_02075</t>
  </si>
  <si>
    <t>REG-2026-00181</t>
  </si>
  <si>
    <t>Student 2026_00181</t>
  </si>
  <si>
    <t>REG-2026-01406</t>
  </si>
  <si>
    <t>Student 2026_01406</t>
  </si>
  <si>
    <t>REG-2026-01930</t>
  </si>
  <si>
    <t>Student 2026_01930</t>
  </si>
  <si>
    <t>REG-2026-00053</t>
  </si>
  <si>
    <t>Student 2026_00053</t>
  </si>
  <si>
    <t>REG-2026-00531</t>
  </si>
  <si>
    <t>Student 2026_00531</t>
  </si>
  <si>
    <t>REG-2026-01981</t>
  </si>
  <si>
    <t>Student 2026_01981</t>
  </si>
  <si>
    <t>REG-2026-01883</t>
  </si>
  <si>
    <t>Student 2026_01883</t>
  </si>
  <si>
    <t>REG-2026-01472</t>
  </si>
  <si>
    <t>Student 2026_01472</t>
  </si>
  <si>
    <t>REG-2026-00369</t>
  </si>
  <si>
    <t>Student 2026_00369</t>
  </si>
  <si>
    <t>REG-2026-00266</t>
  </si>
  <si>
    <t>Student 2026_00266</t>
  </si>
  <si>
    <t>REG-2026-01939</t>
  </si>
  <si>
    <t>Student 2026_01939</t>
  </si>
  <si>
    <t>REG-2026-00052</t>
  </si>
  <si>
    <t>Student 2026_00052</t>
  </si>
  <si>
    <t>REG-2026-01795</t>
  </si>
  <si>
    <t>Student 2026_01795</t>
  </si>
  <si>
    <t>REG-2026-00755</t>
  </si>
  <si>
    <t>Student 2026_00755</t>
  </si>
  <si>
    <t>REG-2026-00516</t>
  </si>
  <si>
    <t>Student 2026_00516</t>
  </si>
  <si>
    <t>REG-2026-01561</t>
  </si>
  <si>
    <t>Student 2026_01561</t>
  </si>
  <si>
    <t>REG-2026-00448</t>
  </si>
  <si>
    <t>Student 2026_00448</t>
  </si>
  <si>
    <t>REG-2026-00330</t>
  </si>
  <si>
    <t>Student 2026_00330</t>
  </si>
  <si>
    <t>REG-2026-01891</t>
  </si>
  <si>
    <t>Student 2026_01891</t>
  </si>
  <si>
    <t>REG-2026-00868</t>
  </si>
  <si>
    <t>Student 2026_00868</t>
  </si>
  <si>
    <t>REG-2026-00006</t>
  </si>
  <si>
    <t>Student 2026_00006</t>
  </si>
  <si>
    <t>REG-2026-01557</t>
  </si>
  <si>
    <t>Student 2026_01557</t>
  </si>
  <si>
    <t>REG-2026-00981</t>
  </si>
  <si>
    <t>Student 2026_00981</t>
  </si>
  <si>
    <t>REG-2026-01491</t>
  </si>
  <si>
    <t>Student 2026_01491</t>
  </si>
  <si>
    <t>REG-2026-01056</t>
  </si>
  <si>
    <t>Student 2026_01056</t>
  </si>
  <si>
    <t>REG-2026-00788</t>
  </si>
  <si>
    <t>Student 2026_00788</t>
  </si>
  <si>
    <t>REG-2026-00552</t>
  </si>
  <si>
    <t>Student 2026_00552</t>
  </si>
  <si>
    <t>REG-2026-01723</t>
  </si>
  <si>
    <t>Student 2026_01723</t>
  </si>
  <si>
    <t>REG-2026-00998</t>
  </si>
  <si>
    <t>Student 2026_00998</t>
  </si>
  <si>
    <t>REG-2026-01836</t>
  </si>
  <si>
    <t>Student 2026_01836</t>
  </si>
  <si>
    <t>REG-2026-02046</t>
  </si>
  <si>
    <t>Student 2026_02046</t>
  </si>
  <si>
    <t>REG-2026-00518</t>
  </si>
  <si>
    <t>Student 2026_00518</t>
  </si>
  <si>
    <t>REG-2026-01374</t>
  </si>
  <si>
    <t>Student 2026_01374</t>
  </si>
  <si>
    <t>REG-2026-01213</t>
  </si>
  <si>
    <t>Student 2026_01213</t>
  </si>
  <si>
    <t>REG-2026-01133</t>
  </si>
  <si>
    <t>Student 2026_01133</t>
  </si>
  <si>
    <t>REG-2026-01667</t>
  </si>
  <si>
    <t>Student 2026_01667</t>
  </si>
  <si>
    <t>REG-2026-00820</t>
  </si>
  <si>
    <t>Student 2026_00820</t>
  </si>
  <si>
    <t>REG-2026-01956</t>
  </si>
  <si>
    <t>Student 2026_01956</t>
  </si>
  <si>
    <t>REG-2026-01910</t>
  </si>
  <si>
    <t>Student 2026_01910</t>
  </si>
  <si>
    <t>REG-2026-00343</t>
  </si>
  <si>
    <t>Student 2026_00343</t>
  </si>
  <si>
    <t>REG-2026-00204</t>
  </si>
  <si>
    <t>Student 2026_00204</t>
  </si>
  <si>
    <t>REG-2026-01392</t>
  </si>
  <si>
    <t>Student 2026_01392</t>
  </si>
  <si>
    <t>REG-2026-00667</t>
  </si>
  <si>
    <t>Student 2026_00667</t>
  </si>
  <si>
    <t>REG-2026-00188</t>
  </si>
  <si>
    <t>Student 2026_00188</t>
  </si>
  <si>
    <t>REG-2026-01562</t>
  </si>
  <si>
    <t>Student 2026_01562</t>
  </si>
  <si>
    <t>REG-2026-01248</t>
  </si>
  <si>
    <t>Student 2026_01248</t>
  </si>
  <si>
    <t>REG-2026-00058</t>
  </si>
  <si>
    <t>Student 2026_00058</t>
  </si>
  <si>
    <t>REG-2026-00806</t>
  </si>
  <si>
    <t>Student 2026_00806</t>
  </si>
  <si>
    <t>REG-2026-01887</t>
  </si>
  <si>
    <t>Student 2026_01887</t>
  </si>
  <si>
    <t>REG-2026-00867</t>
  </si>
  <si>
    <t>Student 2026_00867</t>
  </si>
  <si>
    <t>REG-2026-00670</t>
  </si>
  <si>
    <t>Student 2026_00670</t>
  </si>
  <si>
    <t>REG-2026-00423</t>
  </si>
  <si>
    <t>Student 2026_00423</t>
  </si>
  <si>
    <t>REG-2026-00024</t>
  </si>
  <si>
    <t>Student 2026_00024</t>
  </si>
  <si>
    <t>REG-2026-01533</t>
  </si>
  <si>
    <t>Student 2026_01533</t>
  </si>
  <si>
    <t>REG-2026-01262</t>
  </si>
  <si>
    <t>Student 2026_01262</t>
  </si>
  <si>
    <t>REG-2026-01278</t>
  </si>
  <si>
    <t>Student 2026_01278</t>
  </si>
  <si>
    <t>REG-2026-01662</t>
  </si>
  <si>
    <t>Student 2026_01662</t>
  </si>
  <si>
    <t>REG-2026-00169</t>
  </si>
  <si>
    <t>Student 2026_00169</t>
  </si>
  <si>
    <t>REG-2026-00132</t>
  </si>
  <si>
    <t>Student 2026_00132</t>
  </si>
  <si>
    <t>REG-2026-01953</t>
  </si>
  <si>
    <t>Student 2026_01953</t>
  </si>
  <si>
    <t>REG-2026-01896</t>
  </si>
  <si>
    <t>Student 2026_01896</t>
  </si>
  <si>
    <t>REG-2026-01804</t>
  </si>
  <si>
    <t>Student 2026_01804</t>
  </si>
  <si>
    <t>REG-2026-00591</t>
  </si>
  <si>
    <t>Student 2026_00591</t>
  </si>
  <si>
    <t>REG-2026-01245</t>
  </si>
  <si>
    <t>Student 2026_01245</t>
  </si>
  <si>
    <t>REG-2026-00111</t>
  </si>
  <si>
    <t>Student 2026_00111</t>
  </si>
  <si>
    <t>REG-2026-01036</t>
  </si>
  <si>
    <t>Student 2026_01036</t>
  </si>
  <si>
    <t>REG-2026-02045</t>
  </si>
  <si>
    <t>Student 2026_02045</t>
  </si>
  <si>
    <t>REG-2026-01411</t>
  </si>
  <si>
    <t>Student 2026_01411</t>
  </si>
  <si>
    <t>REG-2026-00722</t>
  </si>
  <si>
    <t>Student 2026_00722</t>
  </si>
  <si>
    <t>REG-2026-01859</t>
  </si>
  <si>
    <t>Student 2026_01859</t>
  </si>
  <si>
    <t>REG-2026-00301</t>
  </si>
  <si>
    <t>Student 2026_00301</t>
  </si>
  <si>
    <t>REG-2026-00796</t>
  </si>
  <si>
    <t>Student 2026_00796</t>
  </si>
  <si>
    <t>REG-2026-01550</t>
  </si>
  <si>
    <t>Student 2026_01550</t>
  </si>
  <si>
    <t>REG-2026-02000</t>
  </si>
  <si>
    <t>Student 2026_02000</t>
  </si>
  <si>
    <t>REG-2026-00222</t>
  </si>
  <si>
    <t>Student 2026_00222</t>
  </si>
  <si>
    <t>REG-2026-00865</t>
  </si>
  <si>
    <t>Student 2026_00865</t>
  </si>
  <si>
    <t>REG-2026-00731</t>
  </si>
  <si>
    <t>Student 2026_00731</t>
  </si>
  <si>
    <t>REG-2026-02116</t>
  </si>
  <si>
    <t>Student 2026_02116</t>
  </si>
  <si>
    <t>REG-2026-00799</t>
  </si>
  <si>
    <t>Student 2026_00799</t>
  </si>
  <si>
    <t>REG-2026-00051</t>
  </si>
  <si>
    <t>Student 2026_00051</t>
  </si>
  <si>
    <t>REG-2026-00590</t>
  </si>
  <si>
    <t>Student 2026_00590</t>
  </si>
  <si>
    <t>REG-2026-02054</t>
  </si>
  <si>
    <t>Student 2026_02054</t>
  </si>
  <si>
    <t>REG-2026-00185</t>
  </si>
  <si>
    <t>Student 2026_00185</t>
  </si>
  <si>
    <t>REG-2026-00859</t>
  </si>
  <si>
    <t>Student 2026_00859</t>
  </si>
  <si>
    <t>REG-2026-01739</t>
  </si>
  <si>
    <t>Student 2026_01739</t>
  </si>
  <si>
    <t>REG-2026-01440</t>
  </si>
  <si>
    <t>Student 2026_01440</t>
  </si>
  <si>
    <t>REG-2026-00069</t>
  </si>
  <si>
    <t>Student 2026_00069</t>
  </si>
  <si>
    <t>REG-2026-00166</t>
  </si>
  <si>
    <t>Student 2026_00166</t>
  </si>
  <si>
    <t>REG-2026-01870</t>
  </si>
  <si>
    <t>Student 2026_01870</t>
  </si>
  <si>
    <t>REG-2026-00492</t>
  </si>
  <si>
    <t>Student 2026_00492</t>
  </si>
  <si>
    <t>REG-2026-01007</t>
  </si>
  <si>
    <t>Student 2026_01007</t>
  </si>
  <si>
    <t>REG-2026-01713</t>
  </si>
  <si>
    <t>Student 2026_01713</t>
  </si>
  <si>
    <t>REG-2026-00615</t>
  </si>
  <si>
    <t>Student 2026_00615</t>
  </si>
  <si>
    <t>REG-2026-01519</t>
  </si>
  <si>
    <t>Student 2026_01519</t>
  </si>
  <si>
    <t>REG-2026-01753</t>
  </si>
  <si>
    <t>Student 2026_01753</t>
  </si>
  <si>
    <t>REG-2026-00546</t>
  </si>
  <si>
    <t>Student 2026_00546</t>
  </si>
  <si>
    <t>REG-2026-01575</t>
  </si>
  <si>
    <t>Student 2026_01575</t>
  </si>
  <si>
    <t>REG-2026-01458</t>
  </si>
  <si>
    <t>Student 2026_01458</t>
  </si>
  <si>
    <t>REG-2026-00225</t>
  </si>
  <si>
    <t>Student 2026_00225</t>
  </si>
  <si>
    <t>REG-2026-00499</t>
  </si>
  <si>
    <t>Student 2026_00499</t>
  </si>
  <si>
    <t>REG-2026-01312</t>
  </si>
  <si>
    <t>Student 2026_01312</t>
  </si>
  <si>
    <t>REG-2026-00584</t>
  </si>
  <si>
    <t>Student 2026_00584</t>
  </si>
  <si>
    <t>REG-2026-01866</t>
  </si>
  <si>
    <t>Student 2026_01866</t>
  </si>
  <si>
    <t>REG-2026-01085</t>
  </si>
  <si>
    <t>Student 2026_01085</t>
  </si>
  <si>
    <t>REG-2026-00362</t>
  </si>
  <si>
    <t>Student 2026_00362</t>
  </si>
  <si>
    <t>REG-2026-01399</t>
  </si>
  <si>
    <t>Student 2026_01399</t>
  </si>
  <si>
    <t>REG-2026-01526</t>
  </si>
  <si>
    <t>Student 2026_01526</t>
  </si>
  <si>
    <t>REG-2026-01924</t>
  </si>
  <si>
    <t>Student 2026_01924</t>
  </si>
  <si>
    <t>REG-2026-01095</t>
  </si>
  <si>
    <t>Student 2026_01095</t>
  </si>
  <si>
    <t>REG-2026-02148</t>
  </si>
  <si>
    <t>Student 2026_02148</t>
  </si>
  <si>
    <t>REG-2026-00207</t>
  </si>
  <si>
    <t>Student 2026_00207</t>
  </si>
  <si>
    <t>REG-2026-00913</t>
  </si>
  <si>
    <t>Student 2026_00913</t>
  </si>
  <si>
    <t>REG-2026-00627</t>
  </si>
  <si>
    <t>Student 2026_00627</t>
  </si>
  <si>
    <t>REG-2026-00077</t>
  </si>
  <si>
    <t>Student 2026_00077</t>
  </si>
  <si>
    <t>REG-2026-01504</t>
  </si>
  <si>
    <t>Student 2026_01504</t>
  </si>
  <si>
    <t>REG-2026-00438</t>
  </si>
  <si>
    <t>Student 2026_00438</t>
  </si>
  <si>
    <t>REG-2026-01182</t>
  </si>
  <si>
    <t>Student 2026_01182</t>
  </si>
  <si>
    <t>REG-2026-01108</t>
  </si>
  <si>
    <t>Student 2026_01108</t>
  </si>
  <si>
    <t>REG-2026-00556</t>
  </si>
  <si>
    <t>Student 2026_00556</t>
  </si>
  <si>
    <t>REG-2026-01620</t>
  </si>
  <si>
    <t>Student 2026_01620</t>
  </si>
  <si>
    <t>REG-2026-00813</t>
  </si>
  <si>
    <t>Student 2026_00813</t>
  </si>
  <si>
    <t>REG-2026-00699</t>
  </si>
  <si>
    <t>Student 2026_00699</t>
  </si>
  <si>
    <t>REG-2026-00264</t>
  </si>
  <si>
    <t>Student 2026_00264</t>
  </si>
  <si>
    <t>REG-2026-01351</t>
  </si>
  <si>
    <t>Student 2026_01351</t>
  </si>
  <si>
    <t>REG-2026-01348</t>
  </si>
  <si>
    <t>Student 2026_01348</t>
  </si>
  <si>
    <t>REG-2026-01861</t>
  </si>
  <si>
    <t>Student 2026_01861</t>
  </si>
  <si>
    <t>REG-2026-01576</t>
  </si>
  <si>
    <t>Student 2026_01576</t>
  </si>
  <si>
    <t>REG-2026-00881</t>
  </si>
  <si>
    <t>Student 2026_00881</t>
  </si>
  <si>
    <t>REG-2026-01140</t>
  </si>
  <si>
    <t>Student 2026_01140</t>
  </si>
  <si>
    <t>REG-2026-00307</t>
  </si>
  <si>
    <t>Student 2026_00307</t>
  </si>
  <si>
    <t>REG-2026-01017</t>
  </si>
  <si>
    <t>Student 2026_01017</t>
  </si>
  <si>
    <t>REG-2026-00955</t>
  </si>
  <si>
    <t>Student 2026_00955</t>
  </si>
  <si>
    <t>REG-2026-02006</t>
  </si>
  <si>
    <t>Student 2026_02006</t>
  </si>
  <si>
    <t>REG-2026-00792</t>
  </si>
  <si>
    <t>Student 2026_00792</t>
  </si>
  <si>
    <t>REG-2026-01911</t>
  </si>
  <si>
    <t>Student 2026_01911</t>
  </si>
  <si>
    <t>REG-2026-00278</t>
  </si>
  <si>
    <t>Student 2026_00278</t>
  </si>
  <si>
    <t>REG-2026-02068</t>
  </si>
  <si>
    <t>Student 2026_02068</t>
  </si>
  <si>
    <t>REG-2026-02013</t>
  </si>
  <si>
    <t>Student 2026_02013</t>
  </si>
  <si>
    <t>REG-2026-00863</t>
  </si>
  <si>
    <t>Student 2026_00863</t>
  </si>
  <si>
    <t>REG-2026-01708</t>
  </si>
  <si>
    <t>Student 2026_01708</t>
  </si>
  <si>
    <t>REG-2026-00899</t>
  </si>
  <si>
    <t>Student 2026_00899</t>
  </si>
  <si>
    <t>REG-2026-01147</t>
  </si>
  <si>
    <t>Student 2026_01147</t>
  </si>
  <si>
    <t>REG-2026-00201</t>
  </si>
  <si>
    <t>Student 2026_00201</t>
  </si>
  <si>
    <t>REG-2026-02031</t>
  </si>
  <si>
    <t>Student 2026_02031</t>
  </si>
  <si>
    <t>REG-2026-01455</t>
  </si>
  <si>
    <t>Student 2026_01455</t>
  </si>
  <si>
    <t>REG-2026-01729</t>
  </si>
  <si>
    <t>Student 2026_01729</t>
  </si>
  <si>
    <t>REG-2026-02149</t>
  </si>
  <si>
    <t>Student 2026_02149</t>
  </si>
  <si>
    <t>REG-2026-00195</t>
  </si>
  <si>
    <t>Student 2026_00195</t>
  </si>
  <si>
    <t>REG-2026-01598</t>
  </si>
  <si>
    <t>Student 2026_01598</t>
  </si>
  <si>
    <t>REG-2026-01209</t>
  </si>
  <si>
    <t>Student 2026_01209</t>
  </si>
  <si>
    <t>REG-2026-01181</t>
  </si>
  <si>
    <t>Student 2026_01181</t>
  </si>
  <si>
    <t>REG-2026-00740</t>
  </si>
  <si>
    <t>Student 2026_00740</t>
  </si>
  <si>
    <t>REG-2026-00483</t>
  </si>
  <si>
    <t>Student 2026_00483</t>
  </si>
  <si>
    <t>REG-2026-00949</t>
  </si>
  <si>
    <t>Student 2026_00949</t>
  </si>
  <si>
    <t>REG-2026-01737</t>
  </si>
  <si>
    <t>Student 2026_01737</t>
  </si>
  <si>
    <t>REG-2026-00021</t>
  </si>
  <si>
    <t>Student 2026_00021</t>
  </si>
  <si>
    <t>REG-2026-00784</t>
  </si>
  <si>
    <t>Student 2026_00784</t>
  </si>
  <si>
    <t>REG-2026-00261</t>
  </si>
  <si>
    <t>Student 2026_00261</t>
  </si>
  <si>
    <t>REG-2026-01468</t>
  </si>
  <si>
    <t>Student 2026_01468</t>
  </si>
  <si>
    <t>REG-2026-00660</t>
  </si>
  <si>
    <t>Student 2026_00660</t>
  </si>
  <si>
    <t>REG-2026-00419</t>
  </si>
  <si>
    <t>Student 2026_00419</t>
  </si>
  <si>
    <t>REG-2026-01868</t>
  </si>
  <si>
    <t>Student 2026_01868</t>
  </si>
  <si>
    <t>REG-2026-00286</t>
  </si>
  <si>
    <t>Student 2026_00286</t>
  </si>
  <si>
    <t>REG-2026-00678</t>
  </si>
  <si>
    <t>Student 2026_00678</t>
  </si>
  <si>
    <t>REG-2026-00583</t>
  </si>
  <si>
    <t>Student 2026_00583</t>
  </si>
  <si>
    <t>REG-2026-00656</t>
  </si>
  <si>
    <t>Student 2026_00656</t>
  </si>
  <si>
    <t>REG-2026-01935</t>
  </si>
  <si>
    <t>Student 2026_01935</t>
  </si>
  <si>
    <t>REG-2026-00310</t>
  </si>
  <si>
    <t>Student 2026_00310</t>
  </si>
  <si>
    <t>REG-2026-00586</t>
  </si>
  <si>
    <t>Student 2026_00586</t>
  </si>
  <si>
    <t>REG-2026-01091</t>
  </si>
  <si>
    <t>Student 2026_01091</t>
  </si>
  <si>
    <t>REG-2026-01062</t>
  </si>
  <si>
    <t>Student 2026_01062</t>
  </si>
  <si>
    <t>REG-2026-02002</t>
  </si>
  <si>
    <t>Student 2026_02002</t>
  </si>
  <si>
    <t>REG-2026-00322</t>
  </si>
  <si>
    <t>Student 2026_00322</t>
  </si>
  <si>
    <t>REG-2026-01907</t>
  </si>
  <si>
    <t>Student 2026_01907</t>
  </si>
  <si>
    <t>REG-2026-00283</t>
  </si>
  <si>
    <t>Student 2026_00283</t>
  </si>
  <si>
    <t>REG-2026-01039</t>
  </si>
  <si>
    <t>Student 2026_01039</t>
  </si>
  <si>
    <t>REG-2026-00861</t>
  </si>
  <si>
    <t>Student 2026_00861</t>
  </si>
  <si>
    <t>REG-2026-00368</t>
  </si>
  <si>
    <t>Student 2026_00368</t>
  </si>
  <si>
    <t>REG-2026-00707</t>
  </si>
  <si>
    <t>Student 2026_00707</t>
  </si>
  <si>
    <t>REG-2026-00501</t>
  </si>
  <si>
    <t>Student 2026_00501</t>
  </si>
  <si>
    <t>REG-2026-01343</t>
  </si>
  <si>
    <t>Student 2026_01343</t>
  </si>
  <si>
    <t>REG-2026-02063</t>
  </si>
  <si>
    <t>Student 2026_02063</t>
  </si>
  <si>
    <t>REG-2026-01092</t>
  </si>
  <si>
    <t>Student 2026_01092</t>
  </si>
  <si>
    <t>REG-2026-01828</t>
  </si>
  <si>
    <t>Student 2026_01828</t>
  </si>
  <si>
    <t>REG-2026-01908</t>
  </si>
  <si>
    <t>Student 2026_01908</t>
  </si>
  <si>
    <t>REG-2026-01597</t>
  </si>
  <si>
    <t>Student 2026_01597</t>
  </si>
  <si>
    <t>REG-2026-00071</t>
  </si>
  <si>
    <t>Student 2026_00071</t>
  </si>
  <si>
    <t>REG-2026-01565</t>
  </si>
  <si>
    <t>Student 2026_01565</t>
  </si>
  <si>
    <t>REG-2026-01820</t>
  </si>
  <si>
    <t>Student 2026_01820</t>
  </si>
  <si>
    <t>REG-2026-00009</t>
  </si>
  <si>
    <t>Student 2026_00009</t>
  </si>
  <si>
    <t>REG-2026-00182</t>
  </si>
  <si>
    <t>Student 2026_00182</t>
  </si>
  <si>
    <t>REG-2026-00361</t>
  </si>
  <si>
    <t>Student 2026_00361</t>
  </si>
  <si>
    <t>REG-2026-00223</t>
  </si>
  <si>
    <t>Student 2026_00223</t>
  </si>
  <si>
    <t>REG-2026-00441</t>
  </si>
  <si>
    <t>Student 2026_00441</t>
  </si>
  <si>
    <t>REG-2026-01518</t>
  </si>
  <si>
    <t>Student 2026_01518</t>
  </si>
  <si>
    <t>REG-2026-01405</t>
  </si>
  <si>
    <t>Student 2026_01405</t>
  </si>
  <si>
    <t>REG-2026-00689</t>
  </si>
  <si>
    <t>Student 2026_00689</t>
  </si>
  <si>
    <t>REG-2026-00231</t>
  </si>
  <si>
    <t>Student 2026_00231</t>
  </si>
  <si>
    <t>REG-2026-02147</t>
  </si>
  <si>
    <t>Student 2026_02147</t>
  </si>
  <si>
    <t>REG-2026-01105</t>
  </si>
  <si>
    <t>Student 2026_01105</t>
  </si>
  <si>
    <t>REG-2026-01757</t>
  </si>
  <si>
    <t>Student 2026_01757</t>
  </si>
  <si>
    <t>REG-2026-01241</t>
  </si>
  <si>
    <t>Student 2026_01241</t>
  </si>
  <si>
    <t>REG-2026-00154</t>
  </si>
  <si>
    <t>Student 2026_00154</t>
  </si>
  <si>
    <t>REG-2026-01512</t>
  </si>
  <si>
    <t>Student 2026_01512</t>
  </si>
  <si>
    <t>REG-2026-00123</t>
  </si>
  <si>
    <t>Student 2026_00123</t>
  </si>
  <si>
    <t>REG-2026-01679</t>
  </si>
  <si>
    <t>Student 2026_01679</t>
  </si>
  <si>
    <t>REG-2026-01825</t>
  </si>
  <si>
    <t>Student 2026_01825</t>
  </si>
  <si>
    <t>REG-2026-00613</t>
  </si>
  <si>
    <t>Student 2026_00613</t>
  </si>
  <si>
    <t>REG-2026-00096</t>
  </si>
  <si>
    <t>Student 2026_00096</t>
  </si>
  <si>
    <t>REG-2026-00987</t>
  </si>
  <si>
    <t>Student 2026_00987</t>
  </si>
  <si>
    <t>REG-2026-00819</t>
  </si>
  <si>
    <t>Student 2026_00819</t>
  </si>
  <si>
    <t>REG-2026-01251</t>
  </si>
  <si>
    <t>Student 2026_01251</t>
  </si>
  <si>
    <t>REG-2026-01680</t>
  </si>
  <si>
    <t>Student 2026_01680</t>
  </si>
  <si>
    <t>REG-2026-00940</t>
  </si>
  <si>
    <t>Student 2026_00940</t>
  </si>
  <si>
    <t>REG-2026-01169</t>
  </si>
  <si>
    <t>Student 2026_01169</t>
  </si>
  <si>
    <t>REG-2026-00385</t>
  </si>
  <si>
    <t>Student 2026_00385</t>
  </si>
  <si>
    <t>REG-2026-01915</t>
  </si>
  <si>
    <t>Student 2026_01915</t>
  </si>
  <si>
    <t>REG-2026-00332</t>
  </si>
  <si>
    <t>Student 2026_00332</t>
  </si>
  <si>
    <t>REG-2026-02035</t>
  </si>
  <si>
    <t>Student 2026_02035</t>
  </si>
  <si>
    <t>REG-2026-01603</t>
  </si>
  <si>
    <t>Student 2026_01603</t>
  </si>
  <si>
    <t>REG-2026-01272</t>
  </si>
  <si>
    <t>Student 2026_01272</t>
  </si>
  <si>
    <t>REG-2026-01459</t>
  </si>
  <si>
    <t>Student 2026_01459</t>
  </si>
  <si>
    <t>REG-2026-01447</t>
  </si>
  <si>
    <t>Student 2026_01447</t>
  </si>
  <si>
    <t>REG-2026-02004</t>
  </si>
  <si>
    <t>Student 2026_02004</t>
  </si>
  <si>
    <t>REG-2026-00196</t>
  </si>
  <si>
    <t>Student 2026_00196</t>
  </si>
  <si>
    <t>REG-2026-01638</t>
  </si>
  <si>
    <t>Student 2026_01638</t>
  </si>
  <si>
    <t>REG-2026-01657</t>
  </si>
  <si>
    <t>Student 2026_01657</t>
  </si>
  <si>
    <t>REG-2026-01640</t>
  </si>
  <si>
    <t>Student 2026_01640</t>
  </si>
  <si>
    <t>REG-2026-00179</t>
  </si>
  <si>
    <t>Student 2026_00179</t>
  </si>
  <si>
    <t>REG-2026-00372</t>
  </si>
  <si>
    <t>Student 2026_00372</t>
  </si>
  <si>
    <t>REG-2026-00211</t>
  </si>
  <si>
    <t>Student 2026_00211</t>
  </si>
  <si>
    <t>REG-2026-00143</t>
  </si>
  <si>
    <t>Student 2026_00143</t>
  </si>
  <si>
    <t>REG-2026-01360</t>
  </si>
  <si>
    <t>Student 2026_01360</t>
  </si>
  <si>
    <t>REG-2026-01578</t>
  </si>
  <si>
    <t>Student 2026_01578</t>
  </si>
  <si>
    <t>REG-2026-01783</t>
  </si>
  <si>
    <t>Student 2026_01783</t>
  </si>
  <si>
    <t>REG-2026-01086</t>
  </si>
  <si>
    <t>Student 2026_01086</t>
  </si>
  <si>
    <t>REG-2026-01230</t>
  </si>
  <si>
    <t>Student 2026_01230</t>
  </si>
  <si>
    <t>REG-2026-00568</t>
  </si>
  <si>
    <t>Student 2026_00568</t>
  </si>
  <si>
    <t>REG-2026-01955</t>
  </si>
  <si>
    <t>Student 2026_01955</t>
  </si>
  <si>
    <t>REG-2026-01229</t>
  </si>
  <si>
    <t>Student 2026_01229</t>
  </si>
  <si>
    <t>REG-2026-01834</t>
  </si>
  <si>
    <t>Student 2026_01834</t>
  </si>
  <si>
    <t>REG-2026-01700</t>
  </si>
  <si>
    <t>Student 2026_01700</t>
  </si>
  <si>
    <t>REG-2026-00098</t>
  </si>
  <si>
    <t>Student 2026_00098</t>
  </si>
  <si>
    <t>REG-2026-02108</t>
  </si>
  <si>
    <t>Student 2026_02108</t>
  </si>
  <si>
    <t>REG-2026-02010</t>
  </si>
  <si>
    <t>Student 2026_02010</t>
  </si>
  <si>
    <t>REG-2026-01746</t>
  </si>
  <si>
    <t>Student 2026_01746</t>
  </si>
  <si>
    <t>REG-2026-00421</t>
  </si>
  <si>
    <t>Student 2026_00421</t>
  </si>
  <si>
    <t>REG-2026-00025</t>
  </si>
  <si>
    <t>Student 2026_00025</t>
  </si>
  <si>
    <t>REG-2026-01517</t>
  </si>
  <si>
    <t>Student 2026_01517</t>
  </si>
  <si>
    <t>REG-2026-01926</t>
  </si>
  <si>
    <t>Student 2026_01926</t>
  </si>
  <si>
    <t>REG-2026-01989</t>
  </si>
  <si>
    <t>Student 2026_01989</t>
  </si>
  <si>
    <t>REG-2026-01613</t>
  </si>
  <si>
    <t>Student 2026_01613</t>
  </si>
  <si>
    <t>REG-2026-01434</t>
  </si>
  <si>
    <t>Student 2026_01434</t>
  </si>
  <si>
    <t>REG-2026-01676</t>
  </si>
  <si>
    <t>Student 2026_01676</t>
  </si>
  <si>
    <t>REG-2026-01743</t>
  </si>
  <si>
    <t>Student 2026_01743</t>
  </si>
  <si>
    <t>REG-2026-01701</t>
  </si>
  <si>
    <t>Student 2026_01701</t>
  </si>
  <si>
    <t>REG-2026-01895</t>
  </si>
  <si>
    <t>Student 2026_01895</t>
  </si>
  <si>
    <t>REG-2026-00653</t>
  </si>
  <si>
    <t>Student 2026_00653</t>
  </si>
  <si>
    <t>REG-2026-01305</t>
  </si>
  <si>
    <t>Student 2026_01305</t>
  </si>
  <si>
    <t>REG-2026-00632</t>
  </si>
  <si>
    <t>Student 2026_00632</t>
  </si>
  <si>
    <t>REG-2026-01663</t>
  </si>
  <si>
    <t>Student 2026_01663</t>
  </si>
  <si>
    <t>REG-2026-02040</t>
  </si>
  <si>
    <t>Student 2026_02040</t>
  </si>
  <si>
    <t>REG-2026-00938</t>
  </si>
  <si>
    <t>Student 2026_00938</t>
  </si>
  <si>
    <t>REG-2026-00958</t>
  </si>
  <si>
    <t>Student 2026_00958</t>
  </si>
  <si>
    <t>REG-2026-00346</t>
  </si>
  <si>
    <t>Student 2026_00346</t>
  </si>
  <si>
    <t>REG-2026-01792</t>
  </si>
  <si>
    <t>Student 2026_01792</t>
  </si>
  <si>
    <t>REG-2026-00155</t>
  </si>
  <si>
    <t>Student 2026_00155</t>
  </si>
  <si>
    <t>REG-2026-01566</t>
  </si>
  <si>
    <t>Student 2026_01566</t>
  </si>
  <si>
    <t>REG-2026-00721</t>
  </si>
  <si>
    <t>Student 2026_00721</t>
  </si>
  <si>
    <t>REG-2026-01725</t>
  </si>
  <si>
    <t>Student 2026_01725</t>
  </si>
  <si>
    <t>REG-2026-00127</t>
  </si>
  <si>
    <t>Student 2026_00127</t>
  </si>
  <si>
    <t>REG-2026-01467</t>
  </si>
  <si>
    <t>Student 2026_01467</t>
  </si>
  <si>
    <t>REG-2026-00422</t>
  </si>
  <si>
    <t>Student 2026_00422</t>
  </si>
  <si>
    <t>REG-2026-00842</t>
  </si>
  <si>
    <t>Student 2026_00842</t>
  </si>
  <si>
    <t>REG-2026-00267</t>
  </si>
  <si>
    <t>Student 2026_00267</t>
  </si>
  <si>
    <t>REG-2026-01021</t>
  </si>
  <si>
    <t>Student 2026_01021</t>
  </si>
  <si>
    <t>REG-2026-01501</t>
  </si>
  <si>
    <t>Student 2026_01501</t>
  </si>
  <si>
    <t>REG-2026-00738</t>
  </si>
  <si>
    <t>Student 2026_00738</t>
  </si>
  <si>
    <t>REG-2026-01155</t>
  </si>
  <si>
    <t>Student 2026_01155</t>
  </si>
  <si>
    <t>REG-2026-00037</t>
  </si>
  <si>
    <t>Student 2026_00037</t>
  </si>
  <si>
    <t>REG-2026-00713</t>
  </si>
  <si>
    <t>Student 2026_00713</t>
  </si>
  <si>
    <t>REG-2026-01005</t>
  </si>
  <si>
    <t>Student 2026_01005</t>
  </si>
  <si>
    <t>REG-2026-00156</t>
  </si>
  <si>
    <t>Student 2026_00156</t>
  </si>
  <si>
    <t>REG-2026-00932</t>
  </si>
  <si>
    <t>Student 2026_00932</t>
  </si>
  <si>
    <t>REG-2026-00901</t>
  </si>
  <si>
    <t>Student 2026_00901</t>
  </si>
  <si>
    <t>REG-2026-00079</t>
  </si>
  <si>
    <t>Student 2026_00079</t>
  </si>
  <si>
    <t>REG-2026-02141</t>
  </si>
  <si>
    <t>Student 2026_02141</t>
  </si>
  <si>
    <t>REG-2026-00375</t>
  </si>
  <si>
    <t>Student 2026_00375</t>
  </si>
  <si>
    <t>REG-2026-00403</t>
  </si>
  <si>
    <t>Student 2026_00403</t>
  </si>
  <si>
    <t>REG-2026-00197</t>
  </si>
  <si>
    <t>Student 2026_00197</t>
  </si>
  <si>
    <t>REG-2026-00389</t>
  </si>
  <si>
    <t>Student 2026_00389</t>
  </si>
  <si>
    <t>REG-2026-00918</t>
  </si>
  <si>
    <t>Student 2026_00918</t>
  </si>
  <si>
    <t>REG-2026-00780</t>
  </si>
  <si>
    <t>Student 2026_00780</t>
  </si>
  <si>
    <t>REG-2026-00178</t>
  </si>
  <si>
    <t>Student 2026_00178</t>
  </si>
  <si>
    <t>REG-2026-01402</t>
  </si>
  <si>
    <t>Student 2026_01402</t>
  </si>
  <si>
    <t>REG-2026-01648</t>
  </si>
  <si>
    <t>Student 2026_01648</t>
  </si>
  <si>
    <t>REG-2026-00544</t>
  </si>
  <si>
    <t>Student 2026_00544</t>
  </si>
  <si>
    <t>REG-2026-01084</t>
  </si>
  <si>
    <t>Student 2026_01084</t>
  </si>
  <si>
    <t>REG-2026-02039</t>
  </si>
  <si>
    <t>Student 2026_02039</t>
  </si>
  <si>
    <t>REG-2026-01585</t>
  </si>
  <si>
    <t>Student 2026_01585</t>
  </si>
  <si>
    <t>REG-2026-00413</t>
  </si>
  <si>
    <t>Student 2026_00413</t>
  </si>
  <si>
    <t>REG-2026-01558</t>
  </si>
  <si>
    <t>Student 2026_01558</t>
  </si>
  <si>
    <t>REG-2026-01303</t>
  </si>
  <si>
    <t>Student 2026_01303</t>
  </si>
  <si>
    <t>REG-2026-01425</t>
  </si>
  <si>
    <t>Student 2026_01425</t>
  </si>
  <si>
    <t>REG-2026-01186</t>
  </si>
  <si>
    <t>Student 2026_01186</t>
  </si>
  <si>
    <t>REG-2026-01250</t>
  </si>
  <si>
    <t>Student 2026_01250</t>
  </si>
  <si>
    <t>REG-2026-00625</t>
  </si>
  <si>
    <t>Student 2026_00625</t>
  </si>
  <si>
    <t>REG-2026-01696</t>
  </si>
  <si>
    <t>Student 2026_01696</t>
  </si>
  <si>
    <t>REG-2026-01486</t>
  </si>
  <si>
    <t>Student 2026_01486</t>
  </si>
  <si>
    <t>REG-2026-00960</t>
  </si>
  <si>
    <t>Student 2026_00960</t>
  </si>
  <si>
    <t>REG-2026-00099</t>
  </si>
  <si>
    <t>Student 2026_00099</t>
  </si>
  <si>
    <t>REG-2026-00141</t>
  </si>
  <si>
    <t>Student 2026_00141</t>
  </si>
  <si>
    <t>REG-2026-01707</t>
  </si>
  <si>
    <t>Student 2026_01707</t>
  </si>
  <si>
    <t>REG-2026-01790</t>
  </si>
  <si>
    <t>Student 2026_01790</t>
  </si>
  <si>
    <t>REG-2026-00939</t>
  </si>
  <si>
    <t>Student 2026_00939</t>
  </si>
  <si>
    <t>REG-2026-01918</t>
  </si>
  <si>
    <t>Student 2026_01918</t>
  </si>
  <si>
    <t>REG-2026-01053</t>
  </si>
  <si>
    <t>Student 2026_01053</t>
  </si>
  <si>
    <t>REG-2026-00876</t>
  </si>
  <si>
    <t>Student 2026_00876</t>
  </si>
  <si>
    <t>REG-2026-00054</t>
  </si>
  <si>
    <t>Student 2026_00054</t>
  </si>
  <si>
    <t>REG-2026-00067</t>
  </si>
  <si>
    <t>Student 2026_00067</t>
  </si>
  <si>
    <t>REG-2026-01621</t>
  </si>
  <si>
    <t>Student 2026_01621</t>
  </si>
  <si>
    <t>REG-2026-01688</t>
  </si>
  <si>
    <t>Student 2026_01688</t>
  </si>
  <si>
    <t>REG-2026-01078</t>
  </si>
  <si>
    <t>Student 2026_01078</t>
  </si>
  <si>
    <t>REG-2026-00966</t>
  </si>
  <si>
    <t>Student 2026_00966</t>
  </si>
  <si>
    <t>REG-2026-01291</t>
  </si>
  <si>
    <t>Student 2026_01291</t>
  </si>
  <si>
    <t>REG-2026-01352</t>
  </si>
  <si>
    <t>Student 2026_01352</t>
  </si>
  <si>
    <t>REG-2026-00894</t>
  </si>
  <si>
    <t>Student 2026_00894</t>
  </si>
  <si>
    <t>REG-2026-00628</t>
  </si>
  <si>
    <t>Student 2026_00628</t>
  </si>
  <si>
    <t>REG-2026-00996</t>
  </si>
  <si>
    <t>Student 2026_00996</t>
  </si>
  <si>
    <t>REG-2026-01906</t>
  </si>
  <si>
    <t>Student 2026_01906</t>
  </si>
  <si>
    <t>REG-2026-00088</t>
  </si>
  <si>
    <t>Student 2026_00088</t>
  </si>
  <si>
    <t>REG-2026-00039</t>
  </si>
  <si>
    <t>Student 2026_00039</t>
  </si>
  <si>
    <t>REG-2026-01020</t>
  </si>
  <si>
    <t>Student 2026_01020</t>
  </si>
  <si>
    <t>REG-2026-00323</t>
  </si>
  <si>
    <t>Student 2026_00323</t>
  </si>
  <si>
    <t>REG-2026-01480</t>
  </si>
  <si>
    <t>Student 2026_01480</t>
  </si>
  <si>
    <t>REG-2026-00635</t>
  </si>
  <si>
    <t>Student 2026_00635</t>
  </si>
  <si>
    <t>REG-2026-00281</t>
  </si>
  <si>
    <t>Student 2026_00281</t>
  </si>
  <si>
    <t>REG-2026-00999</t>
  </si>
  <si>
    <t>Student 2026_00999</t>
  </si>
  <si>
    <t>REG-2026-01210</t>
  </si>
  <si>
    <t>Student 2026_01210</t>
  </si>
  <si>
    <t>REG-2026-00087</t>
  </si>
  <si>
    <t>Student 2026_00087</t>
  </si>
  <si>
    <t>REG-2026-01587</t>
  </si>
  <si>
    <t>Student 2026_01587</t>
  </si>
  <si>
    <t>REG-2026-01993</t>
  </si>
  <si>
    <t>Student 2026_01993</t>
  </si>
  <si>
    <t>REG-2026-00134</t>
  </si>
  <si>
    <t>Student 2026_00134</t>
  </si>
  <si>
    <t>REG-2026-00962</t>
  </si>
  <si>
    <t>Student 2026_00962</t>
  </si>
  <si>
    <t>REG-2026-01218</t>
  </si>
  <si>
    <t>Student 2026_01218</t>
  </si>
  <si>
    <t>REG-2026-01762</t>
  </si>
  <si>
    <t>Student 2026_01762</t>
  </si>
  <si>
    <t>REG-2026-00767</t>
  </si>
  <si>
    <t>Student 2026_00767</t>
  </si>
  <si>
    <t>REG-2026-01426</t>
  </si>
  <si>
    <t>Student 2026_01426</t>
  </si>
  <si>
    <t>REG-2026-01846</t>
  </si>
  <si>
    <t>Student 2026_01846</t>
  </si>
  <si>
    <t>REG-2026-01035</t>
  </si>
  <si>
    <t>Student 2026_01035</t>
  </si>
  <si>
    <t>REG-2026-02050</t>
  </si>
  <si>
    <t>Student 2026_02050</t>
  </si>
  <si>
    <t>REG-2026-00490</t>
  </si>
  <si>
    <t>Student 2026_00490</t>
  </si>
  <si>
    <t>REG-2026-00923</t>
  </si>
  <si>
    <t>Student 2026_00923</t>
  </si>
  <si>
    <t>REG-2026-01511</t>
  </si>
  <si>
    <t>Student 2026_01511</t>
  </si>
  <si>
    <t>REG-2026-01925</t>
  </si>
  <si>
    <t>Student 2026_01925</t>
  </si>
  <si>
    <t>REG-2026-00717</t>
  </si>
  <si>
    <t>Student 2026_00717</t>
  </si>
  <si>
    <t>REG-2026-01579</t>
  </si>
  <si>
    <t>Student 2026_01579</t>
  </si>
  <si>
    <t>REG-2026-00387</t>
  </si>
  <si>
    <t>Student 2026_00387</t>
  </si>
  <si>
    <t>REG-2026-02065</t>
  </si>
  <si>
    <t>Student 2026_02065</t>
  </si>
  <si>
    <t>REG-2026-00652</t>
  </si>
  <si>
    <t>Student 2026_00652</t>
  </si>
  <si>
    <t>REG-2026-02144</t>
  </si>
  <si>
    <t>Student 2026_02144</t>
  </si>
  <si>
    <t>REG-2026-02096</t>
  </si>
  <si>
    <t>Student 2026_02096</t>
  </si>
  <si>
    <t>REG-2026-00073</t>
  </si>
  <si>
    <t>Student 2026_00073</t>
  </si>
  <si>
    <t>REG-2026-01235</t>
  </si>
  <si>
    <t>Student 2026_01235</t>
  </si>
  <si>
    <t>REG-2026-01538</t>
  </si>
  <si>
    <t>Student 2026_01538</t>
  </si>
  <si>
    <t>REG-2026-00458</t>
  </si>
  <si>
    <t>Student 2026_00458</t>
  </si>
  <si>
    <t>REG-2026-01317</t>
  </si>
  <si>
    <t>Student 2026_01317</t>
  </si>
  <si>
    <t>REG-2026-00688</t>
  </si>
  <si>
    <t>Student 2026_00688</t>
  </si>
  <si>
    <t>REG-2026-01482</t>
  </si>
  <si>
    <t>Student 2026_01482</t>
  </si>
  <si>
    <t>REG-2026-01079</t>
  </si>
  <si>
    <t>Student 2026_01079</t>
  </si>
  <si>
    <t>REG-2026-00704</t>
  </si>
  <si>
    <t>Student 2026_00704</t>
  </si>
  <si>
    <t>REG-2026-01060</t>
  </si>
  <si>
    <t>Student 2026_01060</t>
  </si>
  <si>
    <t>REG-2026-01885</t>
  </si>
  <si>
    <t>Student 2026_01885</t>
  </si>
  <si>
    <t>REG-2026-02113</t>
  </si>
  <si>
    <t>Student 2026_02113</t>
  </si>
  <si>
    <t>REG-2026-01490</t>
  </si>
  <si>
    <t>Student 2026_01490</t>
  </si>
  <si>
    <t>REG-2026-00279</t>
  </si>
  <si>
    <t>Student 2026_00279</t>
  </si>
  <si>
    <t>REG-2026-00081</t>
  </si>
  <si>
    <t>Student 2026_00081</t>
  </si>
  <si>
    <t>REG-2026-00629</t>
  </si>
  <si>
    <t>Student 2026_00629</t>
  </si>
  <si>
    <t>REG-2026-00358</t>
  </si>
  <si>
    <t>Student 2026_00358</t>
  </si>
  <si>
    <t>REG-2026-01754</t>
  </si>
  <si>
    <t>Student 2026_01754</t>
  </si>
  <si>
    <t>REG-2026-01592</t>
  </si>
  <si>
    <t>Student 2026_01592</t>
  </si>
  <si>
    <t>REG-2026-00363</t>
  </si>
  <si>
    <t>Student 2026_00363</t>
  </si>
  <si>
    <t>REG-2026-00783</t>
  </si>
  <si>
    <t>Student 2026_00783</t>
  </si>
  <si>
    <t>REG-2026-00528</t>
  </si>
  <si>
    <t>Student 2026_00528</t>
  </si>
  <si>
    <t>REG-2026-01653</t>
  </si>
  <si>
    <t>Student 2026_01653</t>
  </si>
  <si>
    <t>REG-2026-01249</t>
  </si>
  <si>
    <t>Student 2026_01249</t>
  </si>
  <si>
    <t>REG-2026-00190</t>
  </si>
  <si>
    <t>Student 2026_00190</t>
  </si>
  <si>
    <t>REG-2026-00313</t>
  </si>
  <si>
    <t>Student 2026_00313</t>
  </si>
  <si>
    <t>REG-2026-02019</t>
  </si>
  <si>
    <t>Student 2026_02019</t>
  </si>
  <si>
    <t>REG-2026-00446</t>
  </si>
  <si>
    <t>Student 2026_00446</t>
  </si>
  <si>
    <t>REG-2026-01605</t>
  </si>
  <si>
    <t>Student 2026_01605</t>
  </si>
  <si>
    <t>REG-2026-01244</t>
  </si>
  <si>
    <t>Student 2026_01244</t>
  </si>
  <si>
    <t>REG-2026-00137</t>
  </si>
  <si>
    <t>Student 2026_00137</t>
  </si>
  <si>
    <t>REG-2026-01124</t>
  </si>
  <si>
    <t>Student 2026_01124</t>
  </si>
  <si>
    <t>REG-2026-00290</t>
  </si>
  <si>
    <t>Student 2026_00290</t>
  </si>
  <si>
    <t>REG-2026-01193</t>
  </si>
  <si>
    <t>Student 2026_01193</t>
  </si>
  <si>
    <t>REG-2026-00424</t>
  </si>
  <si>
    <t>Student 2026_00424</t>
  </si>
  <si>
    <t>REG-2026-00463</t>
  </si>
  <si>
    <t>Student 2026_00463</t>
  </si>
  <si>
    <t>REG-2026-00550</t>
  </si>
  <si>
    <t>Student 2026_00550</t>
  </si>
  <si>
    <t>REG-2026-01311</t>
  </si>
  <si>
    <t>Student 2026_01311</t>
  </si>
  <si>
    <t>REG-2026-01239</t>
  </si>
  <si>
    <t>Student 2026_01239</t>
  </si>
  <si>
    <t>REG-2026-01286</t>
  </si>
  <si>
    <t>Student 2026_01286</t>
  </si>
  <si>
    <t>REG-2026-00698</t>
  </si>
  <si>
    <t>Student 2026_00698</t>
  </si>
  <si>
    <t>REG-2026-01163</t>
  </si>
  <si>
    <t>Student 2026_01163</t>
  </si>
  <si>
    <t>REG-2026-01789</t>
  </si>
  <si>
    <t>Student 2026_01789</t>
  </si>
  <si>
    <t>REG-2026-01902</t>
  </si>
  <si>
    <t>Student 2026_01902</t>
  </si>
  <si>
    <t>REG-2026-02058</t>
  </si>
  <si>
    <t>Student 2026_02058</t>
  </si>
  <si>
    <t>REG-2026-01265</t>
  </si>
  <si>
    <t>Student 2026_01265</t>
  </si>
  <si>
    <t>REG-2026-00803</t>
  </si>
  <si>
    <t>Student 2026_00803</t>
  </si>
  <si>
    <t>REG-2026-00649</t>
  </si>
  <si>
    <t>Student 2026_00649</t>
  </si>
  <si>
    <t>REG-2026-00886</t>
  </si>
  <si>
    <t>Student 2026_00886</t>
  </si>
  <si>
    <t>REG-2026-01269</t>
  </si>
  <si>
    <t>Student 2026_01269</t>
  </si>
  <si>
    <t>REG-2026-01382</t>
  </si>
  <si>
    <t>Student 2026_01382</t>
  </si>
  <si>
    <t>REG-2026-01656</t>
  </si>
  <si>
    <t>Student 2026_01656</t>
  </si>
  <si>
    <t>REG-2026-01066</t>
  </si>
  <si>
    <t>Student 2026_01066</t>
  </si>
  <si>
    <t>REG-2026-00004</t>
  </si>
  <si>
    <t>Student 2026_00004</t>
  </si>
  <si>
    <t>REG-2026-01059</t>
  </si>
  <si>
    <t>Student 2026_01059</t>
  </si>
  <si>
    <t>REG-2026-00236</t>
  </si>
  <si>
    <t>Student 2026_00236</t>
  </si>
  <si>
    <t>REG-2026-01639</t>
  </si>
  <si>
    <t>Student 2026_01639</t>
  </si>
  <si>
    <t>REG-2026-01134</t>
  </si>
  <si>
    <t>Student 2026_01134</t>
  </si>
  <si>
    <t>REG-2026-00348</t>
  </si>
  <si>
    <t>Student 2026_00348</t>
  </si>
  <si>
    <t>REG-2026-01973</t>
  </si>
  <si>
    <t>Student 2026_01973</t>
  </si>
  <si>
    <t>REG-2026-01646</t>
  </si>
  <si>
    <t>Student 2026_01646</t>
  </si>
  <si>
    <t>REG-2026-01372</t>
  </si>
  <si>
    <t>Student 2026_01372</t>
  </si>
  <si>
    <t>REG-2026-01890</t>
  </si>
  <si>
    <t>Student 2026_01890</t>
  </si>
  <si>
    <t>REG-2026-00696</t>
  </si>
  <si>
    <t>Student 2026_00696</t>
  </si>
  <si>
    <t>REG-2026-00588</t>
  </si>
  <si>
    <t>Student 2026_00588</t>
  </si>
  <si>
    <t>REG-2026-01314</t>
  </si>
  <si>
    <t>Student 2026_01314</t>
  </si>
  <si>
    <t>REG-2026-01162</t>
  </si>
  <si>
    <t>Student 2026_01162</t>
  </si>
  <si>
    <t>REG-2026-00609</t>
  </si>
  <si>
    <t>Student 2026_00609</t>
  </si>
  <si>
    <t>REG-2026-01418</t>
  </si>
  <si>
    <t>Student 2026_01418</t>
  </si>
  <si>
    <t>REG-2026-00272</t>
  </si>
  <si>
    <t>Student 2026_00272</t>
  </si>
  <si>
    <t>REG-2026-00640</t>
  </si>
  <si>
    <t>Student 2026_00640</t>
  </si>
  <si>
    <t>REG-2026-01913</t>
  </si>
  <si>
    <t>Student 2026_01913</t>
  </si>
  <si>
    <t>REG-2026-01923</t>
  </si>
  <si>
    <t>Student 2026_01923</t>
  </si>
  <si>
    <t>REG-2026-00658</t>
  </si>
  <si>
    <t>Student 2026_00658</t>
  </si>
  <si>
    <t>REG-2026-01326</t>
  </si>
  <si>
    <t>Student 2026_01326</t>
  </si>
  <si>
    <t>REG-2026-01410</t>
  </si>
  <si>
    <t>Student 2026_01410</t>
  </si>
  <si>
    <t>REG-2026-01897</t>
  </si>
  <si>
    <t>Student 2026_01897</t>
  </si>
  <si>
    <t>REG-2026-01008</t>
  </si>
  <si>
    <t>Student 2026_01008</t>
  </si>
  <si>
    <t>REG-2026-00540</t>
  </si>
  <si>
    <t>Student 2026_00540</t>
  </si>
  <si>
    <t>REG-2026-01976</t>
  </si>
  <si>
    <t>Student 2026_01976</t>
  </si>
  <si>
    <t>REG-2026-01628</t>
  </si>
  <si>
    <t>Student 2026_01628</t>
  </si>
  <si>
    <t>REG-2026-01525</t>
  </si>
  <si>
    <t>Student 2026_01525</t>
  </si>
  <si>
    <t>REG-2026-01912</t>
  </si>
  <si>
    <t>Student 2026_01912</t>
  </si>
  <si>
    <t>REG-2026-00033</t>
  </si>
  <si>
    <t>Student 2026_00033</t>
  </si>
  <si>
    <t>REG-2026-00008</t>
  </si>
  <si>
    <t>Student 2026_00008</t>
  </si>
  <si>
    <t>REG-2026-01898</t>
  </si>
  <si>
    <t>Student 2026_01898</t>
  </si>
  <si>
    <t>REG-2026-01718</t>
  </si>
  <si>
    <t>Student 2026_01718</t>
  </si>
  <si>
    <t>REG-2026-00907</t>
  </si>
  <si>
    <t>Student 2026_00907</t>
  </si>
  <si>
    <t>REG-2026-00723</t>
  </si>
  <si>
    <t>Student 2026_00723</t>
  </si>
  <si>
    <t>REG-2026-01389</t>
  </si>
  <si>
    <t>Student 2026_01389</t>
  </si>
  <si>
    <t>REG-2026-01290</t>
  </si>
  <si>
    <t>Student 2026_01290</t>
  </si>
  <si>
    <t>REG-2026-02001</t>
  </si>
  <si>
    <t>Student 2026_02001</t>
  </si>
  <si>
    <t>REG-2026-00504</t>
  </si>
  <si>
    <t>Student 2026_00504</t>
  </si>
  <si>
    <t>REG-2026-01980</t>
  </si>
  <si>
    <t>Student 2026_01980</t>
  </si>
  <si>
    <t>REG-2026-02017</t>
  </si>
  <si>
    <t>Student 2026_02017</t>
  </si>
  <si>
    <t>REG-2026-01446</t>
  </si>
  <si>
    <t>Student 2026_01446</t>
  </si>
  <si>
    <t>REG-2026-00402</t>
  </si>
  <si>
    <t>Student 2026_00402</t>
  </si>
  <si>
    <t>REG-2026-01832</t>
  </si>
  <si>
    <t>Student 2026_01832</t>
  </si>
  <si>
    <t>REG-2026-01534</t>
  </si>
  <si>
    <t>Student 2026_01534</t>
  </si>
  <si>
    <t>REG-2026-00683</t>
  </si>
  <si>
    <t>Student 2026_00683</t>
  </si>
  <si>
    <t>REG-2026-00191</t>
  </si>
  <si>
    <t>Student 2026_00191</t>
  </si>
  <si>
    <t>REG-2026-00836</t>
  </si>
  <si>
    <t>Student 2026_00836</t>
  </si>
  <si>
    <t>REG-2026-01174</t>
  </si>
  <si>
    <t>Student 2026_01174</t>
  </si>
  <si>
    <t>REG-2026-00648</t>
  </si>
  <si>
    <t>Student 2026_00648</t>
  </si>
  <si>
    <t>REG-2026-01165</t>
  </si>
  <si>
    <t>Student 2026_01165</t>
  </si>
  <si>
    <t>REG-2026-01469</t>
  </si>
  <si>
    <t>Student 2026_01469</t>
  </si>
  <si>
    <t>REG-2026-01141</t>
  </si>
  <si>
    <t>Student 2026_01141</t>
  </si>
  <si>
    <t>REG-2026-00065</t>
  </si>
  <si>
    <t>Student 2026_00065</t>
  </si>
  <si>
    <t>REG-2026-01750</t>
  </si>
  <si>
    <t>Student 2026_01750</t>
  </si>
  <si>
    <t>REG-2026-01813</t>
  </si>
  <si>
    <t>Student 2026_01813</t>
  </si>
  <si>
    <t>REG-2026-01571</t>
  </si>
  <si>
    <t>Student 2026_01571</t>
  </si>
  <si>
    <t>REG-2026-01745</t>
  </si>
  <si>
    <t>Student 2026_01745</t>
  </si>
  <si>
    <t>REG-2026-01733</t>
  </si>
  <si>
    <t>Student 2026_01733</t>
  </si>
  <si>
    <t>REG-2026-01763</t>
  </si>
  <si>
    <t>Student 2026_01763</t>
  </si>
  <si>
    <t>REG-2026-01063</t>
  </si>
  <si>
    <t>Student 2026_01063</t>
  </si>
  <si>
    <t>REG-2026-00449</t>
  </si>
  <si>
    <t>Student 2026_00449</t>
  </si>
  <si>
    <t>REG-2026-00457</t>
  </si>
  <si>
    <t>Student 2026_00457</t>
  </si>
  <si>
    <t>REG-2026-01799</t>
  </si>
  <si>
    <t>Student 2026_01799</t>
  </si>
  <si>
    <t>REG-2026-00708</t>
  </si>
  <si>
    <t>Student 2026_00708</t>
  </si>
  <si>
    <t>REG-2026-01948</t>
  </si>
  <si>
    <t>Student 2026_01948</t>
  </si>
  <si>
    <t>REG-2026-00383</t>
  </si>
  <si>
    <t>Student 2026_00383</t>
  </si>
  <si>
    <t>REG-2026-00159</t>
  </si>
  <si>
    <t>Student 2026_00159</t>
  </si>
  <si>
    <t>REG-2026-00217</t>
  </si>
  <si>
    <t>Student 2026_00217</t>
  </si>
  <si>
    <t>REG-2026-00400</t>
  </si>
  <si>
    <t>Student 2026_00400</t>
  </si>
  <si>
    <t>REG-2026-00994</t>
  </si>
  <si>
    <t>Student 2026_00994</t>
  </si>
  <si>
    <t>REG-2026-00012</t>
  </si>
  <si>
    <t>Student 2026_00012</t>
  </si>
  <si>
    <t>REG-2026-00013</t>
  </si>
  <si>
    <t>Student 2026_00013</t>
  </si>
  <si>
    <t>REG-2026-01070</t>
  </si>
  <si>
    <t>Student 2026_01070</t>
  </si>
  <si>
    <t>REG-2026-00471</t>
  </si>
  <si>
    <t>Student 2026_00471</t>
  </si>
  <si>
    <t>REG-2026-01839</t>
  </si>
  <si>
    <t>Student 2026_01839</t>
  </si>
  <si>
    <t>REG-2026-01625</t>
  </si>
  <si>
    <t>Student 2026_01625</t>
  </si>
  <si>
    <t>REG-2026-01962</t>
  </si>
  <si>
    <t>Student 2026_01962</t>
  </si>
  <si>
    <t>REG-2026-00356</t>
  </si>
  <si>
    <t>Student 2026_00356</t>
  </si>
  <si>
    <t>REG-2026-01835</t>
  </si>
  <si>
    <t>Student 2026_01835</t>
  </si>
  <si>
    <t>REG-2026-01065</t>
  </si>
  <si>
    <t>Student 2026_01065</t>
  </si>
  <si>
    <t>REG-2026-00787</t>
  </si>
  <si>
    <t>Student 2026_00787</t>
  </si>
  <si>
    <t>REG-2026-00595</t>
  </si>
  <si>
    <t>Student 2026_00595</t>
  </si>
  <si>
    <t>REG-2026-01735</t>
  </si>
  <si>
    <t>Student 2026_01735</t>
  </si>
  <si>
    <t>REG-2026-02136</t>
  </si>
  <si>
    <t>Student 2026_02136</t>
  </si>
  <si>
    <t>REG-2026-00729</t>
  </si>
  <si>
    <t>Student 2026_00729</t>
  </si>
  <si>
    <t>REG-2026-00525</t>
  </si>
  <si>
    <t>Student 2026_00525</t>
  </si>
  <si>
    <t>REG-2026-01664</t>
  </si>
  <si>
    <t>Student 2026_01664</t>
  </si>
  <si>
    <t>REG-2026-00869</t>
  </si>
  <si>
    <t>Student 2026_00869</t>
  </si>
  <si>
    <t>REG-2026-00702</t>
  </si>
  <si>
    <t>Student 2026_00702</t>
  </si>
  <si>
    <t>REG-2026-01369</t>
  </si>
  <si>
    <t>Student 2026_01369</t>
  </si>
  <si>
    <t>REG-2026-00433</t>
  </si>
  <si>
    <t>Student 2026_00433</t>
  </si>
  <si>
    <t>REG-2026-00288</t>
  </si>
  <si>
    <t>Student 2026_00288</t>
  </si>
  <si>
    <t>REG-2026-01485</t>
  </si>
  <si>
    <t>Student 2026_01485</t>
  </si>
  <si>
    <t>REG-2026-00235</t>
  </si>
  <si>
    <t>Student 2026_00235</t>
  </si>
  <si>
    <t>REG-2026-00107</t>
  </si>
  <si>
    <t>Student 2026_00107</t>
  </si>
  <si>
    <t>REG-2026-00352</t>
  </si>
  <si>
    <t>Student 2026_00352</t>
  </si>
  <si>
    <t>REG-2026-01728</t>
  </si>
  <si>
    <t>Student 2026_01728</t>
  </si>
  <si>
    <t>REG-2026-01669</t>
  </si>
  <si>
    <t>Student 2026_01669</t>
  </si>
  <si>
    <t>REG-2026-01398</t>
  </si>
  <si>
    <t>Student 2026_01398</t>
  </si>
  <si>
    <t>REG-2026-00730</t>
  </si>
  <si>
    <t>Student 2026_00730</t>
  </si>
  <si>
    <t>REG-2026-01775</t>
  </si>
  <si>
    <t>Student 2026_01775</t>
  </si>
  <si>
    <t>REG-2026-00618</t>
  </si>
  <si>
    <t>Student 2026_00618</t>
  </si>
  <si>
    <t>REG-2026-01992</t>
  </si>
  <si>
    <t>Student 2026_01992</t>
  </si>
  <si>
    <t>REG-2026-00826</t>
  </si>
  <si>
    <t>Student 2026_00826</t>
  </si>
  <si>
    <t>REG-2026-01368</t>
  </si>
  <si>
    <t>Student 2026_01368</t>
  </si>
  <si>
    <t>REG-2026-01000</t>
  </si>
  <si>
    <t>Student 2026_01000</t>
  </si>
  <si>
    <t>REG-2026-00036</t>
  </si>
  <si>
    <t>Student 2026_00036</t>
  </si>
  <si>
    <t>REG-2026-00772</t>
  </si>
  <si>
    <t>Student 2026_00772</t>
  </si>
  <si>
    <t>REG-2026-02041</t>
  </si>
  <si>
    <t>Student 2026_02041</t>
  </si>
  <si>
    <t>REG-2026-00761</t>
  </si>
  <si>
    <t>Student 2026_00761</t>
  </si>
  <si>
    <t>REG-2026-01778</t>
  </si>
  <si>
    <t>Student 2026_01778</t>
  </si>
  <si>
    <t>REG-2026-00857</t>
  </si>
  <si>
    <t>Student 2026_00857</t>
  </si>
  <si>
    <t>REG-2026-01983</t>
  </si>
  <si>
    <t>Student 2026_01983</t>
  </si>
  <si>
    <t>REG-2026-00078</t>
  </si>
  <si>
    <t>Student 2026_00078</t>
  </si>
  <si>
    <t>REG-2026-01408</t>
  </si>
  <si>
    <t>Student 2026_01408</t>
  </si>
  <si>
    <t>REG-2026-01922</t>
  </si>
  <si>
    <t>Student 2026_01922</t>
  </si>
  <si>
    <t>REG-2026-00741</t>
  </si>
  <si>
    <t>Student 2026_00741</t>
  </si>
  <si>
    <t>REG-2026-00157</t>
  </si>
  <si>
    <t>Student 2026_00157</t>
  </si>
  <si>
    <t>REG-2026-01175</t>
  </si>
  <si>
    <t>Student 2026_01175</t>
  </si>
  <si>
    <t>REG-2026-01156</t>
  </si>
  <si>
    <t>Student 2026_01156</t>
  </si>
  <si>
    <t>REG-2026-01709</t>
  </si>
  <si>
    <t>Student 2026_01709</t>
  </si>
  <si>
    <t>REG-2026-02122</t>
  </si>
  <si>
    <t>Student 2026_02122</t>
  </si>
  <si>
    <t>REG-2026-00600</t>
  </si>
  <si>
    <t>Student 2026_00600</t>
  </si>
  <si>
    <t>REG-2026-01673</t>
  </si>
  <si>
    <t>Student 2026_01673</t>
  </si>
  <si>
    <t>REG-2026-02072</t>
  </si>
  <si>
    <t>Student 2026_02072</t>
  </si>
  <si>
    <t>REG-2026-00845</t>
  </si>
  <si>
    <t>Student 2026_00845</t>
  </si>
  <si>
    <t>REG-2026-02110</t>
  </si>
  <si>
    <t>Student 2026_02110</t>
  </si>
  <si>
    <t>REG-2026-00377</t>
  </si>
  <si>
    <t>Student 2026_00377</t>
  </si>
  <si>
    <t>REG-2026-00321</t>
  </si>
  <si>
    <t>Student 2026_00321</t>
  </si>
  <si>
    <t>REG-2026-01938</t>
  </si>
  <si>
    <t>Student 2026_01938</t>
  </si>
  <si>
    <t>REG-2026-01905</t>
  </si>
  <si>
    <t>Student 2026_01905</t>
  </si>
  <si>
    <t>REG-2026-00895</t>
  </si>
  <si>
    <t>Student 2026_00895</t>
  </si>
  <si>
    <t>REG-2026-00214</t>
  </si>
  <si>
    <t>Student 2026_00214</t>
  </si>
  <si>
    <t>REG-2026-00011</t>
  </si>
  <si>
    <t>Student 2026_00011</t>
  </si>
  <si>
    <t>REG-2026-00786</t>
  </si>
  <si>
    <t>Student 2026_00786</t>
  </si>
  <si>
    <t>REG-2026-00277</t>
  </si>
  <si>
    <t>Student 2026_00277</t>
  </si>
  <si>
    <t>REG-2026-01100</t>
  </si>
  <si>
    <t>Student 2026_01100</t>
  </si>
  <si>
    <t>REG-2026-02123</t>
  </si>
  <si>
    <t>Student 2026_02123</t>
  </si>
  <si>
    <t>REG-2026-00685</t>
  </si>
  <si>
    <t>Student 2026_00685</t>
  </si>
  <si>
    <t>REG-2026-00481</t>
  </si>
  <si>
    <t>Student 2026_00481</t>
  </si>
  <si>
    <t>REG-2026-01716</t>
  </si>
  <si>
    <t>Student 2026_01716</t>
  </si>
  <si>
    <t>REG-2026-00108</t>
  </si>
  <si>
    <t>Student 2026_00108</t>
  </si>
  <si>
    <t>REG-2026-01809</t>
  </si>
  <si>
    <t>Student 2026_01809</t>
  </si>
  <si>
    <t>REG-2026-01919</t>
  </si>
  <si>
    <t>Student 2026_01919</t>
  </si>
  <si>
    <t>REG-2026-00856</t>
  </si>
  <si>
    <t>Student 2026_00856</t>
  </si>
  <si>
    <t>REG-2026-01339</t>
  </si>
  <si>
    <t>Student 2026_01339</t>
  </si>
  <si>
    <t>REG-2026-00482</t>
  </si>
  <si>
    <t>Student 2026_00482</t>
  </si>
  <si>
    <t>REG-2026-02138</t>
  </si>
  <si>
    <t>Student 2026_02138</t>
  </si>
  <si>
    <t>REG-2026-01803</t>
  </si>
  <si>
    <t>Student 2026_01803</t>
  </si>
  <si>
    <t>REG-2026-01254</t>
  </si>
  <si>
    <t>Student 2026_01254</t>
  </si>
  <si>
    <t>REG-2026-00249</t>
  </si>
  <si>
    <t>Student 2026_00249</t>
  </si>
  <si>
    <t>REG-2026-01370</t>
  </si>
  <si>
    <t>Student 2026_01370</t>
  </si>
  <si>
    <t>REG-2026-01371</t>
  </si>
  <si>
    <t>Student 2026_01371</t>
  </si>
  <si>
    <t>REG-2026-01478</t>
  </si>
  <si>
    <t>Student 2026_01478</t>
  </si>
  <si>
    <t>REG-2026-01119</t>
  </si>
  <si>
    <t>Student 2026_01119</t>
  </si>
  <si>
    <t>REG-2026-02016</t>
  </si>
  <si>
    <t>Student 2026_02016</t>
  </si>
  <si>
    <t>REG-2026-00641</t>
  </si>
  <si>
    <t>Student 2026_00641</t>
  </si>
  <si>
    <t>REG-2026-00068</t>
  </si>
  <si>
    <t>Student 2026_00068</t>
  </si>
  <si>
    <t>REG-2026-00476</t>
  </si>
  <si>
    <t>Student 2026_00476</t>
  </si>
  <si>
    <t>REG-2026-01845</t>
  </si>
  <si>
    <t>Student 2026_01845</t>
  </si>
  <si>
    <t>REG-2026-00064</t>
  </si>
  <si>
    <t>Student 2026_00064</t>
  </si>
  <si>
    <t>REG-2026-01957</t>
  </si>
  <si>
    <t>Student 2026_01957</t>
  </si>
  <si>
    <t>REG-2026-00839</t>
  </si>
  <si>
    <t>Student 2026_00839</t>
  </si>
  <si>
    <t>REG-2026-00522</t>
  </si>
  <si>
    <t>Student 2026_00522</t>
  </si>
  <si>
    <t>REG-2026-01660</t>
  </si>
  <si>
    <t>Student 2026_01660</t>
  </si>
  <si>
    <t>REG-2026-00537</t>
  </si>
  <si>
    <t>Student 2026_00537</t>
  </si>
  <si>
    <t>REG-2026-01932</t>
  </si>
  <si>
    <t>Student 2026_01932</t>
  </si>
  <si>
    <t>REG-2026-01659</t>
  </si>
  <si>
    <t>Student 2026_01659</t>
  </si>
  <si>
    <t>REG-2026-01431</t>
  </si>
  <si>
    <t>Student 2026_01431</t>
  </si>
  <si>
    <t>REG-2026-00706</t>
  </si>
  <si>
    <t>Student 2026_00706</t>
  </si>
  <si>
    <t>REG-2026-00619</t>
  </si>
  <si>
    <t>Student 2026_00619</t>
  </si>
  <si>
    <t>REG-2026-00680</t>
  </si>
  <si>
    <t>Student 2026_00680</t>
  </si>
  <si>
    <t>REG-2026-00603</t>
  </si>
  <si>
    <t>Student 2026_00603</t>
  </si>
  <si>
    <t>REG-2026-00665</t>
  </si>
  <si>
    <t>Student 2026_00665</t>
  </si>
  <si>
    <t>REG-2026-01812</t>
  </si>
  <si>
    <t>Student 2026_01812</t>
  </si>
  <si>
    <t>REG-2026-02106</t>
  </si>
  <si>
    <t>Student 2026_02106</t>
  </si>
  <si>
    <t>REG-2026-00811</t>
  </si>
  <si>
    <t>Student 2026_00811</t>
  </si>
  <si>
    <t>REG-2026-00404</t>
  </si>
  <si>
    <t>Student 2026_00404</t>
  </si>
  <si>
    <t>REG-2026-00239</t>
  </si>
  <si>
    <t>Student 2026_00239</t>
  </si>
  <si>
    <t>REG-2026-01903</t>
  </si>
  <si>
    <t>Student 2026_01903</t>
  </si>
  <si>
    <t>REG-2026-01088</t>
  </si>
  <si>
    <t>Student 2026_01088</t>
  </si>
  <si>
    <t>REG-2026-01106</t>
  </si>
  <si>
    <t>Student 2026_01106</t>
  </si>
  <si>
    <t>REG-2026-00319</t>
  </si>
  <si>
    <t>Student 2026_00319</t>
  </si>
  <si>
    <t>REG-2026-01403</t>
  </si>
  <si>
    <t>Student 2026_01403</t>
  </si>
  <si>
    <t>REG-2026-00573</t>
  </si>
  <si>
    <t>Student 2026_00573</t>
  </si>
  <si>
    <t>REG-2026-01642</t>
  </si>
  <si>
    <t>Student 2026_01642</t>
  </si>
  <si>
    <t>REG-2026-00171</t>
  </si>
  <si>
    <t>Student 2026_00171</t>
  </si>
  <si>
    <t>REG-2026-01302</t>
  </si>
  <si>
    <t>Student 2026_01302</t>
  </si>
  <si>
    <t>REG-2026-01977</t>
  </si>
  <si>
    <t>Student 2026_01977</t>
  </si>
  <si>
    <t>REG-2026-00577</t>
  </si>
  <si>
    <t>Student 2026_00577</t>
  </si>
  <si>
    <t>REG-2026-00551</t>
  </si>
  <si>
    <t>Student 2026_00551</t>
  </si>
  <si>
    <t>REG-2026-00957</t>
  </si>
  <si>
    <t>Student 2026_00957</t>
  </si>
  <si>
    <t>REG-2026-01875</t>
  </si>
  <si>
    <t>Student 2026_01875</t>
  </si>
  <si>
    <t>REG-2026-00374</t>
  </si>
  <si>
    <t>Student 2026_00374</t>
  </si>
  <si>
    <t>REG-2026-00094</t>
  </si>
  <si>
    <t>Student 2026_00094</t>
  </si>
  <si>
    <t>REG-2026-01442</t>
  </si>
  <si>
    <t>Student 2026_01442</t>
  </si>
  <si>
    <t>REG-2026-01843</t>
  </si>
  <si>
    <t>Student 2026_01843</t>
  </si>
  <si>
    <t>REG-2026-01822</t>
  </si>
  <si>
    <t>Student 2026_01822</t>
  </si>
  <si>
    <t>REG-2026-00638</t>
  </si>
  <si>
    <t>Student 2026_00638</t>
  </si>
  <si>
    <t>REG-2026-01273</t>
  </si>
  <si>
    <t>Student 2026_01273</t>
  </si>
  <si>
    <t>REG-2026-00963</t>
  </si>
  <si>
    <t>Student 2026_00963</t>
  </si>
  <si>
    <t>REG-2026-00300</t>
  </si>
  <si>
    <t>Student 2026_00300</t>
  </si>
  <si>
    <t>REG-2026-01774</t>
  </si>
  <si>
    <t>Student 2026_01774</t>
  </si>
  <si>
    <t>REG-2026-00914</t>
  </si>
  <si>
    <t>Student 2026_00914</t>
  </si>
  <si>
    <t>REG-2026-01327</t>
  </si>
  <si>
    <t>Student 2026_01327</t>
  </si>
  <si>
    <t>REG-2026-01559</t>
  </si>
  <si>
    <t>Student 2026_01559</t>
  </si>
  <si>
    <t>REG-2026-00889</t>
  </si>
  <si>
    <t>Student 2026_00889</t>
  </si>
  <si>
    <t>REG-2026-01583</t>
  </si>
  <si>
    <t>Student 2026_01583</t>
  </si>
  <si>
    <t>REG-2026-00494</t>
  </si>
  <si>
    <t>Student 2026_00494</t>
  </si>
  <si>
    <t>REG-2026-00959</t>
  </si>
  <si>
    <t>Student 2026_00959</t>
  </si>
  <si>
    <t>REG-2026-00782</t>
  </si>
  <si>
    <t>Student 2026_00782</t>
  </si>
  <si>
    <t>REG-2026-00828</t>
  </si>
  <si>
    <t>Student 2026_00828</t>
  </si>
  <si>
    <t>REG-2026-01785</t>
  </si>
  <si>
    <t>Student 2026_01785</t>
  </si>
  <si>
    <t>REG-2026-02042</t>
  </si>
  <si>
    <t>Student 2026_02042</t>
  </si>
  <si>
    <t>REG-2026-00005</t>
  </si>
  <si>
    <t>Student 2026_00005</t>
  </si>
  <si>
    <t>REG-2026-01699</t>
  </si>
  <si>
    <t>Student 2026_01699</t>
  </si>
  <si>
    <t>REG-2026-00763</t>
  </si>
  <si>
    <t>Student 2026_00763</t>
  </si>
  <si>
    <t>REG-2026-00601</t>
  </si>
  <si>
    <t>Student 2026_00601</t>
  </si>
  <si>
    <t>REG-2026-00565</t>
  </si>
  <si>
    <t>Student 2026_00565</t>
  </si>
  <si>
    <t>REG-2026-00489</t>
  </si>
  <si>
    <t>Student 2026_00489</t>
  </si>
  <si>
    <t>REG-2026-01536</t>
  </si>
  <si>
    <t>Student 2026_01536</t>
  </si>
  <si>
    <t>REG-2026-02044</t>
  </si>
  <si>
    <t>Student 2026_02044</t>
  </si>
  <si>
    <t>REG-2026-00545</t>
  </si>
  <si>
    <t>Student 2026_00545</t>
  </si>
  <si>
    <t>REG-2026-01855</t>
  </si>
  <si>
    <t>Student 2026_01855</t>
  </si>
  <si>
    <t>REG-2026-00623</t>
  </si>
  <si>
    <t>Student 2026_00623</t>
  </si>
  <si>
    <t>REG-2026-00961</t>
  </si>
  <si>
    <t>Student 2026_00961</t>
  </si>
  <si>
    <t>REG-2026-00884</t>
  </si>
  <si>
    <t>Student 2026_00884</t>
  </si>
  <si>
    <t>REG-2026-02032</t>
  </si>
  <si>
    <t>Student 2026_02032</t>
  </si>
  <si>
    <t>REG-2026-00220</t>
  </si>
  <si>
    <t>Student 2026_00220</t>
  </si>
  <si>
    <t>REG-2026-00765</t>
  </si>
  <si>
    <t>Student 2026_00765</t>
  </si>
  <si>
    <t>REG-2026-00138</t>
  </si>
  <si>
    <t>Student 2026_00138</t>
  </si>
  <si>
    <t>REG-2026-00070</t>
  </si>
  <si>
    <t>Student 2026_00070</t>
  </si>
  <si>
    <t>REG-2026-01006</t>
  </si>
  <si>
    <t>Student 2026_01006</t>
  </si>
  <si>
    <t>REG-2026-01071</t>
  </si>
  <si>
    <t>Student 2026_01071</t>
  </si>
  <si>
    <t>REG-2026-01256</t>
  </si>
  <si>
    <t>Student 2026_01256</t>
  </si>
  <si>
    <t>REG-2026-00498</t>
  </si>
  <si>
    <t>Student 2026_00498</t>
  </si>
  <si>
    <t>REG-2026-01375</t>
  </si>
  <si>
    <t>Student 2026_01375</t>
  </si>
  <si>
    <t>REG-2026-00891</t>
  </si>
  <si>
    <t>Student 2026_00891</t>
  </si>
  <si>
    <t>REG-2026-00922</t>
  </si>
  <si>
    <t>Student 2026_00922</t>
  </si>
  <si>
    <t>REG-2026-01580</t>
  </si>
  <si>
    <t>Student 2026_01580</t>
  </si>
  <si>
    <t>REG-2026-00437</t>
  </si>
  <si>
    <t>Student 2026_00437</t>
  </si>
  <si>
    <t>REG-2026-00566</t>
  </si>
  <si>
    <t>Student 2026_00566</t>
  </si>
  <si>
    <t>REG-2026-01489</t>
  </si>
  <si>
    <t>Student 2026_01489</t>
  </si>
  <si>
    <t>REG-2026-00882</t>
  </si>
  <si>
    <t>Student 2026_00882</t>
  </si>
  <si>
    <t>REG-2026-00456</t>
  </si>
  <si>
    <t>Student 2026_00456</t>
  </si>
  <si>
    <t>REG-2026-00934</t>
  </si>
  <si>
    <t>Student 2026_00934</t>
  </si>
  <si>
    <t>REG-2026-01677</t>
  </si>
  <si>
    <t>Student 2026_01677</t>
  </si>
  <si>
    <t>REG-2026-01366</t>
  </si>
  <si>
    <t>Student 2026_01366</t>
  </si>
  <si>
    <t>REG-2026-01205</t>
  </si>
  <si>
    <t>Student 2026_01205</t>
  </si>
  <si>
    <t>REG-2026-00517</t>
  </si>
  <si>
    <t>Student 2026_00517</t>
  </si>
  <si>
    <t>REG-2026-01226</t>
  </si>
  <si>
    <t>Student 2026_01226</t>
  </si>
  <si>
    <t>REG-2026-01023</t>
  </si>
  <si>
    <t>Student 2026_01023</t>
  </si>
  <si>
    <t>REG-2026-02103</t>
  </si>
  <si>
    <t>Student 2026_02103</t>
  </si>
  <si>
    <t>REG-2026-00327</t>
  </si>
  <si>
    <t>Student 2026_00327</t>
  </si>
  <si>
    <t>REG-2026-00066</t>
  </si>
  <si>
    <t>Student 2026_00066</t>
  </si>
  <si>
    <t>REG-2026-00824</t>
  </si>
  <si>
    <t>Student 2026_00824</t>
  </si>
  <si>
    <t>REG-2026-02088</t>
  </si>
  <si>
    <t>Student 2026_02088</t>
  </si>
  <si>
    <t>REG-2026-01194</t>
  </si>
  <si>
    <t>Student 2026_01194</t>
  </si>
  <si>
    <t>REG-2026-02056</t>
  </si>
  <si>
    <t>Student 2026_02056</t>
  </si>
  <si>
    <t>REG-2026-01884</t>
  </si>
  <si>
    <t>Student 2026_01884</t>
  </si>
  <si>
    <t>REG-2026-00736</t>
  </si>
  <si>
    <t>Student 2026_00736</t>
  </si>
  <si>
    <t>REG-2026-00880</t>
  </si>
  <si>
    <t>Student 2026_00880</t>
  </si>
  <si>
    <t>REG-2026-01886</t>
  </si>
  <si>
    <t>Student 2026_01886</t>
  </si>
  <si>
    <t>REG-2026-00791</t>
  </si>
  <si>
    <t>Student 2026_00791</t>
  </si>
  <si>
    <t>REG-2026-01395</t>
  </si>
  <si>
    <t>Student 2026_01395</t>
  </si>
  <si>
    <t>REG-2026-01034</t>
  </si>
  <si>
    <t>Student 2026_01034</t>
  </si>
  <si>
    <t>REG-2026-01332</t>
  </si>
  <si>
    <t>Student 2026_01332</t>
  </si>
  <si>
    <t>REG-2026-01563</t>
  </si>
  <si>
    <t>Student 2026_01563</t>
  </si>
  <si>
    <t>REG-2026-01203</t>
  </si>
  <si>
    <t>Student 2026_01203</t>
  </si>
  <si>
    <t>REG-2026-01359</t>
  </si>
  <si>
    <t>Student 2026_01359</t>
  </si>
  <si>
    <t>REG-2026-01838</t>
  </si>
  <si>
    <t>Student 2026_01838</t>
  </si>
  <si>
    <t>REG-2026-01188</t>
  </si>
  <si>
    <t>Student 2026_01188</t>
  </si>
  <si>
    <t>REG-2026-01614</t>
  </si>
  <si>
    <t>Student 2026_01614</t>
  </si>
  <si>
    <t>REG-2026-00924</t>
  </si>
  <si>
    <t>Student 2026_00924</t>
  </si>
  <si>
    <t>REG-2026-01556</t>
  </si>
  <si>
    <t>Student 2026_01556</t>
  </si>
  <si>
    <t>REG-2026-01242</t>
  </si>
  <si>
    <t>Student 2026_01242</t>
  </si>
  <si>
    <t>REG-2026-00177</t>
  </si>
  <si>
    <t>Student 2026_00177</t>
  </si>
  <si>
    <t>REG-2026-01616</t>
  </si>
  <si>
    <t>Student 2026_01616</t>
  </si>
  <si>
    <t>REG-2026-00888</t>
  </si>
  <si>
    <t>Student 2026_00888</t>
  </si>
  <si>
    <t>REG-2026-02101</t>
  </si>
  <si>
    <t>Student 2026_02101</t>
  </si>
  <si>
    <t>REG-2026-01686</t>
  </si>
  <si>
    <t>Student 2026_01686</t>
  </si>
  <si>
    <t>REG-2026-01118</t>
  </si>
  <si>
    <t>Student 2026_01118</t>
  </si>
  <si>
    <t>REG-2026-01847</t>
  </si>
  <si>
    <t>Student 2026_01847</t>
  </si>
  <si>
    <t>REG-2026-02079</t>
  </si>
  <si>
    <t>Student 2026_02079</t>
  </si>
  <si>
    <t>REG-2026-01135</t>
  </si>
  <si>
    <t>Student 2026_01135</t>
  </si>
  <si>
    <t>REG-2026-01546</t>
  </si>
  <si>
    <t>Student 2026_01546</t>
  </si>
  <si>
    <t>REG-2026-02133</t>
  </si>
  <si>
    <t>Student 2026_02133</t>
  </si>
  <si>
    <t>REG-2026-01687</t>
  </si>
  <si>
    <t>Student 2026_01687</t>
  </si>
  <si>
    <t>REG-2026-00396</t>
  </si>
  <si>
    <t>Student 2026_00396</t>
  </si>
  <si>
    <t>REG-2026-01320</t>
  </si>
  <si>
    <t>Student 2026_01320</t>
  </si>
  <si>
    <t>REG-2026-01808</t>
  </si>
  <si>
    <t>Student 2026_01808</t>
  </si>
  <si>
    <t>REG-2026-00872</t>
  </si>
  <si>
    <t>Student 2026_00872</t>
  </si>
  <si>
    <t>REG-2026-01253</t>
  </si>
  <si>
    <t>Student 2026_01253</t>
  </si>
  <si>
    <t>REG-2026-01941</t>
  </si>
  <si>
    <t>Student 2026_01941</t>
  </si>
  <si>
    <t>REG-2026-01768</t>
  </si>
  <si>
    <t>Student 2026_01768</t>
  </si>
  <si>
    <t>REG-2026-00687</t>
  </si>
  <si>
    <t>Student 2026_00687</t>
  </si>
  <si>
    <t>REG-2026-00232</t>
  </si>
  <si>
    <t>Student 2026_00232</t>
  </si>
  <si>
    <t>REG-2026-01998</t>
  </si>
  <si>
    <t>Student 2026_01998</t>
  </si>
  <si>
    <t>REG-2026-02120</t>
  </si>
  <si>
    <t>Student 2026_02120</t>
  </si>
  <si>
    <t>REG-2026-01749</t>
  </si>
  <si>
    <t>Student 2026_01749</t>
  </si>
  <si>
    <t>REG-2026-00451</t>
  </si>
  <si>
    <t>Student 2026_00451</t>
  </si>
  <si>
    <t>REG-2026-01824</t>
  </si>
  <si>
    <t>Student 2026_01824</t>
  </si>
  <si>
    <t>REG-2026-00186</t>
  </si>
  <si>
    <t>Student 2026_00186</t>
  </si>
  <si>
    <t>REG-2026-00750</t>
  </si>
  <si>
    <t>Student 2026_00750</t>
  </si>
  <si>
    <t>REG-2026-01683</t>
  </si>
  <si>
    <t>Student 2026_01683</t>
  </si>
  <si>
    <t>REG-2026-00398</t>
  </si>
  <si>
    <t>Student 2026_00398</t>
  </si>
  <si>
    <t>REG-2026-01947</t>
  </si>
  <si>
    <t>Student 2026_01947</t>
  </si>
  <si>
    <t>REG-2026-01645</t>
  </si>
  <si>
    <t>Student 2026_01645</t>
  </si>
  <si>
    <t>REG-2026-00991</t>
  </si>
  <si>
    <t>Student 2026_00991</t>
  </si>
  <si>
    <t>REG-2026-00014</t>
  </si>
  <si>
    <t>Student 2026_00014</t>
  </si>
  <si>
    <t>REG-2026-02012</t>
  </si>
  <si>
    <t>Student 2026_02012</t>
  </si>
  <si>
    <t>REG-2026-00633</t>
  </si>
  <si>
    <t>Student 2026_00633</t>
  </si>
  <si>
    <t>REG-2026-01823</t>
  </si>
  <si>
    <t>Student 2026_01823</t>
  </si>
  <si>
    <t>REG-2026-01263</t>
  </si>
  <si>
    <t>Student 2026_01263</t>
  </si>
  <si>
    <t>REG-2026-00229</t>
  </si>
  <si>
    <t>Student 2026_00229</t>
  </si>
  <si>
    <t>REG-2026-00745</t>
  </si>
  <si>
    <t>Student 2026_00745</t>
  </si>
  <si>
    <t>REG-2026-00268</t>
  </si>
  <si>
    <t>Student 2026_00268</t>
  </si>
  <si>
    <t>REG-2026-01154</t>
  </si>
  <si>
    <t>Student 2026_01154</t>
  </si>
  <si>
    <t>REG-2026-01619</t>
  </si>
  <si>
    <t>Student 2026_01619</t>
  </si>
  <si>
    <t>REG-2026-02021</t>
  </si>
  <si>
    <t>Student 2026_02021</t>
  </si>
  <si>
    <t>REG-2026-00692</t>
  </si>
  <si>
    <t>Student 2026_00692</t>
  </si>
  <si>
    <t>REG-2026-01422</t>
  </si>
  <si>
    <t>Student 2026_01422</t>
  </si>
  <si>
    <t>REG-2026-00989</t>
  </si>
  <si>
    <t>Student 2026_00989</t>
  </si>
  <si>
    <t>REG-2026-01984</t>
  </si>
  <si>
    <t>Student 2026_01984</t>
  </si>
  <si>
    <t>REG-2026-00117</t>
  </si>
  <si>
    <t>Student 2026_00117</t>
  </si>
  <si>
    <t>REG-2026-01487</t>
  </si>
  <si>
    <t>Student 2026_01487</t>
  </si>
  <si>
    <t>REG-2026-00298</t>
  </si>
  <si>
    <t>Student 2026_00298</t>
  </si>
  <si>
    <t>REG-2026-00048</t>
  </si>
  <si>
    <t>Student 2026_00048</t>
  </si>
  <si>
    <t>REG-2026-01761</t>
  </si>
  <si>
    <t>Student 2026_01761</t>
  </si>
  <si>
    <t>REG-2026-01690</t>
  </si>
  <si>
    <t>Student 2026_01690</t>
  </si>
  <si>
    <t>REG-2026-00265</t>
  </si>
  <si>
    <t>Student 2026_00265</t>
  </si>
  <si>
    <t>REG-2026-00875</t>
  </si>
  <si>
    <t>Student 2026_00875</t>
  </si>
  <si>
    <t>REG-2026-00455</t>
  </si>
  <si>
    <t>Student 2026_00455</t>
  </si>
  <si>
    <t>REG-2026-00435</t>
  </si>
  <si>
    <t>Student 2026_00435</t>
  </si>
  <si>
    <t>REG-2026-00606</t>
  </si>
  <si>
    <t>Student 2026_00606</t>
  </si>
  <si>
    <t>REG-2026-01929</t>
  </si>
  <si>
    <t>Student 2026_01929</t>
  </si>
  <si>
    <t>REG-2026-00744</t>
  </si>
  <si>
    <t>Student 2026_00744</t>
  </si>
  <si>
    <t>REG-2026-00417</t>
  </si>
  <si>
    <t>Student 2026_00417</t>
  </si>
  <si>
    <t>REG-2026-00203</t>
  </si>
  <si>
    <t>Student 2026_00203</t>
  </si>
  <si>
    <t>REG-2026-01588</t>
  </si>
  <si>
    <t>Student 2026_01588</t>
  </si>
  <si>
    <t>REG-2026-00317</t>
  </si>
  <si>
    <t>Student 2026_00317</t>
  </si>
  <si>
    <t>REG-2026-00379</t>
  </si>
  <si>
    <t>Student 2026_00379</t>
  </si>
  <si>
    <t>REG-2026-02069</t>
  </si>
  <si>
    <t>Student 2026_02069</t>
  </si>
  <si>
    <t>REG-2026-00210</t>
  </si>
  <si>
    <t>Student 2026_00210</t>
  </si>
  <si>
    <t>REG-2026-00576</t>
  </si>
  <si>
    <t>Student 2026_00576</t>
  </si>
  <si>
    <t>REG-2026-01122</t>
  </si>
  <si>
    <t>Student 2026_01122</t>
  </si>
  <si>
    <t>REG-2026-01353</t>
  </si>
  <si>
    <t>Student 2026_01353</t>
  </si>
  <si>
    <t>REG-2026-01527</t>
  </si>
  <si>
    <t>Student 2026_01527</t>
  </si>
  <si>
    <t>REG-2026-00183</t>
  </si>
  <si>
    <t>Student 2026_00183</t>
  </si>
  <si>
    <t>REG-2026-00769</t>
  </si>
  <si>
    <t>Student 2026_00769</t>
  </si>
  <si>
    <t>REG-2026-01123</t>
  </si>
  <si>
    <t>Student 2026_01123</t>
  </si>
  <si>
    <t>REG-2026-00509</t>
  </si>
  <si>
    <t>Student 2026_00509</t>
  </si>
  <si>
    <t>REG-2026-00023</t>
  </si>
  <si>
    <t>Student 2026_00023</t>
  </si>
  <si>
    <t>REG-2026-01629</t>
  </si>
  <si>
    <t>Student 2026_01629</t>
  </si>
  <si>
    <t>REG-2026-01120</t>
  </si>
  <si>
    <t>Student 2026_01120</t>
  </si>
  <si>
    <t>REG-2026-00548</t>
  </si>
  <si>
    <t>Student 2026_00548</t>
  </si>
  <si>
    <t>REG-2026-01289</t>
  </si>
  <si>
    <t>Student 2026_01289</t>
  </si>
  <si>
    <t>REG-2026-01364</t>
  </si>
  <si>
    <t>Student 2026_01364</t>
  </si>
  <si>
    <t>REG-2026-00420</t>
  </si>
  <si>
    <t>Student 2026_00420</t>
  </si>
  <si>
    <t>REG-2026-00086</t>
  </si>
  <si>
    <t>Student 2026_00086</t>
  </si>
  <si>
    <t>REG-2026-00370</t>
  </si>
  <si>
    <t>Student 2026_00370</t>
  </si>
  <si>
    <t>REG-2026-01751</t>
  </si>
  <si>
    <t>Student 2026_01751</t>
  </si>
  <si>
    <t>REG-2026-01294</t>
  </si>
  <si>
    <t>Student 2026_01294</t>
  </si>
  <si>
    <t>REG-2026-00734</t>
  </si>
  <si>
    <t>Student 2026_00734</t>
  </si>
  <si>
    <t>REG-2026-00230</t>
  </si>
  <si>
    <t>Student 2026_00230</t>
  </si>
  <si>
    <t>REG-2026-00790</t>
  </si>
  <si>
    <t>Student 2026_00790</t>
  </si>
  <si>
    <t>REG-2026-01457</t>
  </si>
  <si>
    <t>Student 2026_01457</t>
  </si>
  <si>
    <t>REG-2026-01240</t>
  </si>
  <si>
    <t>Student 2026_01240</t>
  </si>
  <si>
    <t>REG-2026-00250</t>
  </si>
  <si>
    <t>Student 2026_00250</t>
  </si>
  <si>
    <t>REG-2026-00365</t>
  </si>
  <si>
    <t>Student 2026_00365</t>
  </si>
  <si>
    <t>REG-2026-01626</t>
  </si>
  <si>
    <t>Student 2026_01626</t>
  </si>
  <si>
    <t>REG-2026-01044</t>
  </si>
  <si>
    <t>Student 2026_01044</t>
  </si>
  <si>
    <t>REG-2026-00189</t>
  </si>
  <si>
    <t>Student 2026_00189</t>
  </si>
  <si>
    <t>REG-2026-01137</t>
  </si>
  <si>
    <t>Student 2026_01137</t>
  </si>
  <si>
    <t>REG-2026-02036</t>
  </si>
  <si>
    <t>Student 2026_02036</t>
  </si>
  <si>
    <t>REG-2026-00479</t>
  </si>
  <si>
    <t>Student 2026_00479</t>
  </si>
  <si>
    <t>REG-2026-00335</t>
  </si>
  <si>
    <t>Student 2026_00335</t>
  </si>
  <si>
    <t>REG-2026-00911</t>
  </si>
  <si>
    <t>Student 2026_00911</t>
  </si>
  <si>
    <t>REG-2026-01488</t>
  </si>
  <si>
    <t>Student 2026_01488</t>
  </si>
  <si>
    <t>REG-2026-02115</t>
  </si>
  <si>
    <t>Student 2026_02115</t>
  </si>
  <si>
    <t>REG-2026-00725</t>
  </si>
  <si>
    <t>Student 2026_00725</t>
  </si>
  <si>
    <t>REG-2026-01928</t>
  </si>
  <si>
    <t>Student 2026_01928</t>
  </si>
  <si>
    <t>REG-2026-01551</t>
  </si>
  <si>
    <t>Student 2026_01551</t>
  </si>
  <si>
    <t>REG-2026-00140</t>
  </si>
  <si>
    <t>Student 2026_00140</t>
  </si>
  <si>
    <t>REG-2026-00076</t>
  </si>
  <si>
    <t>Student 2026_00076</t>
  </si>
  <si>
    <t>REG-2026-01104</t>
  </si>
  <si>
    <t>Student 2026_01104</t>
  </si>
  <si>
    <t>REG-2026-00985</t>
  </si>
  <si>
    <t>Student 2026_00985</t>
  </si>
  <si>
    <t>REG-2026-00535</t>
  </si>
  <si>
    <t>Student 2026_00535</t>
  </si>
  <si>
    <t>REG-2026-01083</t>
  </si>
  <si>
    <t>Student 2026_01083</t>
  </si>
  <si>
    <t>REG-2026-00366</t>
  </si>
  <si>
    <t>Student 2026_00366</t>
  </si>
  <si>
    <t>REG-2026-01313</t>
  </si>
  <si>
    <t>Student 2026_01313</t>
  </si>
  <si>
    <t>REG-2026-00074</t>
  </si>
  <si>
    <t>Student 2026_00074</t>
  </si>
  <si>
    <t>REG-2026-00260</t>
  </si>
  <si>
    <t>Student 2026_00260</t>
  </si>
  <si>
    <t>REG-2026-01336</t>
  </si>
  <si>
    <t>Student 2026_01336</t>
  </si>
  <si>
    <t>REG-2026-00292</t>
  </si>
  <si>
    <t>Student 2026_00292</t>
  </si>
  <si>
    <t>REG-2026-01492</t>
  </si>
  <si>
    <t>Student 2026_01492</t>
  </si>
  <si>
    <t>REG-2026-01074</t>
  </si>
  <si>
    <t>Student 2026_01074</t>
  </si>
  <si>
    <t>REG-2026-01958</t>
  </si>
  <si>
    <t>Student 2026_01958</t>
  </si>
  <si>
    <t>REG-2026-00293</t>
  </si>
  <si>
    <t>Student 2026_00293</t>
  </si>
  <si>
    <t>REG-2026-01540</t>
  </si>
  <si>
    <t>Student 2026_01540</t>
  </si>
  <si>
    <t>REG-2026-00976</t>
  </si>
  <si>
    <t>Student 2026_00976</t>
  </si>
  <si>
    <t>REG-2026-01985</t>
  </si>
  <si>
    <t>Student 2026_01985</t>
  </si>
  <si>
    <t>REG-2026-01270</t>
  </si>
  <si>
    <t>Student 2026_01270</t>
  </si>
  <si>
    <t>REG-2026-00297</t>
  </si>
  <si>
    <t>Student 2026_00297</t>
  </si>
  <si>
    <t>REG-2026-01274</t>
  </si>
  <si>
    <t>Student 2026_01274</t>
  </si>
  <si>
    <t>REG-2026-01863</t>
  </si>
  <si>
    <t>Student 2026_01863</t>
  </si>
  <si>
    <t>REG-2026-00661</t>
  </si>
  <si>
    <t>Student 2026_00661</t>
  </si>
  <si>
    <t>REG-2026-01438</t>
  </si>
  <si>
    <t>Student 2026_01438</t>
  </si>
  <si>
    <t>REG-2026-00202</t>
  </si>
  <si>
    <t>Student 2026_00202</t>
  </si>
  <si>
    <t>REG-2026-01787</t>
  </si>
  <si>
    <t>Student 2026_01787</t>
  </si>
  <si>
    <t>REG-2026-02066</t>
  </si>
  <si>
    <t>Student 2026_02066</t>
  </si>
  <si>
    <t>REG-2026-01853</t>
  </si>
  <si>
    <t>Student 2026_01853</t>
  </si>
  <si>
    <t>REG-2026-01649</t>
  </si>
  <si>
    <t>Student 2026_01649</t>
  </si>
  <si>
    <t>REG-2026-01012</t>
  </si>
  <si>
    <t>Student 2026_01012</t>
  </si>
  <si>
    <t>REG-2026-01050</t>
  </si>
  <si>
    <t>Student 2026_01050</t>
  </si>
  <si>
    <t>REG-2026-01319</t>
  </si>
  <si>
    <t>Student 2026_01319</t>
  </si>
  <si>
    <t>REG-2026-00418</t>
  </si>
  <si>
    <t>Student 2026_00418</t>
  </si>
  <si>
    <t>REG-2026-00917</t>
  </si>
  <si>
    <t>Student 2026_00917</t>
  </si>
  <si>
    <t>REG-2026-00624</t>
  </si>
  <si>
    <t>Student 2026_00624</t>
  </si>
  <si>
    <t>REG-2026-01160</t>
  </si>
  <si>
    <t>Student 2026_01160</t>
  </si>
  <si>
    <t>REG-2026-00762</t>
  </si>
  <si>
    <t>Student 2026_00762</t>
  </si>
  <si>
    <t>REG-2026-01052</t>
  </si>
  <si>
    <t>Student 2026_01052</t>
  </si>
  <si>
    <t>REG-2026-00439</t>
  </si>
  <si>
    <t>Student 2026_00439</t>
  </si>
  <si>
    <t>REG-2026-00029</t>
  </si>
  <si>
    <t>Student 2026_00029</t>
  </si>
  <si>
    <t>REG-2026-01990</t>
  </si>
  <si>
    <t>Student 2026_01990</t>
  </si>
  <si>
    <t>REG-2026-01460</t>
  </si>
  <si>
    <t>Student 2026_01460</t>
  </si>
  <si>
    <t>REG-2026-02126</t>
  </si>
  <si>
    <t>Student 2026_02126</t>
  </si>
  <si>
    <t>REG-2026-00953</t>
  </si>
  <si>
    <t>Student 2026_00953</t>
  </si>
  <si>
    <t>REG-2026-00795</t>
  </si>
  <si>
    <t>Student 2026_00795</t>
  </si>
  <si>
    <t>UNKNOWN</t>
  </si>
  <si>
    <t>A (short form)</t>
  </si>
  <si>
    <t>B (standard form)</t>
  </si>
  <si>
    <t xml:space="preserve">	International School Olympiad</t>
  </si>
  <si>
    <t>Variant</t>
  </si>
  <si>
    <t>Canonical</t>
  </si>
  <si>
    <t xml:space="preserve">	Delhi International School</t>
  </si>
  <si>
    <t xml:space="preserve">	Bright Future Academy</t>
  </si>
  <si>
    <t xml:space="preserve">	Correct Country</t>
  </si>
  <si>
    <t>2025 start</t>
  </si>
  <si>
    <t>2026 start</t>
  </si>
  <si>
    <t>2026 end</t>
  </si>
  <si>
    <t>Competition Name</t>
  </si>
  <si>
    <t>Total Registrations (2025</t>
  </si>
  <si>
    <t>Total Registrations (2026)</t>
  </si>
  <si>
    <t>Absolute Change</t>
  </si>
  <si>
    <t>Performance Status</t>
  </si>
  <si>
    <t>2025 end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</si>
  <si>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</si>
  <si>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</si>
  <si>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</si>
  <si>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</si>
  <si>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</si>
  <si>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</si>
  <si>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</si>
  <si>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</si>
  <si>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</si>
  <si>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Month</t>
  </si>
  <si>
    <t>Registrations 2025</t>
  </si>
  <si>
    <t>Registrations 2026</t>
  </si>
  <si>
    <t>Last-4-weeks % change</t>
  </si>
  <si>
    <t>Full-period % change</t>
  </si>
  <si>
    <t>Overall</t>
  </si>
  <si>
    <t xml:space="preserve">Last 4 weeks Registrations </t>
  </si>
  <si>
    <t>Last 4 weeks Registrations</t>
  </si>
  <si>
    <t>2025 recent start ( last 4 week )</t>
  </si>
  <si>
    <t>2026 recent start ( last 4 week )</t>
  </si>
  <si>
    <t>Total Registrations 2026</t>
  </si>
  <si>
    <t>Total Registrations 2025</t>
  </si>
  <si>
    <t>Overall YoY Growth %</t>
  </si>
  <si>
    <t>Competitions Growing</t>
  </si>
  <si>
    <t xml:space="preserve"> </t>
  </si>
  <si>
    <t>Bottom 3</t>
  </si>
  <si>
    <t>Top 3 Growing</t>
  </si>
  <si>
    <t>1. Overall, registrations are growing well — up 19.4% compared to last year</t>
  </si>
  <si>
    <t>2. Student Speaker Competition is our best performer this year</t>
  </si>
  <si>
    <t>3. AI &amp; Robotics Challenge, Winter Painting Competition, and Mathematics Olympiad are growing too, just slower than the rest</t>
  </si>
  <si>
    <t>4. Two competitions look strong overall, but have actually slowed down recently — this is the most important finding</t>
  </si>
  <si>
    <t>5. Young Innovators Challenge and Student Speaker Competition are picking up speed right now</t>
  </si>
  <si>
    <t>Key Observations:</t>
  </si>
  <si>
    <t>6. Some marketing channels are working better than others</t>
  </si>
  <si>
    <t>Recommendations:</t>
  </si>
  <si>
    <t>That's a good, healthy jump, and a positive sign as we head into the last few months of the year.</t>
  </si>
  <si>
    <t>Between Jan 1 and Sep 4, we went from 1,800 registrations last year to 2,150 this year,</t>
  </si>
  <si>
    <t xml:space="preserve">It grew 32.9% compared to last year (from 170 to 226 registrations) — the highest growth of any competition we run. </t>
  </si>
  <si>
    <t>Coding Olympiad (+26.1%) and Science Olympiad (+25.1%) come in right after it.</t>
  </si>
  <si>
    <t>These three are still doing better than last year (+10.0%, +11.6%, and +14.9%), so nothing is wrong here —</t>
  </si>
  <si>
    <t xml:space="preserve"> they're just growing at a slower pace than our 19.4% average, so they're worth keeping an eye on.</t>
  </si>
  <si>
    <t xml:space="preserve">School Olympiad and Science Olympiad look great when you check their full 8-month numbers (+19.7% and +25.1%). </t>
  </si>
  <si>
    <t xml:space="preserve">But when I checked just the last 4 weeks, their growth has almost stopped — only +3.4% and +6.9%. In other words, </t>
  </si>
  <si>
    <t xml:space="preserve">most of their growth happened earlier in the year, and things have gone quiet lately. If we only looked at the big yearly number, </t>
  </si>
  <si>
    <t>we'd have completely missed this — which is why I think it's worth flagging.</t>
  </si>
  <si>
    <t xml:space="preserve">In the last 4 weeks, these two grew much faster (+100% and +58.8%) than their overall yearly average. Something recent — </t>
  </si>
  <si>
    <t>maybe a marketing push or seasonal interest — seems to be working really well for them, and it might be worth trying the same thing for the slower competitions.</t>
  </si>
  <si>
    <t>Looking at how people are signing up, School Outreach (+26.3%) and Social Media (+25.0%) are bringing in the</t>
  </si>
  <si>
    <t xml:space="preserve"> most new growth this year, while WhatsApp (+13.7%) and Partner Schools (+15.3%) are growing the slowest. It might be worth</t>
  </si>
  <si>
    <t xml:space="preserve"> checking if we're spending marketing budget in the right places.</t>
  </si>
  <si>
    <r>
      <rPr>
        <sz val="16"/>
        <color theme="1"/>
        <rFont val="Calibri"/>
        <family val="2"/>
      </rPr>
      <t xml:space="preserve">● </t>
    </r>
    <r>
      <rPr>
        <sz val="16"/>
        <color theme="1"/>
        <rFont val="Calibri"/>
        <family val="2"/>
        <scheme val="minor"/>
      </rPr>
      <t xml:space="preserve">Take a closer look at why School Olympiad and Science Olympiad have slowed down recently. Their numbers were strong for </t>
    </r>
  </si>
  <si>
    <t>most of the year, but growth has almost stopped in the last 4 weeks. It might be worth checking if a particular marketing</t>
  </si>
  <si>
    <t xml:space="preserve"> channel or partner school stopped bringing in registrations recently, before this turns into a bigger drop</t>
  </si>
  <si>
    <t>● Try to figure out what worked for Young Innovators Challenge and Student Speaker Competition last month, since both</t>
  </si>
  <si>
    <t xml:space="preserve"> suddenly grew a lot faster than usual. If we can find out what caused that (a campaign, an email, a event, etc.), we could try doing the same </t>
  </si>
  <si>
    <t>thing for AI &amp; Robotics Challenge and Winter Painting Competition, since those two are growing the slowest right now.</t>
  </si>
  <si>
    <t>● Put more effort into School Outreach and Social Media, since these two are bringing in registrations faster than Website, Partner School,</t>
  </si>
  <si>
    <t xml:space="preserve"> and WhatsApp this year. It might make sense to shift a bit more time/budget toward these channels since they seem to be working better.</t>
  </si>
  <si>
    <t xml:space="preserve">● Try to keep the data cleaner from the start, so we don't have to fix the same issues every time (like competition names being </t>
  </si>
  <si>
    <t xml:space="preserve">typed two different ways, or dates being entered in different formats). If this is fixed at the point where someone fills the registration form, </t>
  </si>
  <si>
    <t>it'll save a lot of cleanup work next time this report needs to be made.</t>
  </si>
  <si>
    <t xml:space="preserve">           GEMA Education — Competition Registrations Dashboard (Jan 1 – Sep 4, 2025 vs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</si>
</sst>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71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6" xfId="1" applyNumberFormat="1" applyFont="1" applyBorder="1"/>
    <xf numFmtId="0" fontId="0" fillId="3" borderId="5" xfId="0" applyFill="1" applyBorder="1"/>
    <xf numFmtId="0" fontId="0" fillId="3" borderId="1" xfId="0" applyFill="1" applyBorder="1"/>
    <xf numFmtId="0" fontId="0" fillId="0" borderId="8" xfId="0" applyBorder="1"/>
    <xf numFmtId="10" fontId="0" fillId="3" borderId="6" xfId="0" applyNumberFormat="1" applyFill="1" applyBorder="1"/>
    <xf numFmtId="0" fontId="0" fillId="0" borderId="1" xfId="0" applyNumberFormat="1" applyBorder="1"/>
    <xf numFmtId="0" fontId="0" fillId="7" borderId="1" xfId="0" applyFill="1" applyBorder="1"/>
    <xf numFmtId="0" fontId="0" fillId="8" borderId="1" xfId="0" applyFill="1" applyBorder="1"/>
    <xf numFmtId="0" fontId="3" fillId="6" borderId="1" xfId="0" applyFont="1" applyFill="1" applyBorder="1"/>
    <xf numFmtId="0" fontId="0" fillId="9" borderId="1" xfId="0" applyFill="1" applyBorder="1"/>
    <xf numFmtId="171" fontId="0" fillId="4" borderId="1" xfId="0" applyNumberFormat="1" applyFill="1" applyBorder="1"/>
    <xf numFmtId="0" fontId="0" fillId="2" borderId="5" xfId="0" applyFont="1" applyFill="1" applyBorder="1"/>
    <xf numFmtId="0" fontId="0" fillId="0" borderId="5" xfId="0" applyFont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0" fillId="10" borderId="1" xfId="0" applyFill="1" applyBorder="1"/>
    <xf numFmtId="10" fontId="0" fillId="0" borderId="6" xfId="0" applyNumberFormat="1" applyBorder="1"/>
    <xf numFmtId="0" fontId="0" fillId="0" borderId="7" xfId="0" applyFont="1" applyBorder="1"/>
    <xf numFmtId="10" fontId="0" fillId="0" borderId="9" xfId="0" applyNumberFormat="1" applyBorder="1"/>
    <xf numFmtId="0" fontId="4" fillId="10" borderId="1" xfId="0" applyFont="1" applyFill="1" applyBorder="1"/>
    <xf numFmtId="0" fontId="7" fillId="11" borderId="0" xfId="0" applyFont="1" applyFill="1"/>
    <xf numFmtId="0" fontId="7" fillId="0" borderId="0" xfId="0" applyFont="1"/>
    <xf numFmtId="0" fontId="4" fillId="4" borderId="1" xfId="0" applyFont="1" applyFill="1" applyBorder="1"/>
    <xf numFmtId="10" fontId="4" fillId="4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6" fillId="10" borderId="1" xfId="0" applyFont="1" applyFill="1" applyBorder="1"/>
    <xf numFmtId="0" fontId="6" fillId="12" borderId="1" xfId="0" applyFont="1" applyFill="1" applyBorder="1"/>
    <xf numFmtId="0" fontId="9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Percent" xfId="1" builtinId="5"/>
  </cellStyles>
  <dxfs count="35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809]dd\ mmmm\ 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600" b="1" i="0" u="none" strike="noStrike" cap="none" normalizeH="0" baseline="0"/>
              <a:t>Monthly Registration Trend — 2025 vs 2026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Monthly_Trend!$B$1</c:f>
              <c:strCache>
                <c:ptCount val="1"/>
                <c:pt idx="0">
                  <c:v>Registrations 2025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4060419035705761E-2"/>
                  <c:y val="2.09327901538760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C-421A-85E8-6E3A99CC3681}"/>
                </c:ext>
              </c:extLst>
            </c:dLbl>
            <c:dLbl>
              <c:idx val="4"/>
              <c:layout>
                <c:manualLayout>
                  <c:x val="-2.7667678261448753E-2"/>
                  <c:y val="2.7366244929221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C-421A-85E8-6E3A99CC3681}"/>
                </c:ext>
              </c:extLst>
            </c:dLbl>
            <c:dLbl>
              <c:idx val="6"/>
              <c:layout>
                <c:manualLayout>
                  <c:x val="-2.7667678261448884E-2"/>
                  <c:y val="-2.7318120661217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C-421A-85E8-6E3A99CC3681}"/>
                </c:ext>
              </c:extLst>
            </c:dLbl>
            <c:dLbl>
              <c:idx val="7"/>
              <c:layout>
                <c:manualLayout>
                  <c:x val="-4.209671516442072E-2"/>
                  <c:y val="3.058297231689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C-421A-85E8-6E3A99CC3681}"/>
                </c:ext>
              </c:extLst>
            </c:dLbl>
            <c:dLbl>
              <c:idx val="8"/>
              <c:layout>
                <c:manualLayout>
                  <c:x val="-3.2573550808459223E-2"/>
                  <c:y val="8.065880603184392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2C-421A-85E8-6E3A99CC36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Monthly_Trend!$A$2:$A$10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Monthly_Trend!$B$2:$B$10</c:f>
              <c:numCache>
                <c:formatCode>General</c:formatCode>
                <c:ptCount val="9"/>
                <c:pt idx="0">
                  <c:v>229</c:v>
                </c:pt>
                <c:pt idx="1">
                  <c:v>193</c:v>
                </c:pt>
                <c:pt idx="2">
                  <c:v>218</c:v>
                </c:pt>
                <c:pt idx="3">
                  <c:v>221</c:v>
                </c:pt>
                <c:pt idx="4">
                  <c:v>234</c:v>
                </c:pt>
                <c:pt idx="5">
                  <c:v>209</c:v>
                </c:pt>
                <c:pt idx="6">
                  <c:v>250</c:v>
                </c:pt>
                <c:pt idx="7">
                  <c:v>216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2C-421A-85E8-6E3A99CC3681}"/>
            </c:ext>
          </c:extLst>
        </c:ser>
        <c:ser>
          <c:idx val="1"/>
          <c:order val="1"/>
          <c:tx>
            <c:strRef>
              <c:f>Monthly_Trend!$C$1</c:f>
              <c:strCache>
                <c:ptCount val="1"/>
                <c:pt idx="0">
                  <c:v>Registrations 2026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4060419035705761E-2"/>
                  <c:y val="-3.69683028242359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2C-421A-85E8-6E3A99CC3681}"/>
                </c:ext>
              </c:extLst>
            </c:dLbl>
            <c:dLbl>
              <c:idx val="6"/>
              <c:layout>
                <c:manualLayout>
                  <c:x val="-2.4060419035705761E-2"/>
                  <c:y val="2.0932790153876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2C-421A-85E8-6E3A99CC3681}"/>
                </c:ext>
              </c:extLst>
            </c:dLbl>
            <c:dLbl>
              <c:idx val="8"/>
              <c:layout>
                <c:manualLayout>
                  <c:x val="-1.453725467974426E-2"/>
                  <c:y val="-3.37515754365630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2C-421A-85E8-6E3A99CC36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Monthly_Trend!$A$2:$A$10</c:f>
              <c:strCache>
                <c:ptCount val="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</c:strCache>
            </c:strRef>
          </c:cat>
          <c:val>
            <c:numRef>
              <c:f>Monthly_Trend!$C$2:$C$10</c:f>
              <c:numCache>
                <c:formatCode>General</c:formatCode>
                <c:ptCount val="9"/>
                <c:pt idx="0">
                  <c:v>287</c:v>
                </c:pt>
                <c:pt idx="1">
                  <c:v>228</c:v>
                </c:pt>
                <c:pt idx="2">
                  <c:v>288</c:v>
                </c:pt>
                <c:pt idx="3">
                  <c:v>224</c:v>
                </c:pt>
                <c:pt idx="4">
                  <c:v>273</c:v>
                </c:pt>
                <c:pt idx="5">
                  <c:v>282</c:v>
                </c:pt>
                <c:pt idx="6">
                  <c:v>238</c:v>
                </c:pt>
                <c:pt idx="7">
                  <c:v>288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32C-421A-85E8-6E3A99CC36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084240"/>
        <c:axId val="168168943"/>
      </c:lineChart>
      <c:catAx>
        <c:axId val="14408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68943"/>
        <c:crosses val="autoZero"/>
        <c:auto val="1"/>
        <c:lblAlgn val="ctr"/>
        <c:lblOffset val="100"/>
        <c:noMultiLvlLbl val="0"/>
      </c:catAx>
      <c:valAx>
        <c:axId val="16816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Registrations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842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Competition-wise YoY Growth %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Comparison!$E$8</c:f>
              <c:strCache>
                <c:ptCount val="1"/>
                <c:pt idx="0">
                  <c:v>Full-period %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Comparison!$A$9:$A$16</c:f>
              <c:strCache>
                <c:ptCount val="8"/>
                <c:pt idx="0">
                  <c:v>Student Speaker Competition</c:v>
                </c:pt>
                <c:pt idx="1">
                  <c:v>International Coding Olympiad</c:v>
                </c:pt>
                <c:pt idx="2">
                  <c:v>International Science Olympiad</c:v>
                </c:pt>
                <c:pt idx="3">
                  <c:v>International School Olympiad</c:v>
                </c:pt>
                <c:pt idx="4">
                  <c:v>Young Innovators Challenge</c:v>
                </c:pt>
                <c:pt idx="5">
                  <c:v>International Mathematics Olympiad</c:v>
                </c:pt>
                <c:pt idx="6">
                  <c:v>Winter Painting Competition</c:v>
                </c:pt>
                <c:pt idx="7">
                  <c:v>AI &amp; Robotics Challenge</c:v>
                </c:pt>
              </c:strCache>
            </c:strRef>
          </c:cat>
          <c:val>
            <c:numRef>
              <c:f>Comparison!$E$9:$E$16</c:f>
              <c:numCache>
                <c:formatCode>0.00%</c:formatCode>
                <c:ptCount val="8"/>
                <c:pt idx="0">
                  <c:v>0.32941176470588235</c:v>
                </c:pt>
                <c:pt idx="1">
                  <c:v>0.26101694915254237</c:v>
                </c:pt>
                <c:pt idx="2">
                  <c:v>0.25110132158590309</c:v>
                </c:pt>
                <c:pt idx="3">
                  <c:v>0.19724770642201836</c:v>
                </c:pt>
                <c:pt idx="4">
                  <c:v>0.15789473684210525</c:v>
                </c:pt>
                <c:pt idx="5">
                  <c:v>0.14925373134328357</c:v>
                </c:pt>
                <c:pt idx="6">
                  <c:v>0.11585365853658537</c:v>
                </c:pt>
                <c:pt idx="7">
                  <c:v>0.10040160642570281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C-4667-BDB8-5D7957128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5537167"/>
        <c:axId val="168183823"/>
      </c:barChart>
      <c:catAx>
        <c:axId val="185537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Competitions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83823"/>
        <c:crosses val="autoZero"/>
        <c:auto val="1"/>
        <c:lblAlgn val="ctr"/>
        <c:lblOffset val="100"/>
        <c:noMultiLvlLbl val="0"/>
      </c:catAx>
      <c:valAx>
        <c:axId val="16818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8869540008355841"/>
          <c:y val="0.88961001067320844"/>
          <c:w val="0.27507570012512211"/>
          <c:h val="9.3073976732732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1195387</xdr:colOff>
      <xdr:row>5</xdr:row>
      <xdr:rowOff>9524</xdr:rowOff>
    </xdr:from>
    <xdr:to>
      <xdr:col>6</xdr:col>
      <xdr:colOff>1795461</xdr:colOff>
      <xdr:row>25</xdr:row>
      <xdr:rowOff>47624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6B6A01-CE9F-42E9-8A84-E9296B181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180976</xdr:colOff>
      <xdr:row>5</xdr:row>
      <xdr:rowOff>9523</xdr:rowOff>
    </xdr:from>
    <xdr:to>
      <xdr:col>3</xdr:col>
      <xdr:colOff>947738</xdr:colOff>
      <xdr:row>25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C10093-F706-4F9C-BEAF-A1A00380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EA96BD-D314-4135-BBCA-BA1F8124E190}" autoFormatId="16" applyNumberFormats="0" applyBorderFormats="0" applyFontFormats="0" applyPatternFormats="0" applyAlignmentFormats="0" applyWidthHeightFormats="0">
  <queryTableRefresh nextId="17">
    <queryTableFields count="9">
      <queryTableField id="1" name="Registration ID" tableColumnId="1"/>
      <queryTableField id="2" name="Registration Date" tableColumnId="2"/>
      <queryTableField id="3" name="Competition" tableColumnId="3"/>
      <queryTableField id="4" name="Student Name" tableColumnId="4"/>
      <queryTableField id="5" name="School" tableColumnId="5"/>
      <queryTableField id="6" name="Grade" tableColumnId="6"/>
      <queryTableField id="7" name="City" tableColumnId="7"/>
      <queryTableField id="8" name="Country" tableColumnId="8"/>
      <queryTableField id="9" name="Registration Sourc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3087943-C98F-41B4-8846-C615A52D577E}" autoFormatId="16" applyNumberFormats="0" applyBorderFormats="0" applyFontFormats="0" applyPatternFormats="0" applyAlignmentFormats="0" applyWidthHeightFormats="0">
  <queryTableRefresh nextId="13">
    <queryTableFields count="9">
      <queryTableField id="1" name="Registration ID" tableColumnId="1"/>
      <queryTableField id="2" name="Registration Date" tableColumnId="2"/>
      <queryTableField id="3" name="Competition" tableColumnId="3"/>
      <queryTableField id="4" name="Student Name" tableColumnId="4"/>
      <queryTableField id="5" name="School" tableColumnId="5"/>
      <queryTableField id="6" name="Grade" tableColumnId="6"/>
      <queryTableField id="7" name="City" tableColumnId="7"/>
      <queryTableField id="8" name="Country" tableColumnId="8"/>
      <queryTableField id="9" name="Registration Sourc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414F9-FBD4-48CE-879E-782D82EAFBFC}" name="Registrations" displayName="Registrations" ref="A1:I1801" tableType="queryTable" totalsRowShown="0">
  <autoFilter ref="A1:I1801" xr:uid="{39D414F9-FBD4-48CE-879E-782D82EAFBFC}"/>
  <tableColumns count="9">
    <tableColumn id="1" xr3:uid="{CD562E31-D8BA-483A-9CC0-ABF178DC59AE}" uniqueName="1" name="Registration ID" queryTableFieldId="1" dataDxfId="34"/>
    <tableColumn id="2" xr3:uid="{1CF13A89-133F-4AA9-82D7-B687FBD95E56}" uniqueName="2" name="Registration Date" queryTableFieldId="2" dataDxfId="33"/>
    <tableColumn id="3" xr3:uid="{F2443883-E376-4114-855E-6372B8E6667B}" uniqueName="3" name="Competition" queryTableFieldId="3" dataDxfId="32"/>
    <tableColumn id="4" xr3:uid="{5D3D488A-3A9A-4404-B647-55B2524127A3}" uniqueName="4" name="Student Name" queryTableFieldId="4" dataDxfId="31"/>
    <tableColumn id="5" xr3:uid="{CFB44F7E-5072-4E39-BD1C-1D73C8EE9850}" uniqueName="5" name="School" queryTableFieldId="5" dataDxfId="30"/>
    <tableColumn id="6" xr3:uid="{21F9AB95-0257-4E45-A5AE-2AA5E4B44A25}" uniqueName="6" name="Grade" queryTableFieldId="6"/>
    <tableColumn id="7" xr3:uid="{9F9F954E-C6C0-4E5C-8B9F-F5CAD72D558F}" uniqueName="7" name="City" queryTableFieldId="7" dataDxfId="29"/>
    <tableColumn id="8" xr3:uid="{EF442779-C88C-4B46-B023-B63B89B6D20F}" uniqueName="8" name="Country" queryTableFieldId="8" dataDxfId="28"/>
    <tableColumn id="9" xr3:uid="{5880C137-F5B9-429B-A766-67589A46367C}" uniqueName="9" name="Registration Source" queryTableFieldId="9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8B5735-8D13-4843-AF21-3DF59A5C8EDC}" name="Registrations__3" displayName="Registrations__3" ref="A1:I2151" tableType="queryTable" totalsRowShown="0">
  <autoFilter ref="A1:I2151" xr:uid="{DB8B5735-8D13-4843-AF21-3DF59A5C8EDC}"/>
  <tableColumns count="9">
    <tableColumn id="1" xr3:uid="{F584BE92-0583-40A8-BC2C-1BF4A38F4730}" uniqueName="1" name="Registration ID" queryTableFieldId="1" dataDxfId="26"/>
    <tableColumn id="2" xr3:uid="{9BCDB8A9-FF08-4F8E-862F-E63EC341EB1F}" uniqueName="2" name="Registration Date" queryTableFieldId="2" dataDxfId="25"/>
    <tableColumn id="3" xr3:uid="{40DB19DE-3732-46A4-9FE8-5FC650F71462}" uniqueName="3" name="Competition" queryTableFieldId="3" dataDxfId="24"/>
    <tableColumn id="4" xr3:uid="{3B28F1C8-F17F-4A35-A62F-D6C5FC97B520}" uniqueName="4" name="Student Name" queryTableFieldId="4" dataDxfId="23"/>
    <tableColumn id="5" xr3:uid="{B34FB678-0E76-4088-9CE8-47C970195B5F}" uniqueName="5" name="School" queryTableFieldId="5" dataDxfId="22"/>
    <tableColumn id="6" xr3:uid="{FB34804F-8D8B-4637-B849-C1D47DED5EF2}" uniqueName="6" name="Grade" queryTableFieldId="6"/>
    <tableColumn id="7" xr3:uid="{BCFAB840-D04B-4B49-A708-41BAD5C885B8}" uniqueName="7" name="City" queryTableFieldId="7" dataDxfId="21"/>
    <tableColumn id="8" xr3:uid="{1AE6277E-D4C4-4366-B22A-59130B13EE31}" uniqueName="8" name="Country" queryTableFieldId="8" dataDxfId="20"/>
    <tableColumn id="9" xr3:uid="{2549D72A-850E-4FB5-B4A7-DF226E593A2C}" uniqueName="9" name="Registration Source" queryTableFieldId="9" dataDxfId="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9921D6-93DB-4537-BF41-C512C9890656}" name="Table6" displayName="Table6" ref="D1:E30" totalsRowShown="0">
  <autoFilter ref="D1:E30" xr:uid="{B39921D6-93DB-4537-BF41-C512C9890656}"/>
  <tableColumns count="2">
    <tableColumn id="1" xr3:uid="{2DE51C62-C4DA-4A57-BE9C-80F92101E92F}" name="Variant"/>
    <tableColumn id="2" xr3:uid="{C5069611-80D9-4703-BB00-99C8A66DAB6B}" name="Canonic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578589-5A1A-42EF-AFD1-02BB9066B570}" name="Table10" displayName="Table10" ref="A1:B5" totalsRowShown="0">
  <autoFilter ref="A1:B5" xr:uid="{04578589-5A1A-42EF-AFD1-02BB9066B570}"/>
  <tableColumns count="2">
    <tableColumn id="1" xr3:uid="{938FCD2E-D362-4CFA-A760-B1AFD8943F54}" name="A (short form)"/>
    <tableColumn id="2" xr3:uid="{ADF0CF7D-A4DE-48AF-87DB-004088CAD321}" name="B (standard form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8E3018-DA41-4065-99C3-D43ED62FCF98}" name="Table11" displayName="Table11" ref="G1:H9" totalsRowShown="0">
  <autoFilter ref="G1:H9" xr:uid="{C88E3018-DA41-4065-99C3-D43ED62FCF98}"/>
  <tableColumns count="2">
    <tableColumn id="1" xr3:uid="{3FCA7E54-7A8E-4A1E-8A9B-DEC361DBEACD}" name="City"/>
    <tableColumn id="2" xr3:uid="{6659216D-04C8-4925-B1E0-8AB8C6C80101}" name="_x0009_Correct Count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34A776A-4393-44CF-87E0-68587D93E7BC}" name="Table9" displayName="Table9" ref="A8:F17" totalsRowShown="0" headerRowDxfId="18" headerRowBorderDxfId="17" tableBorderDxfId="16" totalsRowBorderDxfId="15">
  <autoFilter ref="A8:F17" xr:uid="{B34A776A-4393-44CF-87E0-68587D93E7BC}"/>
  <sortState xmlns:xlrd2="http://schemas.microsoft.com/office/spreadsheetml/2017/richdata2" ref="A9:F17">
    <sortCondition descending="1" ref="E9:E17"/>
  </sortState>
  <tableColumns count="6">
    <tableColumn id="1" xr3:uid="{49643C8E-78EB-439B-A6C9-27EAC334B141}" name="Competition Name" dataDxfId="14"/>
    <tableColumn id="2" xr3:uid="{F133BD59-F99D-43ED-A64E-D81550C32EE4}" name="Total Registrations (2025" dataDxfId="13"/>
    <tableColumn id="3" xr3:uid="{F0223EAE-F8E9-4944-8C5E-C5886AC3160E}" name="Total Registrations (2026)" dataDxfId="12"/>
    <tableColumn id="4" xr3:uid="{95CDBBE9-611F-4145-8BB7-47A427E2A7B7}" name="Absolute Change" dataDxfId="11">
      <calculatedColumnFormula>C9 - B9</calculatedColumnFormula>
    </tableColumn>
    <tableColumn id="5" xr3:uid="{B266A19F-853F-4EDF-9423-D0DEBCCC8723}" name="Full-period % change" dataDxfId="10" dataCellStyle="Percent"/>
    <tableColumn id="6" xr3:uid="{FFA56CFA-2C6C-445E-8074-5E078167C1FC}" name="Performance Status" dataDxfId="0">
      <calculatedColumnFormula>IF(D9 &gt; 0, "Growing", IF(D9 &lt; 0, "Worse", "No Change"))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4F2095-88C4-477F-A868-847AE4CA084E}" name="Table2" displayName="Table2" ref="A19:E27" totalsRowShown="0" headerRowDxfId="1" headerRowBorderDxfId="8" tableBorderDxfId="9" totalsRowBorderDxfId="7">
  <autoFilter ref="A19:E27" xr:uid="{214F2095-88C4-477F-A868-847AE4CA084E}"/>
  <tableColumns count="5">
    <tableColumn id="1" xr3:uid="{E8B8AAFA-0C13-4307-93EF-E9744E989726}" name="Competition Name" dataDxfId="6"/>
    <tableColumn id="2" xr3:uid="{7DD761FA-4591-4B8A-BAE9-604772309149}" name="Last 4 weeks Registrations " dataDxfId="5">
      <calculatedColumnFormula>COUNTIFS(Cleaned_2025!$C:$C, A20, Cleaned_2025!$B:$B, "&gt;"&amp;$B$5, Cleaned_2025!$B:$B, "&lt;="&amp;$B$4)</calculatedColumnFormula>
    </tableColumn>
    <tableColumn id="3" xr3:uid="{2B7B4B9B-141C-4E4B-B4F1-05A97F7E9854}" name="Last 4 weeks Registrations" dataDxfId="4">
      <calculatedColumnFormula>COUNTIFS(Cleaned_2026!$C:$C, $A20, Cleaned_2026!$B:$B, "&gt;"&amp;$B$6, Cleaned_2026!$B:$B, "&lt;="&amp;$B$4)</calculatedColumnFormula>
    </tableColumn>
    <tableColumn id="4" xr3:uid="{28924453-D80B-4C9E-8DC8-89492338CB20}" name="Absolute Change" dataDxfId="3">
      <calculatedColumnFormula>C20-B20</calculatedColumnFormula>
    </tableColumn>
    <tableColumn id="5" xr3:uid="{E69126A9-1EA2-4FB3-91D1-CBFDF0F0E302}" name="Last-4-weeks % change" dataDxfId="2">
      <calculatedColumnFormula>IFERROR((C20-B20)/B20,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7FF7-24E7-42B1-90FC-3ABD7BFF679B}">
  <dimension ref="A1:H77"/>
  <sheetViews>
    <sheetView tabSelected="1" zoomScale="55" zoomScaleNormal="55" workbookViewId="0">
      <selection activeCell="B33" sqref="B33"/>
    </sheetView>
  </sheetViews>
  <sheetFormatPr defaultRowHeight="14.25" x14ac:dyDescent="0.45"/>
  <cols>
    <col min="2" max="2" width="30.46484375" customWidth="1"/>
    <col min="3" max="3" width="33" bestFit="1" customWidth="1"/>
    <col min="4" max="4" width="26.796875" bestFit="1" customWidth="1"/>
    <col min="5" max="5" width="27.53125" bestFit="1" customWidth="1"/>
    <col min="6" max="6" width="25.46484375" bestFit="1" customWidth="1"/>
    <col min="7" max="7" width="30.06640625" bestFit="1" customWidth="1"/>
  </cols>
  <sheetData>
    <row r="1" spans="1:8" ht="30.75" x14ac:dyDescent="0.9">
      <c r="A1" t="s">
        <v>8008</v>
      </c>
      <c r="B1" s="29" t="s">
        <v>8045</v>
      </c>
      <c r="C1" s="29"/>
      <c r="D1" s="29"/>
      <c r="E1" s="29"/>
      <c r="F1" s="29"/>
      <c r="G1" s="29"/>
      <c r="H1" s="30"/>
    </row>
    <row r="3" spans="1:8" ht="21" x14ac:dyDescent="0.65">
      <c r="B3" s="35" t="s">
        <v>8004</v>
      </c>
      <c r="C3" s="35" t="s">
        <v>8005</v>
      </c>
      <c r="D3" s="35" t="s">
        <v>8006</v>
      </c>
      <c r="E3" s="35" t="s">
        <v>8007</v>
      </c>
    </row>
    <row r="4" spans="1:8" ht="15.75" x14ac:dyDescent="0.5">
      <c r="B4" s="31">
        <f>Comparison!C17</f>
        <v>2150</v>
      </c>
      <c r="C4" s="31">
        <f>Comparison!B17</f>
        <v>1800</v>
      </c>
      <c r="D4" s="32">
        <f>Comparison!E17</f>
        <v>0.19444444444444445</v>
      </c>
      <c r="E4" s="31" t="str">
        <f>COUNTIF(Comparison!F9:F16,"Growing")&amp;" / 8"</f>
        <v>8 / 8</v>
      </c>
    </row>
    <row r="28" spans="2:3" ht="21" x14ac:dyDescent="0.65">
      <c r="B28" s="36" t="s">
        <v>8010</v>
      </c>
      <c r="C28" s="36" t="s">
        <v>8009</v>
      </c>
    </row>
    <row r="29" spans="2:3" ht="15.75" x14ac:dyDescent="0.5">
      <c r="B29" s="28" t="str">
        <f>INDEX(Comparison!$A$6:$A$13, MATCH(LARGE(Comparison!$E$6:$E$13,1), Comparison!$E$6:$E$13,0))</f>
        <v>Student Speaker Competition</v>
      </c>
      <c r="C29" s="28" t="str">
        <f>INDEX(Comparison!$A$11:$A$18, MATCH(SMALL(Comparison!$E$11:$E$18, 1), Comparison!$E$11:$E$18, 0))</f>
        <v>AI &amp; Robotics Challenge</v>
      </c>
    </row>
    <row r="30" spans="2:3" ht="15.75" x14ac:dyDescent="0.5">
      <c r="B30" s="28" t="str">
        <f>INDEX(Comparison!$A$6:$A$13, MATCH(LARGE(Comparison!$E$6:$E$13,2), Comparison!$E$6:$E$13,0))</f>
        <v>International Coding Olympiad</v>
      </c>
      <c r="C30" s="28" t="str">
        <f>INDEX(Comparison!$A$11:$A$18, MATCH(SMALL(Comparison!$E$11:$E$18, 2), Comparison!$E$11:$E$18, 0))</f>
        <v>Winter Painting Competition</v>
      </c>
    </row>
    <row r="31" spans="2:3" ht="15.75" x14ac:dyDescent="0.5">
      <c r="B31" s="28" t="str">
        <f>INDEX(Comparison!$A$6:$A$13, MATCH(LARGE(Comparison!$E$6:$E$13,3), Comparison!$E$6:$E$13,0))</f>
        <v>International Science Olympiad</v>
      </c>
      <c r="C31" s="28" t="str">
        <f>INDEX(Comparison!$A$11:$A$18, MATCH(SMALL(Comparison!$E$11:$E$18, 3), Comparison!$E$11:$E$18, 0))</f>
        <v>International Mathematics Olympiad</v>
      </c>
    </row>
    <row r="33" spans="2:2" ht="25.5" x14ac:dyDescent="0.45">
      <c r="B33" s="37" t="s">
        <v>8016</v>
      </c>
    </row>
    <row r="35" spans="2:2" ht="21" x14ac:dyDescent="0.65">
      <c r="B35" s="38" t="s">
        <v>8011</v>
      </c>
    </row>
    <row r="36" spans="2:2" ht="18" x14ac:dyDescent="0.55000000000000004">
      <c r="B36" s="33" t="s">
        <v>8020</v>
      </c>
    </row>
    <row r="37" spans="2:2" ht="18" x14ac:dyDescent="0.55000000000000004">
      <c r="B37" s="33" t="s">
        <v>8019</v>
      </c>
    </row>
    <row r="39" spans="2:2" ht="21" x14ac:dyDescent="0.65">
      <c r="B39" s="38" t="s">
        <v>8012</v>
      </c>
    </row>
    <row r="40" spans="2:2" ht="18" x14ac:dyDescent="0.55000000000000004">
      <c r="B40" s="33" t="s">
        <v>8021</v>
      </c>
    </row>
    <row r="41" spans="2:2" ht="18" x14ac:dyDescent="0.55000000000000004">
      <c r="B41" s="33" t="s">
        <v>8022</v>
      </c>
    </row>
    <row r="43" spans="2:2" ht="21" x14ac:dyDescent="0.65">
      <c r="B43" s="38" t="s">
        <v>8013</v>
      </c>
    </row>
    <row r="44" spans="2:2" ht="18" x14ac:dyDescent="0.55000000000000004">
      <c r="B44" s="33" t="s">
        <v>8023</v>
      </c>
    </row>
    <row r="45" spans="2:2" ht="18" x14ac:dyDescent="0.55000000000000004">
      <c r="B45" s="33" t="s">
        <v>8024</v>
      </c>
    </row>
    <row r="47" spans="2:2" ht="21" x14ac:dyDescent="0.65">
      <c r="B47" s="38" t="s">
        <v>8014</v>
      </c>
    </row>
    <row r="48" spans="2:2" ht="18" x14ac:dyDescent="0.55000000000000004">
      <c r="B48" s="33" t="s">
        <v>8025</v>
      </c>
    </row>
    <row r="49" spans="2:3" ht="18" x14ac:dyDescent="0.55000000000000004">
      <c r="B49" s="33" t="s">
        <v>8026</v>
      </c>
    </row>
    <row r="50" spans="2:3" ht="18" x14ac:dyDescent="0.55000000000000004">
      <c r="B50" s="33" t="s">
        <v>8027</v>
      </c>
    </row>
    <row r="51" spans="2:3" ht="18" x14ac:dyDescent="0.55000000000000004">
      <c r="B51" s="33" t="s">
        <v>8028</v>
      </c>
    </row>
    <row r="53" spans="2:3" ht="21" x14ac:dyDescent="0.65">
      <c r="B53" s="38" t="s">
        <v>8015</v>
      </c>
    </row>
    <row r="54" spans="2:3" ht="18" x14ac:dyDescent="0.55000000000000004">
      <c r="B54" s="33" t="s">
        <v>8029</v>
      </c>
    </row>
    <row r="55" spans="2:3" ht="18" x14ac:dyDescent="0.55000000000000004">
      <c r="B55" s="33" t="s">
        <v>8030</v>
      </c>
    </row>
    <row r="57" spans="2:3" ht="21" x14ac:dyDescent="0.65">
      <c r="B57" s="38" t="s">
        <v>8017</v>
      </c>
    </row>
    <row r="58" spans="2:3" ht="18" x14ac:dyDescent="0.55000000000000004">
      <c r="B58" s="33" t="s">
        <v>8031</v>
      </c>
    </row>
    <row r="59" spans="2:3" ht="18" x14ac:dyDescent="0.55000000000000004">
      <c r="B59" s="33" t="s">
        <v>8032</v>
      </c>
    </row>
    <row r="60" spans="2:3" ht="18" x14ac:dyDescent="0.55000000000000004">
      <c r="B60" s="33" t="s">
        <v>8033</v>
      </c>
    </row>
    <row r="62" spans="2:3" ht="25.5" x14ac:dyDescent="0.75">
      <c r="B62" s="39" t="s">
        <v>8018</v>
      </c>
    </row>
    <row r="64" spans="2:3" ht="21" x14ac:dyDescent="0.65">
      <c r="B64" s="34" t="s">
        <v>8034</v>
      </c>
      <c r="C64" s="34"/>
    </row>
    <row r="65" spans="2:3" ht="21" x14ac:dyDescent="0.65">
      <c r="B65" s="34" t="s">
        <v>8035</v>
      </c>
      <c r="C65" s="34"/>
    </row>
    <row r="66" spans="2:3" ht="21" x14ac:dyDescent="0.65">
      <c r="B66" s="34" t="s">
        <v>8036</v>
      </c>
      <c r="C66" s="34"/>
    </row>
    <row r="67" spans="2:3" ht="21" x14ac:dyDescent="0.65">
      <c r="B67" s="34"/>
      <c r="C67" s="34"/>
    </row>
    <row r="68" spans="2:3" ht="21" x14ac:dyDescent="0.65">
      <c r="B68" s="34" t="s">
        <v>8037</v>
      </c>
      <c r="C68" s="34"/>
    </row>
    <row r="69" spans="2:3" ht="21" x14ac:dyDescent="0.65">
      <c r="B69" s="34" t="s">
        <v>8038</v>
      </c>
      <c r="C69" s="34"/>
    </row>
    <row r="70" spans="2:3" ht="21" x14ac:dyDescent="0.65">
      <c r="B70" s="34" t="s">
        <v>8039</v>
      </c>
      <c r="C70" s="34"/>
    </row>
    <row r="71" spans="2:3" ht="21" x14ac:dyDescent="0.65">
      <c r="B71" s="34"/>
      <c r="C71" s="34"/>
    </row>
    <row r="72" spans="2:3" ht="21" x14ac:dyDescent="0.65">
      <c r="B72" s="34" t="s">
        <v>8040</v>
      </c>
      <c r="C72" s="34"/>
    </row>
    <row r="73" spans="2:3" ht="21" x14ac:dyDescent="0.65">
      <c r="B73" s="34" t="s">
        <v>8041</v>
      </c>
      <c r="C73" s="34"/>
    </row>
    <row r="74" spans="2:3" ht="21" x14ac:dyDescent="0.65">
      <c r="B74" s="34"/>
      <c r="C74" s="34"/>
    </row>
    <row r="75" spans="2:3" ht="21" x14ac:dyDescent="0.65">
      <c r="B75" s="34" t="s">
        <v>8042</v>
      </c>
      <c r="C75" s="34"/>
    </row>
    <row r="76" spans="2:3" ht="21" x14ac:dyDescent="0.65">
      <c r="B76" s="34" t="s">
        <v>8043</v>
      </c>
      <c r="C76" s="34"/>
    </row>
    <row r="77" spans="2:3" ht="21" x14ac:dyDescent="0.65">
      <c r="B77" s="34" t="s">
        <v>8044</v>
      </c>
      <c r="C77" s="3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9301-0FB9-4700-8386-EA0781E62EC0}">
  <dimension ref="A1:I1801"/>
  <sheetViews>
    <sheetView zoomScaleNormal="100" workbookViewId="0">
      <selection activeCell="K1789" sqref="K1789"/>
    </sheetView>
  </sheetViews>
  <sheetFormatPr defaultRowHeight="14.25" x14ac:dyDescent="0.45"/>
  <cols>
    <col min="1" max="1" width="15" bestFit="1" customWidth="1"/>
    <col min="2" max="2" width="17.06640625" bestFit="1" customWidth="1"/>
    <col min="3" max="3" width="30.06640625" bestFit="1" customWidth="1"/>
    <col min="4" max="4" width="18.796875" customWidth="1"/>
    <col min="5" max="5" width="33.9296875" bestFit="1" customWidth="1"/>
    <col min="6" max="6" width="7.796875" bestFit="1" customWidth="1"/>
    <col min="7" max="7" width="9.796875" bestFit="1" customWidth="1"/>
    <col min="8" max="8" width="9.3984375" bestFit="1" customWidth="1"/>
    <col min="9" max="9" width="18.79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s="2">
        <v>45698</v>
      </c>
      <c r="C2" t="s">
        <v>10</v>
      </c>
      <c r="D2" t="s">
        <v>11</v>
      </c>
      <c r="E2" t="s">
        <v>7974</v>
      </c>
      <c r="F2">
        <v>8</v>
      </c>
      <c r="G2" t="s">
        <v>13</v>
      </c>
      <c r="H2" t="s">
        <v>14</v>
      </c>
      <c r="I2" t="s">
        <v>7967</v>
      </c>
    </row>
    <row r="3" spans="1:9" x14ac:dyDescent="0.45">
      <c r="A3" t="s">
        <v>15</v>
      </c>
      <c r="B3" s="2">
        <v>45882</v>
      </c>
      <c r="C3" t="s">
        <v>16</v>
      </c>
      <c r="D3" t="s">
        <v>17</v>
      </c>
      <c r="E3" t="s">
        <v>7967</v>
      </c>
      <c r="F3">
        <v>4</v>
      </c>
      <c r="G3" t="s">
        <v>18</v>
      </c>
      <c r="H3" t="s">
        <v>14</v>
      </c>
      <c r="I3" t="s">
        <v>19</v>
      </c>
    </row>
    <row r="4" spans="1:9" x14ac:dyDescent="0.45">
      <c r="A4" t="s">
        <v>20</v>
      </c>
      <c r="B4" s="2">
        <v>45877</v>
      </c>
      <c r="C4" t="s">
        <v>21</v>
      </c>
      <c r="D4" t="s">
        <v>22</v>
      </c>
      <c r="E4" t="s">
        <v>23</v>
      </c>
      <c r="F4">
        <v>2</v>
      </c>
      <c r="G4" t="s">
        <v>24</v>
      </c>
      <c r="H4" t="s">
        <v>25</v>
      </c>
      <c r="I4" t="s">
        <v>26</v>
      </c>
    </row>
    <row r="5" spans="1:9" x14ac:dyDescent="0.45">
      <c r="A5" t="s">
        <v>27</v>
      </c>
      <c r="B5" s="2">
        <v>45671</v>
      </c>
      <c r="C5" t="s">
        <v>28</v>
      </c>
      <c r="D5" t="s">
        <v>29</v>
      </c>
      <c r="E5" t="s">
        <v>30</v>
      </c>
      <c r="F5">
        <v>2</v>
      </c>
      <c r="G5" t="s">
        <v>24</v>
      </c>
      <c r="H5" t="s">
        <v>25</v>
      </c>
      <c r="I5" t="s">
        <v>31</v>
      </c>
    </row>
    <row r="6" spans="1:9" x14ac:dyDescent="0.45">
      <c r="A6" t="s">
        <v>32</v>
      </c>
      <c r="B6" s="2">
        <v>45782</v>
      </c>
      <c r="C6" t="s">
        <v>16</v>
      </c>
      <c r="D6" t="s">
        <v>33</v>
      </c>
      <c r="E6" t="s">
        <v>34</v>
      </c>
      <c r="F6">
        <v>12</v>
      </c>
      <c r="G6" t="s">
        <v>35</v>
      </c>
      <c r="H6" t="s">
        <v>25</v>
      </c>
      <c r="I6" t="s">
        <v>31</v>
      </c>
    </row>
    <row r="7" spans="1:9" x14ac:dyDescent="0.45">
      <c r="A7" t="s">
        <v>36</v>
      </c>
      <c r="B7" s="2">
        <v>45851</v>
      </c>
      <c r="C7" t="s">
        <v>16</v>
      </c>
      <c r="D7" t="s">
        <v>37</v>
      </c>
      <c r="E7" t="s">
        <v>38</v>
      </c>
      <c r="F7">
        <v>11</v>
      </c>
      <c r="G7" t="s">
        <v>18</v>
      </c>
      <c r="H7" t="s">
        <v>14</v>
      </c>
      <c r="I7" t="s">
        <v>39</v>
      </c>
    </row>
    <row r="8" spans="1:9" x14ac:dyDescent="0.45">
      <c r="A8" t="s">
        <v>40</v>
      </c>
      <c r="B8" s="2">
        <v>45734</v>
      </c>
      <c r="C8" t="s">
        <v>28</v>
      </c>
      <c r="D8" t="s">
        <v>41</v>
      </c>
      <c r="E8" t="s">
        <v>42</v>
      </c>
      <c r="F8">
        <v>9</v>
      </c>
      <c r="G8" t="s">
        <v>43</v>
      </c>
      <c r="H8" t="s">
        <v>14</v>
      </c>
      <c r="I8" t="s">
        <v>31</v>
      </c>
    </row>
    <row r="9" spans="1:9" x14ac:dyDescent="0.45">
      <c r="A9" t="s">
        <v>44</v>
      </c>
      <c r="B9" s="2">
        <v>45759</v>
      </c>
      <c r="C9" t="s">
        <v>28</v>
      </c>
      <c r="D9" t="s">
        <v>45</v>
      </c>
      <c r="E9" t="s">
        <v>46</v>
      </c>
      <c r="F9">
        <v>9</v>
      </c>
      <c r="G9" t="s">
        <v>43</v>
      </c>
      <c r="H9" t="s">
        <v>14</v>
      </c>
      <c r="I9" t="s">
        <v>47</v>
      </c>
    </row>
    <row r="10" spans="1:9" x14ac:dyDescent="0.45">
      <c r="A10" t="s">
        <v>48</v>
      </c>
      <c r="B10" s="2">
        <v>45775</v>
      </c>
      <c r="C10" t="s">
        <v>49</v>
      </c>
      <c r="D10" t="s">
        <v>50</v>
      </c>
      <c r="E10" t="s">
        <v>23</v>
      </c>
      <c r="F10">
        <v>8</v>
      </c>
      <c r="G10" t="s">
        <v>35</v>
      </c>
      <c r="H10" t="s">
        <v>25</v>
      </c>
      <c r="I10" t="s">
        <v>19</v>
      </c>
    </row>
    <row r="11" spans="1:9" x14ac:dyDescent="0.45">
      <c r="A11" t="s">
        <v>51</v>
      </c>
      <c r="B11" s="2">
        <v>45803</v>
      </c>
      <c r="C11" t="s">
        <v>52</v>
      </c>
      <c r="D11" t="s">
        <v>53</v>
      </c>
      <c r="E11" t="s">
        <v>54</v>
      </c>
      <c r="F11">
        <v>11</v>
      </c>
      <c r="G11" t="s">
        <v>55</v>
      </c>
      <c r="H11" t="s">
        <v>72</v>
      </c>
      <c r="I11" t="s">
        <v>31</v>
      </c>
    </row>
    <row r="12" spans="1:9" x14ac:dyDescent="0.45">
      <c r="A12" t="s">
        <v>56</v>
      </c>
      <c r="B12" s="2">
        <v>45899</v>
      </c>
      <c r="C12" t="s">
        <v>52</v>
      </c>
      <c r="D12" t="s">
        <v>57</v>
      </c>
      <c r="E12" t="s">
        <v>58</v>
      </c>
      <c r="F12">
        <v>7</v>
      </c>
      <c r="G12" t="s">
        <v>59</v>
      </c>
      <c r="H12" t="s">
        <v>14</v>
      </c>
      <c r="I12" t="s">
        <v>60</v>
      </c>
    </row>
    <row r="13" spans="1:9" x14ac:dyDescent="0.45">
      <c r="A13" t="s">
        <v>61</v>
      </c>
      <c r="B13" s="2">
        <v>45711</v>
      </c>
      <c r="C13" t="s">
        <v>52</v>
      </c>
      <c r="D13" t="s">
        <v>62</v>
      </c>
      <c r="E13" t="s">
        <v>54</v>
      </c>
      <c r="F13">
        <v>8</v>
      </c>
      <c r="G13" t="s">
        <v>55</v>
      </c>
      <c r="H13" t="s">
        <v>72</v>
      </c>
      <c r="I13" t="s">
        <v>47</v>
      </c>
    </row>
    <row r="14" spans="1:9" x14ac:dyDescent="0.45">
      <c r="A14" t="s">
        <v>63</v>
      </c>
      <c r="B14" s="2">
        <v>45767</v>
      </c>
      <c r="C14" t="s">
        <v>52</v>
      </c>
      <c r="D14" t="s">
        <v>64</v>
      </c>
      <c r="E14" t="s">
        <v>42</v>
      </c>
      <c r="F14">
        <v>8</v>
      </c>
      <c r="G14" t="s">
        <v>13</v>
      </c>
      <c r="H14" t="s">
        <v>14</v>
      </c>
      <c r="I14" t="s">
        <v>31</v>
      </c>
    </row>
    <row r="15" spans="1:9" x14ac:dyDescent="0.45">
      <c r="A15" t="s">
        <v>65</v>
      </c>
      <c r="B15" s="2">
        <v>45684</v>
      </c>
      <c r="C15" t="s">
        <v>66</v>
      </c>
      <c r="D15" t="s">
        <v>67</v>
      </c>
      <c r="E15" t="s">
        <v>54</v>
      </c>
      <c r="F15">
        <v>7</v>
      </c>
      <c r="G15" t="s">
        <v>68</v>
      </c>
      <c r="H15" t="s">
        <v>25</v>
      </c>
      <c r="I15" t="s">
        <v>19</v>
      </c>
    </row>
    <row r="16" spans="1:9" x14ac:dyDescent="0.45">
      <c r="A16" t="s">
        <v>69</v>
      </c>
      <c r="B16" s="2">
        <v>45752</v>
      </c>
      <c r="C16" t="s">
        <v>10</v>
      </c>
      <c r="D16" t="s">
        <v>70</v>
      </c>
      <c r="E16" t="s">
        <v>71</v>
      </c>
      <c r="F16">
        <v>2</v>
      </c>
      <c r="G16" t="s">
        <v>24</v>
      </c>
      <c r="H16" t="s">
        <v>25</v>
      </c>
      <c r="I16" t="s">
        <v>31</v>
      </c>
    </row>
    <row r="17" spans="1:9" x14ac:dyDescent="0.45">
      <c r="A17" t="s">
        <v>73</v>
      </c>
      <c r="B17" s="2">
        <v>45846</v>
      </c>
      <c r="C17" t="s">
        <v>16</v>
      </c>
      <c r="D17" t="s">
        <v>74</v>
      </c>
      <c r="E17" t="s">
        <v>75</v>
      </c>
      <c r="F17">
        <v>7</v>
      </c>
      <c r="G17" t="s">
        <v>13</v>
      </c>
      <c r="H17" t="s">
        <v>14</v>
      </c>
      <c r="I17" t="s">
        <v>26</v>
      </c>
    </row>
    <row r="18" spans="1:9" x14ac:dyDescent="0.45">
      <c r="A18" t="s">
        <v>76</v>
      </c>
      <c r="B18" s="2">
        <v>45737</v>
      </c>
      <c r="C18" t="s">
        <v>16</v>
      </c>
      <c r="D18" t="s">
        <v>77</v>
      </c>
      <c r="E18" t="s">
        <v>34</v>
      </c>
      <c r="F18">
        <v>6</v>
      </c>
      <c r="G18" t="s">
        <v>68</v>
      </c>
      <c r="H18" t="s">
        <v>25</v>
      </c>
      <c r="I18" t="s">
        <v>47</v>
      </c>
    </row>
    <row r="19" spans="1:9" x14ac:dyDescent="0.45">
      <c r="A19" t="s">
        <v>78</v>
      </c>
      <c r="B19" s="2">
        <v>45897</v>
      </c>
      <c r="C19" t="s">
        <v>52</v>
      </c>
      <c r="D19" t="s">
        <v>79</v>
      </c>
      <c r="E19" t="s">
        <v>30</v>
      </c>
      <c r="F19">
        <v>10</v>
      </c>
      <c r="G19" t="s">
        <v>35</v>
      </c>
      <c r="H19" t="s">
        <v>25</v>
      </c>
      <c r="I19" t="s">
        <v>26</v>
      </c>
    </row>
    <row r="20" spans="1:9" x14ac:dyDescent="0.45">
      <c r="A20" t="s">
        <v>80</v>
      </c>
      <c r="B20" s="2">
        <v>45842</v>
      </c>
      <c r="C20" t="s">
        <v>66</v>
      </c>
      <c r="D20" t="s">
        <v>81</v>
      </c>
      <c r="E20" t="s">
        <v>7974</v>
      </c>
      <c r="F20">
        <v>4</v>
      </c>
      <c r="G20" t="s">
        <v>13</v>
      </c>
      <c r="H20" t="s">
        <v>14</v>
      </c>
      <c r="I20" t="s">
        <v>31</v>
      </c>
    </row>
    <row r="21" spans="1:9" x14ac:dyDescent="0.45">
      <c r="A21" t="s">
        <v>82</v>
      </c>
      <c r="B21" s="2">
        <v>45804</v>
      </c>
      <c r="C21" t="s">
        <v>10</v>
      </c>
      <c r="D21" t="s">
        <v>83</v>
      </c>
      <c r="E21" t="s">
        <v>58</v>
      </c>
      <c r="F21">
        <v>1</v>
      </c>
      <c r="G21" t="s">
        <v>13</v>
      </c>
      <c r="H21" t="s">
        <v>14</v>
      </c>
      <c r="I21" t="s">
        <v>26</v>
      </c>
    </row>
    <row r="22" spans="1:9" x14ac:dyDescent="0.45">
      <c r="A22" t="s">
        <v>84</v>
      </c>
      <c r="B22" s="2">
        <v>45668</v>
      </c>
      <c r="C22" t="s">
        <v>28</v>
      </c>
      <c r="D22" t="s">
        <v>85</v>
      </c>
      <c r="E22" t="s">
        <v>34</v>
      </c>
      <c r="F22">
        <v>6</v>
      </c>
      <c r="G22" t="s">
        <v>68</v>
      </c>
      <c r="H22" t="s">
        <v>25</v>
      </c>
      <c r="I22" t="s">
        <v>19</v>
      </c>
    </row>
    <row r="23" spans="1:9" x14ac:dyDescent="0.45">
      <c r="A23" t="s">
        <v>86</v>
      </c>
      <c r="B23" s="2">
        <v>45699</v>
      </c>
      <c r="C23" t="s">
        <v>66</v>
      </c>
      <c r="D23" t="s">
        <v>87</v>
      </c>
      <c r="E23" t="s">
        <v>38</v>
      </c>
      <c r="F23">
        <v>5</v>
      </c>
      <c r="G23" t="s">
        <v>24</v>
      </c>
      <c r="H23" t="s">
        <v>25</v>
      </c>
      <c r="I23" t="s">
        <v>60</v>
      </c>
    </row>
    <row r="24" spans="1:9" x14ac:dyDescent="0.45">
      <c r="A24" t="s">
        <v>88</v>
      </c>
      <c r="B24" s="2">
        <v>45806</v>
      </c>
      <c r="C24" t="s">
        <v>16</v>
      </c>
      <c r="D24" t="s">
        <v>89</v>
      </c>
      <c r="E24" t="s">
        <v>46</v>
      </c>
      <c r="F24">
        <v>7</v>
      </c>
      <c r="G24" t="s">
        <v>43</v>
      </c>
      <c r="H24" t="s">
        <v>14</v>
      </c>
      <c r="I24" t="s">
        <v>19</v>
      </c>
    </row>
    <row r="25" spans="1:9" x14ac:dyDescent="0.45">
      <c r="A25" t="s">
        <v>90</v>
      </c>
      <c r="B25" s="2">
        <v>45851</v>
      </c>
      <c r="C25" t="s">
        <v>16</v>
      </c>
      <c r="D25" t="s">
        <v>91</v>
      </c>
      <c r="E25" t="s">
        <v>7974</v>
      </c>
      <c r="F25">
        <v>2</v>
      </c>
      <c r="G25" t="s">
        <v>18</v>
      </c>
      <c r="H25" t="s">
        <v>14</v>
      </c>
      <c r="I25" t="s">
        <v>26</v>
      </c>
    </row>
    <row r="26" spans="1:9" x14ac:dyDescent="0.45">
      <c r="A26" t="s">
        <v>92</v>
      </c>
      <c r="B26" s="2">
        <v>45879</v>
      </c>
      <c r="C26" t="s">
        <v>66</v>
      </c>
      <c r="D26" t="s">
        <v>93</v>
      </c>
      <c r="E26" t="s">
        <v>71</v>
      </c>
      <c r="F26">
        <v>4</v>
      </c>
      <c r="G26" t="s">
        <v>24</v>
      </c>
      <c r="H26" t="s">
        <v>25</v>
      </c>
      <c r="I26" t="s">
        <v>39</v>
      </c>
    </row>
    <row r="27" spans="1:9" x14ac:dyDescent="0.45">
      <c r="A27" t="s">
        <v>94</v>
      </c>
      <c r="B27" s="2">
        <v>45766</v>
      </c>
      <c r="C27" t="s">
        <v>66</v>
      </c>
      <c r="D27" t="s">
        <v>95</v>
      </c>
      <c r="E27" t="s">
        <v>75</v>
      </c>
      <c r="F27">
        <v>6</v>
      </c>
      <c r="G27" t="s">
        <v>59</v>
      </c>
      <c r="H27" t="s">
        <v>14</v>
      </c>
      <c r="I27" t="s">
        <v>26</v>
      </c>
    </row>
    <row r="28" spans="1:9" x14ac:dyDescent="0.45">
      <c r="A28" t="s">
        <v>96</v>
      </c>
      <c r="B28" s="2">
        <v>45782</v>
      </c>
      <c r="C28" t="s">
        <v>16</v>
      </c>
      <c r="D28" t="s">
        <v>97</v>
      </c>
      <c r="E28" t="s">
        <v>75</v>
      </c>
      <c r="F28">
        <v>6</v>
      </c>
      <c r="G28" t="s">
        <v>55</v>
      </c>
      <c r="H28" t="s">
        <v>72</v>
      </c>
      <c r="I28" t="s">
        <v>26</v>
      </c>
    </row>
    <row r="29" spans="1:9" x14ac:dyDescent="0.45">
      <c r="A29" t="s">
        <v>98</v>
      </c>
      <c r="B29" s="2">
        <v>45714</v>
      </c>
      <c r="C29" t="s">
        <v>99</v>
      </c>
      <c r="D29" t="s">
        <v>100</v>
      </c>
      <c r="E29" t="s">
        <v>30</v>
      </c>
      <c r="F29">
        <v>9</v>
      </c>
      <c r="G29" t="s">
        <v>68</v>
      </c>
      <c r="H29" t="s">
        <v>25</v>
      </c>
      <c r="I29" t="s">
        <v>47</v>
      </c>
    </row>
    <row r="30" spans="1:9" x14ac:dyDescent="0.45">
      <c r="A30" t="s">
        <v>101</v>
      </c>
      <c r="B30" s="2">
        <v>45763</v>
      </c>
      <c r="C30" t="s">
        <v>28</v>
      </c>
      <c r="D30" t="s">
        <v>102</v>
      </c>
      <c r="E30" t="s">
        <v>7973</v>
      </c>
      <c r="F30">
        <v>10</v>
      </c>
      <c r="G30" t="s">
        <v>13</v>
      </c>
      <c r="H30" t="s">
        <v>14</v>
      </c>
      <c r="I30" t="s">
        <v>26</v>
      </c>
    </row>
    <row r="31" spans="1:9" x14ac:dyDescent="0.45">
      <c r="A31" t="s">
        <v>104</v>
      </c>
      <c r="B31" s="2">
        <v>45838</v>
      </c>
      <c r="C31" t="s">
        <v>28</v>
      </c>
      <c r="D31" t="s">
        <v>105</v>
      </c>
      <c r="E31" t="s">
        <v>34</v>
      </c>
      <c r="F31">
        <v>7</v>
      </c>
      <c r="G31" t="s">
        <v>55</v>
      </c>
      <c r="H31" t="s">
        <v>72</v>
      </c>
      <c r="I31" t="s">
        <v>26</v>
      </c>
    </row>
    <row r="32" spans="1:9" x14ac:dyDescent="0.45">
      <c r="A32" t="s">
        <v>106</v>
      </c>
      <c r="B32" s="2">
        <v>45782</v>
      </c>
      <c r="C32" t="s">
        <v>16</v>
      </c>
      <c r="D32" t="s">
        <v>107</v>
      </c>
      <c r="E32" t="s">
        <v>23</v>
      </c>
      <c r="F32">
        <v>12</v>
      </c>
      <c r="G32" t="s">
        <v>68</v>
      </c>
      <c r="H32" t="s">
        <v>25</v>
      </c>
      <c r="I32" t="s">
        <v>19</v>
      </c>
    </row>
    <row r="33" spans="1:9" x14ac:dyDescent="0.45">
      <c r="A33" t="s">
        <v>108</v>
      </c>
      <c r="B33" s="2">
        <v>45863</v>
      </c>
      <c r="C33" t="s">
        <v>16</v>
      </c>
      <c r="D33" t="s">
        <v>109</v>
      </c>
      <c r="E33" t="s">
        <v>75</v>
      </c>
      <c r="F33">
        <v>5</v>
      </c>
      <c r="G33" t="s">
        <v>68</v>
      </c>
      <c r="H33" t="s">
        <v>25</v>
      </c>
      <c r="I33" t="s">
        <v>60</v>
      </c>
    </row>
    <row r="34" spans="1:9" x14ac:dyDescent="0.45">
      <c r="A34" t="s">
        <v>110</v>
      </c>
      <c r="B34" s="2">
        <v>45707</v>
      </c>
      <c r="C34" t="s">
        <v>21</v>
      </c>
      <c r="D34" t="s">
        <v>111</v>
      </c>
      <c r="E34" t="s">
        <v>38</v>
      </c>
      <c r="F34">
        <v>2</v>
      </c>
      <c r="G34" t="s">
        <v>35</v>
      </c>
      <c r="H34" t="s">
        <v>25</v>
      </c>
      <c r="I34" t="s">
        <v>26</v>
      </c>
    </row>
    <row r="35" spans="1:9" x14ac:dyDescent="0.45">
      <c r="A35" t="s">
        <v>112</v>
      </c>
      <c r="B35" s="2">
        <v>45672</v>
      </c>
      <c r="C35" t="s">
        <v>99</v>
      </c>
      <c r="D35" t="s">
        <v>113</v>
      </c>
      <c r="E35" t="s">
        <v>7973</v>
      </c>
      <c r="F35">
        <v>4</v>
      </c>
      <c r="G35" t="s">
        <v>24</v>
      </c>
      <c r="H35" t="s">
        <v>25</v>
      </c>
      <c r="I35" t="s">
        <v>47</v>
      </c>
    </row>
    <row r="36" spans="1:9" x14ac:dyDescent="0.45">
      <c r="A36" t="s">
        <v>114</v>
      </c>
      <c r="B36" s="2">
        <v>45735</v>
      </c>
      <c r="C36" t="s">
        <v>52</v>
      </c>
      <c r="D36" t="s">
        <v>115</v>
      </c>
      <c r="E36" t="s">
        <v>38</v>
      </c>
      <c r="F36">
        <v>11</v>
      </c>
      <c r="G36" t="s">
        <v>35</v>
      </c>
      <c r="H36" t="s">
        <v>25</v>
      </c>
      <c r="I36" t="s">
        <v>47</v>
      </c>
    </row>
    <row r="37" spans="1:9" x14ac:dyDescent="0.45">
      <c r="A37" t="s">
        <v>116</v>
      </c>
      <c r="B37" s="2">
        <v>45670</v>
      </c>
      <c r="C37" t="s">
        <v>52</v>
      </c>
      <c r="D37" t="s">
        <v>117</v>
      </c>
      <c r="E37" t="s">
        <v>34</v>
      </c>
      <c r="F37">
        <v>2</v>
      </c>
      <c r="G37" t="s">
        <v>59</v>
      </c>
      <c r="H37" t="s">
        <v>14</v>
      </c>
      <c r="I37" t="s">
        <v>31</v>
      </c>
    </row>
    <row r="38" spans="1:9" x14ac:dyDescent="0.45">
      <c r="A38" t="s">
        <v>118</v>
      </c>
      <c r="B38" s="2">
        <v>45693</v>
      </c>
      <c r="C38" t="s">
        <v>16</v>
      </c>
      <c r="D38" t="s">
        <v>119</v>
      </c>
      <c r="E38" t="s">
        <v>38</v>
      </c>
      <c r="F38">
        <v>8</v>
      </c>
      <c r="G38" t="s">
        <v>55</v>
      </c>
      <c r="H38" t="s">
        <v>72</v>
      </c>
      <c r="I38" t="s">
        <v>47</v>
      </c>
    </row>
    <row r="39" spans="1:9" x14ac:dyDescent="0.45">
      <c r="A39" t="s">
        <v>120</v>
      </c>
      <c r="B39" s="2">
        <v>45687</v>
      </c>
      <c r="C39" t="s">
        <v>16</v>
      </c>
      <c r="D39" t="s">
        <v>121</v>
      </c>
      <c r="E39" t="s">
        <v>71</v>
      </c>
      <c r="F39">
        <v>8</v>
      </c>
      <c r="G39" t="s">
        <v>59</v>
      </c>
      <c r="H39" t="s">
        <v>14</v>
      </c>
      <c r="I39" t="s">
        <v>19</v>
      </c>
    </row>
    <row r="40" spans="1:9" x14ac:dyDescent="0.45">
      <c r="A40" t="s">
        <v>122</v>
      </c>
      <c r="B40" s="2">
        <v>45852</v>
      </c>
      <c r="C40" t="s">
        <v>10</v>
      </c>
      <c r="D40" t="s">
        <v>123</v>
      </c>
      <c r="E40" t="s">
        <v>7973</v>
      </c>
      <c r="F40">
        <v>5</v>
      </c>
      <c r="G40" t="s">
        <v>55</v>
      </c>
      <c r="H40" t="s">
        <v>72</v>
      </c>
      <c r="I40" t="s">
        <v>19</v>
      </c>
    </row>
    <row r="41" spans="1:9" x14ac:dyDescent="0.45">
      <c r="A41" t="s">
        <v>124</v>
      </c>
      <c r="B41" s="2">
        <v>45770</v>
      </c>
      <c r="C41" t="s">
        <v>66</v>
      </c>
      <c r="D41" t="s">
        <v>125</v>
      </c>
      <c r="E41" t="s">
        <v>7973</v>
      </c>
      <c r="F41">
        <v>8</v>
      </c>
      <c r="G41" t="s">
        <v>13</v>
      </c>
      <c r="H41" t="s">
        <v>14</v>
      </c>
      <c r="I41" t="s">
        <v>7967</v>
      </c>
    </row>
    <row r="42" spans="1:9" x14ac:dyDescent="0.45">
      <c r="A42" t="s">
        <v>126</v>
      </c>
      <c r="B42" s="2">
        <v>45680</v>
      </c>
      <c r="C42" t="s">
        <v>66</v>
      </c>
      <c r="D42" t="s">
        <v>127</v>
      </c>
      <c r="E42" t="s">
        <v>30</v>
      </c>
      <c r="F42">
        <v>5</v>
      </c>
      <c r="G42" t="s">
        <v>18</v>
      </c>
      <c r="H42" t="s">
        <v>14</v>
      </c>
      <c r="I42" t="s">
        <v>26</v>
      </c>
    </row>
    <row r="43" spans="1:9" x14ac:dyDescent="0.45">
      <c r="A43" t="s">
        <v>128</v>
      </c>
      <c r="B43" s="2">
        <v>45757</v>
      </c>
      <c r="C43" t="s">
        <v>66</v>
      </c>
      <c r="D43" t="s">
        <v>129</v>
      </c>
      <c r="E43" t="s">
        <v>58</v>
      </c>
      <c r="F43">
        <v>10</v>
      </c>
      <c r="G43" t="s">
        <v>68</v>
      </c>
      <c r="H43" t="s">
        <v>25</v>
      </c>
      <c r="I43" t="s">
        <v>26</v>
      </c>
    </row>
    <row r="44" spans="1:9" x14ac:dyDescent="0.45">
      <c r="A44" t="s">
        <v>130</v>
      </c>
      <c r="B44" s="2">
        <v>45837</v>
      </c>
      <c r="C44" t="s">
        <v>66</v>
      </c>
      <c r="D44" t="s">
        <v>131</v>
      </c>
      <c r="E44" t="s">
        <v>42</v>
      </c>
      <c r="F44">
        <v>11</v>
      </c>
      <c r="G44" t="s">
        <v>24</v>
      </c>
      <c r="H44" t="s">
        <v>25</v>
      </c>
      <c r="I44" t="s">
        <v>26</v>
      </c>
    </row>
    <row r="45" spans="1:9" x14ac:dyDescent="0.45">
      <c r="A45" t="s">
        <v>132</v>
      </c>
      <c r="B45" s="2">
        <v>45836</v>
      </c>
      <c r="C45" t="s">
        <v>52</v>
      </c>
      <c r="D45" t="s">
        <v>133</v>
      </c>
      <c r="E45" t="s">
        <v>71</v>
      </c>
      <c r="F45">
        <v>9</v>
      </c>
      <c r="G45" t="s">
        <v>24</v>
      </c>
      <c r="H45" t="s">
        <v>25</v>
      </c>
      <c r="I45" t="s">
        <v>60</v>
      </c>
    </row>
    <row r="46" spans="1:9" x14ac:dyDescent="0.45">
      <c r="A46" t="s">
        <v>134</v>
      </c>
      <c r="B46" s="2">
        <v>45758</v>
      </c>
      <c r="C46" t="s">
        <v>16</v>
      </c>
      <c r="D46" t="s">
        <v>135</v>
      </c>
      <c r="E46" t="s">
        <v>46</v>
      </c>
      <c r="F46">
        <v>9</v>
      </c>
      <c r="G46" t="s">
        <v>24</v>
      </c>
      <c r="H46" t="s">
        <v>25</v>
      </c>
      <c r="I46" t="s">
        <v>60</v>
      </c>
    </row>
    <row r="47" spans="1:9" x14ac:dyDescent="0.45">
      <c r="A47" t="s">
        <v>136</v>
      </c>
      <c r="B47" s="2">
        <v>45807</v>
      </c>
      <c r="C47" t="s">
        <v>49</v>
      </c>
      <c r="D47" t="s">
        <v>137</v>
      </c>
      <c r="E47" t="s">
        <v>58</v>
      </c>
      <c r="F47">
        <v>8</v>
      </c>
      <c r="G47" t="s">
        <v>59</v>
      </c>
      <c r="H47" t="s">
        <v>14</v>
      </c>
      <c r="I47" t="s">
        <v>47</v>
      </c>
    </row>
    <row r="48" spans="1:9" x14ac:dyDescent="0.45">
      <c r="A48" t="s">
        <v>138</v>
      </c>
      <c r="B48" s="2">
        <v>45737</v>
      </c>
      <c r="C48" t="s">
        <v>21</v>
      </c>
      <c r="D48" t="s">
        <v>139</v>
      </c>
      <c r="E48" t="s">
        <v>30</v>
      </c>
      <c r="F48">
        <v>4</v>
      </c>
      <c r="G48" t="s">
        <v>13</v>
      </c>
      <c r="H48" t="s">
        <v>14</v>
      </c>
      <c r="I48" t="s">
        <v>47</v>
      </c>
    </row>
    <row r="49" spans="1:9" x14ac:dyDescent="0.45">
      <c r="A49" t="s">
        <v>140</v>
      </c>
      <c r="B49" s="2">
        <v>45789</v>
      </c>
      <c r="C49" t="s">
        <v>16</v>
      </c>
      <c r="D49" t="s">
        <v>141</v>
      </c>
      <c r="E49" t="s">
        <v>42</v>
      </c>
      <c r="F49">
        <v>3</v>
      </c>
      <c r="G49" t="s">
        <v>24</v>
      </c>
      <c r="H49" t="s">
        <v>25</v>
      </c>
      <c r="I49" t="s">
        <v>39</v>
      </c>
    </row>
    <row r="50" spans="1:9" x14ac:dyDescent="0.45">
      <c r="A50" t="s">
        <v>142</v>
      </c>
      <c r="B50" s="2">
        <v>45706</v>
      </c>
      <c r="C50" t="s">
        <v>52</v>
      </c>
      <c r="D50" t="s">
        <v>143</v>
      </c>
      <c r="E50" t="s">
        <v>38</v>
      </c>
      <c r="F50">
        <v>11</v>
      </c>
      <c r="G50" t="s">
        <v>59</v>
      </c>
      <c r="H50" t="s">
        <v>14</v>
      </c>
      <c r="I50" t="s">
        <v>60</v>
      </c>
    </row>
    <row r="51" spans="1:9" x14ac:dyDescent="0.45">
      <c r="A51" t="s">
        <v>144</v>
      </c>
      <c r="B51" s="2">
        <v>45669</v>
      </c>
      <c r="C51" t="s">
        <v>21</v>
      </c>
      <c r="D51" t="s">
        <v>145</v>
      </c>
      <c r="E51" t="s">
        <v>7973</v>
      </c>
      <c r="F51">
        <v>9</v>
      </c>
      <c r="G51" t="s">
        <v>35</v>
      </c>
      <c r="H51" t="s">
        <v>25</v>
      </c>
      <c r="I51" t="s">
        <v>47</v>
      </c>
    </row>
    <row r="52" spans="1:9" x14ac:dyDescent="0.45">
      <c r="A52" t="s">
        <v>147</v>
      </c>
      <c r="B52" s="2">
        <v>45807</v>
      </c>
      <c r="C52" t="s">
        <v>52</v>
      </c>
      <c r="D52" t="s">
        <v>148</v>
      </c>
      <c r="E52" t="s">
        <v>38</v>
      </c>
      <c r="F52">
        <v>5</v>
      </c>
      <c r="G52" t="s">
        <v>55</v>
      </c>
      <c r="H52" t="s">
        <v>72</v>
      </c>
      <c r="I52" t="s">
        <v>19</v>
      </c>
    </row>
    <row r="53" spans="1:9" x14ac:dyDescent="0.45">
      <c r="A53" t="s">
        <v>149</v>
      </c>
      <c r="B53" s="2">
        <v>45691</v>
      </c>
      <c r="C53" t="s">
        <v>21</v>
      </c>
      <c r="D53" t="s">
        <v>150</v>
      </c>
      <c r="E53" t="s">
        <v>7974</v>
      </c>
      <c r="F53">
        <v>8</v>
      </c>
      <c r="G53" t="s">
        <v>59</v>
      </c>
      <c r="H53" t="s">
        <v>14</v>
      </c>
      <c r="I53" t="s">
        <v>47</v>
      </c>
    </row>
    <row r="54" spans="1:9" x14ac:dyDescent="0.45">
      <c r="A54" t="s">
        <v>151</v>
      </c>
      <c r="B54" s="2">
        <v>45752</v>
      </c>
      <c r="C54" t="s">
        <v>66</v>
      </c>
      <c r="D54" t="s">
        <v>152</v>
      </c>
      <c r="E54" t="s">
        <v>30</v>
      </c>
      <c r="F54">
        <v>2</v>
      </c>
      <c r="G54" t="s">
        <v>18</v>
      </c>
      <c r="H54" t="s">
        <v>14</v>
      </c>
      <c r="I54" t="s">
        <v>26</v>
      </c>
    </row>
    <row r="55" spans="1:9" x14ac:dyDescent="0.45">
      <c r="A55" t="s">
        <v>153</v>
      </c>
      <c r="B55" s="2">
        <v>45665</v>
      </c>
      <c r="C55" t="s">
        <v>66</v>
      </c>
      <c r="D55" t="s">
        <v>154</v>
      </c>
      <c r="E55" t="s">
        <v>30</v>
      </c>
      <c r="F55">
        <v>6</v>
      </c>
      <c r="G55" t="s">
        <v>55</v>
      </c>
      <c r="H55" t="s">
        <v>72</v>
      </c>
      <c r="I55" t="s">
        <v>47</v>
      </c>
    </row>
    <row r="56" spans="1:9" x14ac:dyDescent="0.45">
      <c r="A56" t="s">
        <v>155</v>
      </c>
      <c r="B56" s="2">
        <v>45840</v>
      </c>
      <c r="C56" t="s">
        <v>10</v>
      </c>
      <c r="D56" t="s">
        <v>156</v>
      </c>
      <c r="E56" t="s">
        <v>42</v>
      </c>
      <c r="F56">
        <v>9</v>
      </c>
      <c r="G56" t="s">
        <v>24</v>
      </c>
      <c r="H56" t="s">
        <v>25</v>
      </c>
      <c r="I56" t="s">
        <v>19</v>
      </c>
    </row>
    <row r="57" spans="1:9" x14ac:dyDescent="0.45">
      <c r="A57" t="s">
        <v>157</v>
      </c>
      <c r="B57" s="2">
        <v>45686</v>
      </c>
      <c r="C57" t="s">
        <v>99</v>
      </c>
      <c r="D57" t="s">
        <v>158</v>
      </c>
      <c r="E57" t="s">
        <v>34</v>
      </c>
      <c r="F57">
        <v>3</v>
      </c>
      <c r="G57" t="s">
        <v>24</v>
      </c>
      <c r="H57" t="s">
        <v>25</v>
      </c>
      <c r="I57" t="s">
        <v>60</v>
      </c>
    </row>
    <row r="58" spans="1:9" x14ac:dyDescent="0.45">
      <c r="A58" t="s">
        <v>159</v>
      </c>
      <c r="B58" s="2">
        <v>45901</v>
      </c>
      <c r="C58" t="s">
        <v>28</v>
      </c>
      <c r="D58" t="s">
        <v>160</v>
      </c>
      <c r="E58" t="s">
        <v>46</v>
      </c>
      <c r="F58">
        <v>1</v>
      </c>
      <c r="G58" t="s">
        <v>59</v>
      </c>
      <c r="H58" t="s">
        <v>14</v>
      </c>
      <c r="I58" t="s">
        <v>31</v>
      </c>
    </row>
    <row r="59" spans="1:9" x14ac:dyDescent="0.45">
      <c r="A59" t="s">
        <v>161</v>
      </c>
      <c r="B59" s="2">
        <v>45819</v>
      </c>
      <c r="C59" t="s">
        <v>16</v>
      </c>
      <c r="D59" t="s">
        <v>162</v>
      </c>
      <c r="E59" t="s">
        <v>46</v>
      </c>
      <c r="F59">
        <v>6</v>
      </c>
      <c r="G59" t="s">
        <v>55</v>
      </c>
      <c r="H59" t="s">
        <v>72</v>
      </c>
      <c r="I59" t="s">
        <v>60</v>
      </c>
    </row>
    <row r="60" spans="1:9" x14ac:dyDescent="0.45">
      <c r="A60" t="s">
        <v>164</v>
      </c>
      <c r="B60" s="2">
        <v>45671</v>
      </c>
      <c r="C60" t="s">
        <v>52</v>
      </c>
      <c r="D60" t="s">
        <v>165</v>
      </c>
      <c r="E60" t="s">
        <v>75</v>
      </c>
      <c r="F60">
        <v>2</v>
      </c>
      <c r="G60" t="s">
        <v>55</v>
      </c>
      <c r="H60" t="s">
        <v>72</v>
      </c>
      <c r="I60" t="s">
        <v>39</v>
      </c>
    </row>
    <row r="61" spans="1:9" x14ac:dyDescent="0.45">
      <c r="A61" t="s">
        <v>166</v>
      </c>
      <c r="B61" s="2">
        <v>45761</v>
      </c>
      <c r="C61" t="s">
        <v>16</v>
      </c>
      <c r="D61" t="s">
        <v>167</v>
      </c>
      <c r="E61" t="s">
        <v>7974</v>
      </c>
      <c r="F61">
        <v>6</v>
      </c>
      <c r="G61" t="s">
        <v>68</v>
      </c>
      <c r="H61" t="s">
        <v>25</v>
      </c>
      <c r="I61" t="s">
        <v>60</v>
      </c>
    </row>
    <row r="62" spans="1:9" x14ac:dyDescent="0.45">
      <c r="A62" t="s">
        <v>169</v>
      </c>
      <c r="B62" s="2">
        <v>45701</v>
      </c>
      <c r="C62" t="s">
        <v>28</v>
      </c>
      <c r="D62" t="s">
        <v>170</v>
      </c>
      <c r="E62" t="s">
        <v>46</v>
      </c>
      <c r="F62">
        <v>1</v>
      </c>
      <c r="G62" t="s">
        <v>13</v>
      </c>
      <c r="H62" t="s">
        <v>14</v>
      </c>
      <c r="I62" t="s">
        <v>47</v>
      </c>
    </row>
    <row r="63" spans="1:9" x14ac:dyDescent="0.45">
      <c r="A63" t="s">
        <v>171</v>
      </c>
      <c r="B63" s="2">
        <v>45777</v>
      </c>
      <c r="C63" t="s">
        <v>16</v>
      </c>
      <c r="D63" t="s">
        <v>172</v>
      </c>
      <c r="E63" t="s">
        <v>7974</v>
      </c>
      <c r="F63">
        <v>4</v>
      </c>
      <c r="G63" t="s">
        <v>13</v>
      </c>
      <c r="H63" t="s">
        <v>14</v>
      </c>
      <c r="I63" t="s">
        <v>47</v>
      </c>
    </row>
    <row r="64" spans="1:9" x14ac:dyDescent="0.45">
      <c r="A64" t="s">
        <v>173</v>
      </c>
      <c r="B64" s="2">
        <v>45671</v>
      </c>
      <c r="C64" t="s">
        <v>16</v>
      </c>
      <c r="D64" t="s">
        <v>175</v>
      </c>
      <c r="E64" t="s">
        <v>23</v>
      </c>
      <c r="F64">
        <v>9</v>
      </c>
      <c r="G64" t="s">
        <v>18</v>
      </c>
      <c r="H64" t="s">
        <v>14</v>
      </c>
      <c r="I64" t="s">
        <v>19</v>
      </c>
    </row>
    <row r="65" spans="1:9" x14ac:dyDescent="0.45">
      <c r="A65" t="s">
        <v>176</v>
      </c>
      <c r="B65" s="2">
        <v>45854</v>
      </c>
      <c r="C65" t="s">
        <v>28</v>
      </c>
      <c r="D65" t="s">
        <v>177</v>
      </c>
      <c r="E65" t="s">
        <v>7973</v>
      </c>
      <c r="F65">
        <v>8</v>
      </c>
      <c r="G65" t="s">
        <v>59</v>
      </c>
      <c r="H65" t="s">
        <v>14</v>
      </c>
      <c r="I65" t="s">
        <v>60</v>
      </c>
    </row>
    <row r="66" spans="1:9" x14ac:dyDescent="0.45">
      <c r="A66" t="s">
        <v>178</v>
      </c>
      <c r="B66" s="2">
        <v>45880</v>
      </c>
      <c r="C66" t="s">
        <v>52</v>
      </c>
      <c r="D66" t="s">
        <v>179</v>
      </c>
      <c r="E66" t="s">
        <v>23</v>
      </c>
      <c r="F66">
        <v>5</v>
      </c>
      <c r="G66" t="s">
        <v>59</v>
      </c>
      <c r="H66" t="s">
        <v>14</v>
      </c>
      <c r="I66" t="s">
        <v>7967</v>
      </c>
    </row>
    <row r="67" spans="1:9" x14ac:dyDescent="0.45">
      <c r="A67" t="s">
        <v>180</v>
      </c>
      <c r="B67" s="2">
        <v>45786</v>
      </c>
      <c r="C67" t="s">
        <v>49</v>
      </c>
      <c r="D67" t="s">
        <v>181</v>
      </c>
      <c r="E67" t="s">
        <v>23</v>
      </c>
      <c r="F67">
        <v>3</v>
      </c>
      <c r="G67" t="s">
        <v>55</v>
      </c>
      <c r="H67" t="s">
        <v>72</v>
      </c>
      <c r="I67" t="s">
        <v>47</v>
      </c>
    </row>
    <row r="68" spans="1:9" x14ac:dyDescent="0.45">
      <c r="A68" t="s">
        <v>182</v>
      </c>
      <c r="B68" s="2">
        <v>45899</v>
      </c>
      <c r="C68" t="s">
        <v>49</v>
      </c>
      <c r="D68" t="s">
        <v>183</v>
      </c>
      <c r="E68" t="s">
        <v>42</v>
      </c>
      <c r="F68">
        <v>5</v>
      </c>
      <c r="G68" t="s">
        <v>55</v>
      </c>
      <c r="H68" t="s">
        <v>72</v>
      </c>
      <c r="I68" t="s">
        <v>19</v>
      </c>
    </row>
    <row r="69" spans="1:9" x14ac:dyDescent="0.45">
      <c r="A69" t="s">
        <v>184</v>
      </c>
      <c r="B69" s="2">
        <v>45882</v>
      </c>
      <c r="C69" t="s">
        <v>16</v>
      </c>
      <c r="D69" t="s">
        <v>185</v>
      </c>
      <c r="E69" t="s">
        <v>46</v>
      </c>
      <c r="F69">
        <v>2</v>
      </c>
      <c r="G69" t="s">
        <v>35</v>
      </c>
      <c r="H69" t="s">
        <v>25</v>
      </c>
      <c r="I69" t="s">
        <v>26</v>
      </c>
    </row>
    <row r="70" spans="1:9" x14ac:dyDescent="0.45">
      <c r="A70" t="s">
        <v>186</v>
      </c>
      <c r="B70" s="2">
        <v>45847</v>
      </c>
      <c r="C70" t="s">
        <v>16</v>
      </c>
      <c r="D70" t="s">
        <v>187</v>
      </c>
      <c r="E70" t="s">
        <v>75</v>
      </c>
      <c r="F70">
        <v>9</v>
      </c>
      <c r="G70" t="s">
        <v>43</v>
      </c>
      <c r="H70" t="s">
        <v>14</v>
      </c>
      <c r="I70" t="s">
        <v>47</v>
      </c>
    </row>
    <row r="71" spans="1:9" x14ac:dyDescent="0.45">
      <c r="A71" t="s">
        <v>188</v>
      </c>
      <c r="B71" s="2">
        <v>45765</v>
      </c>
      <c r="C71" t="s">
        <v>66</v>
      </c>
      <c r="D71" t="s">
        <v>189</v>
      </c>
      <c r="E71" t="s">
        <v>42</v>
      </c>
      <c r="F71">
        <v>7</v>
      </c>
      <c r="G71" t="s">
        <v>35</v>
      </c>
      <c r="H71" t="s">
        <v>25</v>
      </c>
      <c r="I71" t="s">
        <v>7967</v>
      </c>
    </row>
    <row r="72" spans="1:9" x14ac:dyDescent="0.45">
      <c r="A72" t="s">
        <v>190</v>
      </c>
      <c r="B72" s="2">
        <v>45726</v>
      </c>
      <c r="C72" t="s">
        <v>66</v>
      </c>
      <c r="D72" t="s">
        <v>191</v>
      </c>
      <c r="E72" t="s">
        <v>71</v>
      </c>
      <c r="F72">
        <v>3</v>
      </c>
      <c r="G72" t="s">
        <v>35</v>
      </c>
      <c r="H72" t="s">
        <v>25</v>
      </c>
      <c r="I72" t="s">
        <v>39</v>
      </c>
    </row>
    <row r="73" spans="1:9" x14ac:dyDescent="0.45">
      <c r="A73" t="s">
        <v>192</v>
      </c>
      <c r="B73" s="2">
        <v>45801</v>
      </c>
      <c r="C73" t="s">
        <v>49</v>
      </c>
      <c r="D73" t="s">
        <v>193</v>
      </c>
      <c r="E73" t="s">
        <v>71</v>
      </c>
      <c r="F73">
        <v>1</v>
      </c>
      <c r="G73" t="s">
        <v>68</v>
      </c>
      <c r="H73" t="s">
        <v>25</v>
      </c>
      <c r="I73" t="s">
        <v>31</v>
      </c>
    </row>
    <row r="74" spans="1:9" x14ac:dyDescent="0.45">
      <c r="A74" t="s">
        <v>194</v>
      </c>
      <c r="B74" s="2">
        <v>45840</v>
      </c>
      <c r="C74" t="s">
        <v>28</v>
      </c>
      <c r="D74" t="s">
        <v>195</v>
      </c>
      <c r="E74" t="s">
        <v>23</v>
      </c>
      <c r="F74">
        <v>4</v>
      </c>
      <c r="G74" t="s">
        <v>55</v>
      </c>
      <c r="H74" t="s">
        <v>72</v>
      </c>
      <c r="I74" t="s">
        <v>39</v>
      </c>
    </row>
    <row r="75" spans="1:9" x14ac:dyDescent="0.45">
      <c r="A75" t="s">
        <v>196</v>
      </c>
      <c r="B75" s="2">
        <v>45662</v>
      </c>
      <c r="C75" t="s">
        <v>16</v>
      </c>
      <c r="D75" t="s">
        <v>197</v>
      </c>
      <c r="E75" t="s">
        <v>23</v>
      </c>
      <c r="F75">
        <v>10</v>
      </c>
      <c r="G75" t="s">
        <v>43</v>
      </c>
      <c r="H75" t="s">
        <v>14</v>
      </c>
      <c r="I75" t="s">
        <v>26</v>
      </c>
    </row>
    <row r="76" spans="1:9" x14ac:dyDescent="0.45">
      <c r="A76" t="s">
        <v>198</v>
      </c>
      <c r="B76" s="2">
        <v>45749</v>
      </c>
      <c r="C76" t="s">
        <v>28</v>
      </c>
      <c r="D76" t="s">
        <v>199</v>
      </c>
      <c r="E76" t="s">
        <v>34</v>
      </c>
      <c r="F76">
        <v>9</v>
      </c>
      <c r="G76" t="s">
        <v>18</v>
      </c>
      <c r="H76" t="s">
        <v>14</v>
      </c>
      <c r="I76" t="s">
        <v>19</v>
      </c>
    </row>
    <row r="77" spans="1:9" x14ac:dyDescent="0.45">
      <c r="A77" t="s">
        <v>200</v>
      </c>
      <c r="B77" s="2">
        <v>45826</v>
      </c>
      <c r="C77" t="s">
        <v>52</v>
      </c>
      <c r="D77" t="s">
        <v>201</v>
      </c>
      <c r="E77" t="s">
        <v>30</v>
      </c>
      <c r="F77">
        <v>4</v>
      </c>
      <c r="G77" t="s">
        <v>35</v>
      </c>
      <c r="H77" t="s">
        <v>25</v>
      </c>
      <c r="I77" t="s">
        <v>19</v>
      </c>
    </row>
    <row r="78" spans="1:9" x14ac:dyDescent="0.45">
      <c r="A78" t="s">
        <v>202</v>
      </c>
      <c r="B78" s="2">
        <v>45815</v>
      </c>
      <c r="C78" t="s">
        <v>52</v>
      </c>
      <c r="D78" t="s">
        <v>203</v>
      </c>
      <c r="E78" t="s">
        <v>71</v>
      </c>
      <c r="F78">
        <v>10</v>
      </c>
      <c r="G78" t="s">
        <v>18</v>
      </c>
      <c r="H78" t="s">
        <v>14</v>
      </c>
      <c r="I78" t="s">
        <v>26</v>
      </c>
    </row>
    <row r="79" spans="1:9" x14ac:dyDescent="0.45">
      <c r="A79" t="s">
        <v>204</v>
      </c>
      <c r="B79" s="2">
        <v>45692</v>
      </c>
      <c r="C79" t="s">
        <v>28</v>
      </c>
      <c r="D79" t="s">
        <v>205</v>
      </c>
      <c r="E79" t="s">
        <v>7974</v>
      </c>
      <c r="F79">
        <v>8</v>
      </c>
      <c r="G79" t="s">
        <v>59</v>
      </c>
      <c r="H79" t="s">
        <v>14</v>
      </c>
      <c r="I79" t="s">
        <v>39</v>
      </c>
    </row>
    <row r="80" spans="1:9" x14ac:dyDescent="0.45">
      <c r="A80" t="s">
        <v>206</v>
      </c>
      <c r="B80" s="2">
        <v>45851</v>
      </c>
      <c r="C80" t="s">
        <v>52</v>
      </c>
      <c r="D80" t="s">
        <v>207</v>
      </c>
      <c r="E80" t="s">
        <v>7973</v>
      </c>
      <c r="F80">
        <v>11</v>
      </c>
      <c r="G80" t="s">
        <v>35</v>
      </c>
      <c r="H80" t="s">
        <v>25</v>
      </c>
      <c r="I80" t="s">
        <v>19</v>
      </c>
    </row>
    <row r="81" spans="1:9" x14ac:dyDescent="0.45">
      <c r="A81" t="s">
        <v>208</v>
      </c>
      <c r="B81" s="2">
        <v>45904</v>
      </c>
      <c r="C81" t="s">
        <v>52</v>
      </c>
      <c r="D81" t="s">
        <v>209</v>
      </c>
      <c r="E81" t="s">
        <v>7974</v>
      </c>
      <c r="F81">
        <v>9</v>
      </c>
      <c r="G81" t="s">
        <v>68</v>
      </c>
      <c r="H81" t="s">
        <v>25</v>
      </c>
      <c r="I81" t="s">
        <v>31</v>
      </c>
    </row>
    <row r="82" spans="1:9" x14ac:dyDescent="0.45">
      <c r="A82" t="s">
        <v>210</v>
      </c>
      <c r="B82" s="2">
        <v>45880</v>
      </c>
      <c r="C82" t="s">
        <v>66</v>
      </c>
      <c r="D82" t="s">
        <v>211</v>
      </c>
      <c r="E82" t="s">
        <v>30</v>
      </c>
      <c r="F82">
        <v>6</v>
      </c>
      <c r="G82" t="s">
        <v>68</v>
      </c>
      <c r="H82" t="s">
        <v>25</v>
      </c>
      <c r="I82" t="s">
        <v>60</v>
      </c>
    </row>
    <row r="83" spans="1:9" x14ac:dyDescent="0.45">
      <c r="A83" t="s">
        <v>212</v>
      </c>
      <c r="B83" s="2">
        <v>45870</v>
      </c>
      <c r="C83" t="s">
        <v>66</v>
      </c>
      <c r="D83" t="s">
        <v>213</v>
      </c>
      <c r="E83" t="s">
        <v>34</v>
      </c>
      <c r="F83">
        <v>6</v>
      </c>
      <c r="G83" t="s">
        <v>55</v>
      </c>
      <c r="H83" t="s">
        <v>72</v>
      </c>
      <c r="I83" t="s">
        <v>39</v>
      </c>
    </row>
    <row r="84" spans="1:9" x14ac:dyDescent="0.45">
      <c r="A84" t="s">
        <v>214</v>
      </c>
      <c r="B84" s="2">
        <v>45664</v>
      </c>
      <c r="C84" t="s">
        <v>52</v>
      </c>
      <c r="D84" t="s">
        <v>215</v>
      </c>
      <c r="E84" t="s">
        <v>23</v>
      </c>
      <c r="F84">
        <v>12</v>
      </c>
      <c r="G84" t="s">
        <v>59</v>
      </c>
      <c r="H84" t="s">
        <v>14</v>
      </c>
      <c r="I84" t="s">
        <v>26</v>
      </c>
    </row>
    <row r="85" spans="1:9" x14ac:dyDescent="0.45">
      <c r="A85" t="s">
        <v>216</v>
      </c>
      <c r="B85" s="2">
        <v>45850</v>
      </c>
      <c r="C85" t="s">
        <v>28</v>
      </c>
      <c r="D85" t="s">
        <v>217</v>
      </c>
      <c r="E85" t="s">
        <v>23</v>
      </c>
      <c r="F85">
        <v>10</v>
      </c>
      <c r="G85" t="s">
        <v>68</v>
      </c>
      <c r="H85" t="s">
        <v>25</v>
      </c>
      <c r="I85" t="s">
        <v>60</v>
      </c>
    </row>
    <row r="86" spans="1:9" x14ac:dyDescent="0.45">
      <c r="A86" t="s">
        <v>218</v>
      </c>
      <c r="B86" s="2">
        <v>45868</v>
      </c>
      <c r="C86" t="s">
        <v>28</v>
      </c>
      <c r="D86" t="s">
        <v>219</v>
      </c>
      <c r="E86" t="s">
        <v>23</v>
      </c>
      <c r="F86">
        <v>3</v>
      </c>
      <c r="G86" t="s">
        <v>18</v>
      </c>
      <c r="H86" t="s">
        <v>14</v>
      </c>
      <c r="I86" t="s">
        <v>31</v>
      </c>
    </row>
    <row r="87" spans="1:9" x14ac:dyDescent="0.45">
      <c r="A87" t="s">
        <v>220</v>
      </c>
      <c r="B87" s="2">
        <v>45862</v>
      </c>
      <c r="C87" t="s">
        <v>49</v>
      </c>
      <c r="D87" t="s">
        <v>221</v>
      </c>
      <c r="E87" t="s">
        <v>46</v>
      </c>
      <c r="F87">
        <v>9</v>
      </c>
      <c r="G87" t="s">
        <v>43</v>
      </c>
      <c r="H87" t="s">
        <v>14</v>
      </c>
      <c r="I87" t="s">
        <v>47</v>
      </c>
    </row>
    <row r="88" spans="1:9" x14ac:dyDescent="0.45">
      <c r="A88" t="s">
        <v>222</v>
      </c>
      <c r="B88" s="2">
        <v>45829</v>
      </c>
      <c r="C88" t="s">
        <v>10</v>
      </c>
      <c r="D88" t="s">
        <v>223</v>
      </c>
      <c r="E88" t="s">
        <v>38</v>
      </c>
      <c r="F88">
        <v>1</v>
      </c>
      <c r="G88" t="s">
        <v>24</v>
      </c>
      <c r="H88" t="s">
        <v>25</v>
      </c>
      <c r="I88" t="s">
        <v>39</v>
      </c>
    </row>
    <row r="89" spans="1:9" x14ac:dyDescent="0.45">
      <c r="A89" t="s">
        <v>224</v>
      </c>
      <c r="B89" s="2">
        <v>45695</v>
      </c>
      <c r="C89" t="s">
        <v>52</v>
      </c>
      <c r="D89" t="s">
        <v>225</v>
      </c>
      <c r="E89" t="s">
        <v>42</v>
      </c>
      <c r="F89">
        <v>6</v>
      </c>
      <c r="G89" t="s">
        <v>13</v>
      </c>
      <c r="H89" t="s">
        <v>14</v>
      </c>
      <c r="I89" t="s">
        <v>19</v>
      </c>
    </row>
    <row r="90" spans="1:9" x14ac:dyDescent="0.45">
      <c r="A90" t="s">
        <v>226</v>
      </c>
      <c r="B90" s="2">
        <v>45714</v>
      </c>
      <c r="C90" t="s">
        <v>49</v>
      </c>
      <c r="D90" t="s">
        <v>227</v>
      </c>
      <c r="E90" t="s">
        <v>23</v>
      </c>
      <c r="F90">
        <v>9</v>
      </c>
      <c r="G90" t="s">
        <v>24</v>
      </c>
      <c r="H90" t="s">
        <v>25</v>
      </c>
      <c r="I90" t="s">
        <v>47</v>
      </c>
    </row>
    <row r="91" spans="1:9" x14ac:dyDescent="0.45">
      <c r="A91" t="s">
        <v>228</v>
      </c>
      <c r="B91" s="2">
        <v>45859</v>
      </c>
      <c r="C91" t="s">
        <v>99</v>
      </c>
      <c r="D91" t="s">
        <v>229</v>
      </c>
      <c r="E91" t="s">
        <v>7973</v>
      </c>
      <c r="F91">
        <v>1</v>
      </c>
      <c r="G91" t="s">
        <v>59</v>
      </c>
      <c r="H91" t="s">
        <v>14</v>
      </c>
      <c r="I91" t="s">
        <v>60</v>
      </c>
    </row>
    <row r="92" spans="1:9" x14ac:dyDescent="0.45">
      <c r="A92" t="s">
        <v>230</v>
      </c>
      <c r="B92" s="2">
        <v>45833</v>
      </c>
      <c r="C92" t="s">
        <v>10</v>
      </c>
      <c r="D92" t="s">
        <v>231</v>
      </c>
      <c r="E92" t="s">
        <v>23</v>
      </c>
      <c r="F92">
        <v>7</v>
      </c>
      <c r="G92" t="s">
        <v>43</v>
      </c>
      <c r="H92" t="s">
        <v>14</v>
      </c>
      <c r="I92" t="s">
        <v>39</v>
      </c>
    </row>
    <row r="93" spans="1:9" x14ac:dyDescent="0.45">
      <c r="A93" t="s">
        <v>232</v>
      </c>
      <c r="B93" s="2">
        <v>45863</v>
      </c>
      <c r="C93" t="s">
        <v>28</v>
      </c>
      <c r="D93" t="s">
        <v>233</v>
      </c>
      <c r="E93" t="s">
        <v>58</v>
      </c>
      <c r="F93">
        <v>7</v>
      </c>
      <c r="G93" t="s">
        <v>59</v>
      </c>
      <c r="H93" t="s">
        <v>14</v>
      </c>
      <c r="I93" t="s">
        <v>19</v>
      </c>
    </row>
    <row r="94" spans="1:9" x14ac:dyDescent="0.45">
      <c r="A94" t="s">
        <v>234</v>
      </c>
      <c r="B94" s="2">
        <v>45778</v>
      </c>
      <c r="C94" t="s">
        <v>49</v>
      </c>
      <c r="D94" t="s">
        <v>235</v>
      </c>
      <c r="E94" t="s">
        <v>75</v>
      </c>
      <c r="F94">
        <v>1</v>
      </c>
      <c r="G94" t="s">
        <v>13</v>
      </c>
      <c r="H94" t="s">
        <v>14</v>
      </c>
      <c r="I94" t="s">
        <v>39</v>
      </c>
    </row>
    <row r="95" spans="1:9" x14ac:dyDescent="0.45">
      <c r="A95" t="s">
        <v>236</v>
      </c>
      <c r="B95" s="2">
        <v>45895</v>
      </c>
      <c r="C95" t="s">
        <v>21</v>
      </c>
      <c r="D95" t="s">
        <v>237</v>
      </c>
      <c r="E95" t="s">
        <v>7973</v>
      </c>
      <c r="F95">
        <v>8</v>
      </c>
      <c r="G95" t="s">
        <v>13</v>
      </c>
      <c r="H95" t="s">
        <v>14</v>
      </c>
      <c r="I95" t="s">
        <v>60</v>
      </c>
    </row>
    <row r="96" spans="1:9" x14ac:dyDescent="0.45">
      <c r="A96" t="s">
        <v>238</v>
      </c>
      <c r="B96" s="2">
        <v>45780</v>
      </c>
      <c r="C96" t="s">
        <v>66</v>
      </c>
      <c r="D96" t="s">
        <v>239</v>
      </c>
      <c r="E96" t="s">
        <v>71</v>
      </c>
      <c r="F96">
        <v>9</v>
      </c>
      <c r="G96" t="s">
        <v>35</v>
      </c>
      <c r="H96" t="s">
        <v>25</v>
      </c>
      <c r="I96" t="s">
        <v>19</v>
      </c>
    </row>
    <row r="97" spans="1:9" x14ac:dyDescent="0.45">
      <c r="A97" t="s">
        <v>240</v>
      </c>
      <c r="B97" s="2">
        <v>45871</v>
      </c>
      <c r="C97" t="s">
        <v>49</v>
      </c>
      <c r="D97" t="s">
        <v>241</v>
      </c>
      <c r="E97" t="s">
        <v>58</v>
      </c>
      <c r="F97">
        <v>4</v>
      </c>
      <c r="G97" t="s">
        <v>13</v>
      </c>
      <c r="H97" t="s">
        <v>14</v>
      </c>
      <c r="I97" t="s">
        <v>31</v>
      </c>
    </row>
    <row r="98" spans="1:9" x14ac:dyDescent="0.45">
      <c r="A98" t="s">
        <v>242</v>
      </c>
      <c r="B98" s="2">
        <v>45687</v>
      </c>
      <c r="C98" t="s">
        <v>99</v>
      </c>
      <c r="D98" t="s">
        <v>243</v>
      </c>
      <c r="E98" t="s">
        <v>75</v>
      </c>
      <c r="F98">
        <v>5</v>
      </c>
      <c r="G98" t="s">
        <v>18</v>
      </c>
      <c r="H98" t="s">
        <v>14</v>
      </c>
      <c r="I98" t="s">
        <v>39</v>
      </c>
    </row>
    <row r="99" spans="1:9" x14ac:dyDescent="0.45">
      <c r="A99" t="s">
        <v>244</v>
      </c>
      <c r="B99" s="2">
        <v>45677</v>
      </c>
      <c r="C99" t="s">
        <v>28</v>
      </c>
      <c r="D99" t="s">
        <v>245</v>
      </c>
      <c r="E99" t="s">
        <v>54</v>
      </c>
      <c r="F99">
        <v>8</v>
      </c>
      <c r="G99" t="s">
        <v>55</v>
      </c>
      <c r="H99" t="s">
        <v>72</v>
      </c>
      <c r="I99" t="s">
        <v>39</v>
      </c>
    </row>
    <row r="100" spans="1:9" x14ac:dyDescent="0.45">
      <c r="A100" t="s">
        <v>246</v>
      </c>
      <c r="B100" s="2">
        <v>45764</v>
      </c>
      <c r="C100" t="s">
        <v>28</v>
      </c>
      <c r="D100" t="s">
        <v>247</v>
      </c>
      <c r="E100" t="s">
        <v>7973</v>
      </c>
      <c r="F100">
        <v>11</v>
      </c>
      <c r="G100" t="s">
        <v>43</v>
      </c>
      <c r="H100" t="s">
        <v>14</v>
      </c>
      <c r="I100" t="s">
        <v>60</v>
      </c>
    </row>
    <row r="101" spans="1:9" x14ac:dyDescent="0.45">
      <c r="A101" t="s">
        <v>248</v>
      </c>
      <c r="B101" s="2">
        <v>45728</v>
      </c>
      <c r="C101" t="s">
        <v>16</v>
      </c>
      <c r="D101" t="s">
        <v>249</v>
      </c>
      <c r="E101" t="s">
        <v>7973</v>
      </c>
      <c r="F101">
        <v>9</v>
      </c>
      <c r="G101" t="s">
        <v>43</v>
      </c>
      <c r="H101" t="s">
        <v>14</v>
      </c>
      <c r="I101" t="s">
        <v>47</v>
      </c>
    </row>
    <row r="102" spans="1:9" x14ac:dyDescent="0.45">
      <c r="A102" t="s">
        <v>250</v>
      </c>
      <c r="B102" s="2">
        <v>45720</v>
      </c>
      <c r="C102" t="s">
        <v>66</v>
      </c>
      <c r="D102" t="s">
        <v>251</v>
      </c>
      <c r="E102" t="s">
        <v>34</v>
      </c>
      <c r="F102">
        <v>7</v>
      </c>
      <c r="G102" t="s">
        <v>43</v>
      </c>
      <c r="H102" t="s">
        <v>14</v>
      </c>
      <c r="I102" t="s">
        <v>19</v>
      </c>
    </row>
    <row r="103" spans="1:9" x14ac:dyDescent="0.45">
      <c r="A103" t="s">
        <v>252</v>
      </c>
      <c r="B103" s="2">
        <v>45869</v>
      </c>
      <c r="C103" t="s">
        <v>10</v>
      </c>
      <c r="D103" t="s">
        <v>253</v>
      </c>
      <c r="E103" t="s">
        <v>75</v>
      </c>
      <c r="F103">
        <v>4</v>
      </c>
      <c r="G103" t="s">
        <v>68</v>
      </c>
      <c r="H103" t="s">
        <v>25</v>
      </c>
      <c r="I103" t="s">
        <v>31</v>
      </c>
    </row>
    <row r="104" spans="1:9" x14ac:dyDescent="0.45">
      <c r="A104" t="s">
        <v>254</v>
      </c>
      <c r="B104" s="2">
        <v>45733</v>
      </c>
      <c r="C104" t="s">
        <v>28</v>
      </c>
      <c r="D104" t="s">
        <v>255</v>
      </c>
      <c r="E104" t="s">
        <v>38</v>
      </c>
      <c r="F104">
        <v>8</v>
      </c>
      <c r="G104" t="s">
        <v>68</v>
      </c>
      <c r="H104" t="s">
        <v>25</v>
      </c>
      <c r="I104" t="s">
        <v>26</v>
      </c>
    </row>
    <row r="105" spans="1:9" x14ac:dyDescent="0.45">
      <c r="A105" t="s">
        <v>256</v>
      </c>
      <c r="B105" s="2">
        <v>45711</v>
      </c>
      <c r="C105" t="s">
        <v>66</v>
      </c>
      <c r="D105" t="s">
        <v>257</v>
      </c>
      <c r="E105" t="s">
        <v>23</v>
      </c>
      <c r="F105">
        <v>6</v>
      </c>
      <c r="G105" t="s">
        <v>59</v>
      </c>
      <c r="H105" t="s">
        <v>14</v>
      </c>
      <c r="I105" t="s">
        <v>60</v>
      </c>
    </row>
    <row r="106" spans="1:9" x14ac:dyDescent="0.45">
      <c r="A106" t="s">
        <v>258</v>
      </c>
      <c r="B106" s="2">
        <v>45748</v>
      </c>
      <c r="C106" t="s">
        <v>16</v>
      </c>
      <c r="D106" t="s">
        <v>259</v>
      </c>
      <c r="E106" t="s">
        <v>34</v>
      </c>
      <c r="F106">
        <v>3</v>
      </c>
      <c r="G106" t="s">
        <v>35</v>
      </c>
      <c r="H106" t="s">
        <v>25</v>
      </c>
      <c r="I106" t="s">
        <v>19</v>
      </c>
    </row>
    <row r="107" spans="1:9" x14ac:dyDescent="0.45">
      <c r="A107" t="s">
        <v>260</v>
      </c>
      <c r="B107" s="2">
        <v>45670</v>
      </c>
      <c r="C107" t="s">
        <v>16</v>
      </c>
      <c r="D107" t="s">
        <v>261</v>
      </c>
      <c r="E107" t="s">
        <v>30</v>
      </c>
      <c r="F107">
        <v>9</v>
      </c>
      <c r="G107" t="s">
        <v>24</v>
      </c>
      <c r="H107" t="s">
        <v>25</v>
      </c>
      <c r="I107" t="s">
        <v>47</v>
      </c>
    </row>
    <row r="108" spans="1:9" x14ac:dyDescent="0.45">
      <c r="A108" t="s">
        <v>262</v>
      </c>
      <c r="B108" s="2">
        <v>45688</v>
      </c>
      <c r="C108" t="s">
        <v>52</v>
      </c>
      <c r="D108" t="s">
        <v>263</v>
      </c>
      <c r="E108" t="s">
        <v>75</v>
      </c>
      <c r="F108">
        <v>6</v>
      </c>
      <c r="G108" t="s">
        <v>18</v>
      </c>
      <c r="H108" t="s">
        <v>14</v>
      </c>
      <c r="I108" t="s">
        <v>26</v>
      </c>
    </row>
    <row r="109" spans="1:9" x14ac:dyDescent="0.45">
      <c r="A109" t="s">
        <v>264</v>
      </c>
      <c r="B109" s="2">
        <v>45859</v>
      </c>
      <c r="C109" t="s">
        <v>66</v>
      </c>
      <c r="D109" t="s">
        <v>265</v>
      </c>
      <c r="E109" t="s">
        <v>71</v>
      </c>
      <c r="F109">
        <v>9</v>
      </c>
      <c r="G109" t="s">
        <v>24</v>
      </c>
      <c r="H109" t="s">
        <v>25</v>
      </c>
      <c r="I109" t="s">
        <v>26</v>
      </c>
    </row>
    <row r="110" spans="1:9" x14ac:dyDescent="0.45">
      <c r="A110" t="s">
        <v>266</v>
      </c>
      <c r="B110" s="2">
        <v>45724</v>
      </c>
      <c r="C110" t="s">
        <v>49</v>
      </c>
      <c r="D110" t="s">
        <v>267</v>
      </c>
      <c r="E110" t="s">
        <v>23</v>
      </c>
      <c r="F110">
        <v>12</v>
      </c>
      <c r="G110" t="s">
        <v>68</v>
      </c>
      <c r="H110" t="s">
        <v>25</v>
      </c>
      <c r="I110" t="s">
        <v>19</v>
      </c>
    </row>
    <row r="111" spans="1:9" x14ac:dyDescent="0.45">
      <c r="A111" t="s">
        <v>268</v>
      </c>
      <c r="B111" s="2">
        <v>45679</v>
      </c>
      <c r="C111" t="s">
        <v>10</v>
      </c>
      <c r="D111" t="s">
        <v>269</v>
      </c>
      <c r="E111" t="s">
        <v>7974</v>
      </c>
      <c r="F111">
        <v>3</v>
      </c>
      <c r="G111" t="s">
        <v>13</v>
      </c>
      <c r="H111" t="s">
        <v>14</v>
      </c>
      <c r="I111" t="s">
        <v>47</v>
      </c>
    </row>
    <row r="112" spans="1:9" x14ac:dyDescent="0.45">
      <c r="A112" t="s">
        <v>270</v>
      </c>
      <c r="B112" s="2">
        <v>45739</v>
      </c>
      <c r="C112" t="s">
        <v>10</v>
      </c>
      <c r="D112" t="s">
        <v>271</v>
      </c>
      <c r="E112" t="s">
        <v>42</v>
      </c>
      <c r="F112">
        <v>7</v>
      </c>
      <c r="G112" t="s">
        <v>43</v>
      </c>
      <c r="H112" t="s">
        <v>14</v>
      </c>
      <c r="I112" t="s">
        <v>26</v>
      </c>
    </row>
    <row r="113" spans="1:9" x14ac:dyDescent="0.45">
      <c r="A113" t="s">
        <v>272</v>
      </c>
      <c r="B113" s="2">
        <v>45848</v>
      </c>
      <c r="C113" t="s">
        <v>16</v>
      </c>
      <c r="D113" t="s">
        <v>273</v>
      </c>
      <c r="E113" t="s">
        <v>75</v>
      </c>
      <c r="F113">
        <v>7</v>
      </c>
      <c r="G113" t="s">
        <v>55</v>
      </c>
      <c r="H113" t="s">
        <v>72</v>
      </c>
      <c r="I113" t="s">
        <v>31</v>
      </c>
    </row>
    <row r="114" spans="1:9" x14ac:dyDescent="0.45">
      <c r="A114" t="s">
        <v>274</v>
      </c>
      <c r="B114" s="2">
        <v>45868</v>
      </c>
      <c r="C114" t="s">
        <v>28</v>
      </c>
      <c r="D114" t="s">
        <v>275</v>
      </c>
      <c r="E114" t="s">
        <v>7967</v>
      </c>
      <c r="F114">
        <v>11</v>
      </c>
      <c r="G114" t="s">
        <v>68</v>
      </c>
      <c r="H114" t="s">
        <v>25</v>
      </c>
      <c r="I114" t="s">
        <v>26</v>
      </c>
    </row>
    <row r="115" spans="1:9" x14ac:dyDescent="0.45">
      <c r="A115" t="s">
        <v>276</v>
      </c>
      <c r="B115" s="2">
        <v>45900</v>
      </c>
      <c r="C115" t="s">
        <v>16</v>
      </c>
      <c r="D115" t="s">
        <v>277</v>
      </c>
      <c r="E115" t="s">
        <v>30</v>
      </c>
      <c r="F115">
        <v>4</v>
      </c>
      <c r="G115" t="s">
        <v>35</v>
      </c>
      <c r="H115" t="s">
        <v>25</v>
      </c>
      <c r="I115" t="s">
        <v>47</v>
      </c>
    </row>
    <row r="116" spans="1:9" x14ac:dyDescent="0.45">
      <c r="A116" t="s">
        <v>278</v>
      </c>
      <c r="B116" s="2">
        <v>45903</v>
      </c>
      <c r="C116" t="s">
        <v>49</v>
      </c>
      <c r="D116" t="s">
        <v>279</v>
      </c>
      <c r="E116" t="s">
        <v>34</v>
      </c>
      <c r="F116">
        <v>12</v>
      </c>
      <c r="G116" t="s">
        <v>18</v>
      </c>
      <c r="H116" t="s">
        <v>14</v>
      </c>
      <c r="I116" t="s">
        <v>19</v>
      </c>
    </row>
    <row r="117" spans="1:9" x14ac:dyDescent="0.45">
      <c r="A117" t="s">
        <v>280</v>
      </c>
      <c r="B117" s="2">
        <v>45864</v>
      </c>
      <c r="C117" t="s">
        <v>52</v>
      </c>
      <c r="D117" t="s">
        <v>281</v>
      </c>
      <c r="E117" t="s">
        <v>38</v>
      </c>
      <c r="F117">
        <v>7</v>
      </c>
      <c r="G117" t="s">
        <v>18</v>
      </c>
      <c r="H117" t="s">
        <v>14</v>
      </c>
      <c r="I117" t="s">
        <v>19</v>
      </c>
    </row>
    <row r="118" spans="1:9" x14ac:dyDescent="0.45">
      <c r="A118" t="s">
        <v>282</v>
      </c>
      <c r="B118" s="2">
        <v>45815</v>
      </c>
      <c r="C118" t="s">
        <v>10</v>
      </c>
      <c r="D118" t="s">
        <v>283</v>
      </c>
      <c r="E118" t="s">
        <v>71</v>
      </c>
      <c r="F118">
        <v>4</v>
      </c>
      <c r="G118" t="s">
        <v>68</v>
      </c>
      <c r="H118" t="s">
        <v>25</v>
      </c>
      <c r="I118" t="s">
        <v>31</v>
      </c>
    </row>
    <row r="119" spans="1:9" x14ac:dyDescent="0.45">
      <c r="A119" t="s">
        <v>284</v>
      </c>
      <c r="B119" s="2">
        <v>45886</v>
      </c>
      <c r="C119" t="s">
        <v>28</v>
      </c>
      <c r="D119" t="s">
        <v>285</v>
      </c>
      <c r="E119" t="s">
        <v>7973</v>
      </c>
      <c r="F119">
        <v>3</v>
      </c>
      <c r="G119" t="s">
        <v>59</v>
      </c>
      <c r="H119" t="s">
        <v>14</v>
      </c>
      <c r="I119" t="s">
        <v>31</v>
      </c>
    </row>
    <row r="120" spans="1:9" x14ac:dyDescent="0.45">
      <c r="A120" t="s">
        <v>286</v>
      </c>
      <c r="B120" s="2">
        <v>45662</v>
      </c>
      <c r="C120" t="s">
        <v>16</v>
      </c>
      <c r="D120" t="s">
        <v>287</v>
      </c>
      <c r="E120" t="s">
        <v>7974</v>
      </c>
      <c r="F120">
        <v>11</v>
      </c>
      <c r="G120" t="s">
        <v>24</v>
      </c>
      <c r="H120" t="s">
        <v>25</v>
      </c>
      <c r="I120" t="s">
        <v>60</v>
      </c>
    </row>
    <row r="121" spans="1:9" x14ac:dyDescent="0.45">
      <c r="A121" t="s">
        <v>288</v>
      </c>
      <c r="B121" s="2">
        <v>45848</v>
      </c>
      <c r="C121" t="s">
        <v>10</v>
      </c>
      <c r="D121" t="s">
        <v>289</v>
      </c>
      <c r="E121" t="s">
        <v>42</v>
      </c>
      <c r="F121">
        <v>5</v>
      </c>
      <c r="G121" t="s">
        <v>24</v>
      </c>
      <c r="H121" t="s">
        <v>25</v>
      </c>
      <c r="I121" t="s">
        <v>19</v>
      </c>
    </row>
    <row r="122" spans="1:9" x14ac:dyDescent="0.45">
      <c r="A122" t="s">
        <v>290</v>
      </c>
      <c r="B122" s="2">
        <v>45739</v>
      </c>
      <c r="C122" t="s">
        <v>16</v>
      </c>
      <c r="D122" t="s">
        <v>291</v>
      </c>
      <c r="E122" t="s">
        <v>54</v>
      </c>
      <c r="F122">
        <v>1</v>
      </c>
      <c r="G122" t="s">
        <v>24</v>
      </c>
      <c r="H122" t="s">
        <v>25</v>
      </c>
      <c r="I122" t="s">
        <v>31</v>
      </c>
    </row>
    <row r="123" spans="1:9" x14ac:dyDescent="0.45">
      <c r="A123" t="s">
        <v>292</v>
      </c>
      <c r="B123" s="2">
        <v>45895</v>
      </c>
      <c r="C123" t="s">
        <v>52</v>
      </c>
      <c r="D123" t="s">
        <v>293</v>
      </c>
      <c r="E123" t="s">
        <v>58</v>
      </c>
      <c r="F123">
        <v>3</v>
      </c>
      <c r="G123" t="s">
        <v>24</v>
      </c>
      <c r="H123" t="s">
        <v>25</v>
      </c>
      <c r="I123" t="s">
        <v>47</v>
      </c>
    </row>
    <row r="124" spans="1:9" x14ac:dyDescent="0.45">
      <c r="A124" t="s">
        <v>294</v>
      </c>
      <c r="B124" s="2">
        <v>45848</v>
      </c>
      <c r="C124" t="s">
        <v>21</v>
      </c>
      <c r="D124" t="s">
        <v>295</v>
      </c>
      <c r="E124" t="s">
        <v>42</v>
      </c>
      <c r="F124">
        <v>8</v>
      </c>
      <c r="G124" t="s">
        <v>55</v>
      </c>
      <c r="H124" t="s">
        <v>72</v>
      </c>
      <c r="I124" t="s">
        <v>60</v>
      </c>
    </row>
    <row r="125" spans="1:9" x14ac:dyDescent="0.45">
      <c r="A125" t="s">
        <v>296</v>
      </c>
      <c r="B125" s="2">
        <v>45856</v>
      </c>
      <c r="C125" t="s">
        <v>21</v>
      </c>
      <c r="D125" t="s">
        <v>297</v>
      </c>
      <c r="E125" t="s">
        <v>58</v>
      </c>
      <c r="F125">
        <v>5</v>
      </c>
      <c r="G125" t="s">
        <v>24</v>
      </c>
      <c r="H125" t="s">
        <v>25</v>
      </c>
      <c r="I125" t="s">
        <v>19</v>
      </c>
    </row>
    <row r="126" spans="1:9" x14ac:dyDescent="0.45">
      <c r="A126" t="s">
        <v>298</v>
      </c>
      <c r="B126" s="2">
        <v>45894</v>
      </c>
      <c r="C126" t="s">
        <v>21</v>
      </c>
      <c r="D126" t="s">
        <v>299</v>
      </c>
      <c r="E126" t="s">
        <v>42</v>
      </c>
      <c r="F126">
        <v>4</v>
      </c>
      <c r="G126" t="s">
        <v>7967</v>
      </c>
      <c r="H126" t="s">
        <v>14</v>
      </c>
      <c r="I126" t="s">
        <v>60</v>
      </c>
    </row>
    <row r="127" spans="1:9" x14ac:dyDescent="0.45">
      <c r="A127" t="s">
        <v>300</v>
      </c>
      <c r="B127" s="2">
        <v>45819</v>
      </c>
      <c r="C127" t="s">
        <v>16</v>
      </c>
      <c r="D127" t="s">
        <v>301</v>
      </c>
      <c r="E127" t="s">
        <v>23</v>
      </c>
      <c r="F127">
        <v>3</v>
      </c>
      <c r="G127" t="s">
        <v>7967</v>
      </c>
      <c r="H127" t="s">
        <v>14</v>
      </c>
      <c r="I127" t="s">
        <v>60</v>
      </c>
    </row>
    <row r="128" spans="1:9" x14ac:dyDescent="0.45">
      <c r="A128" t="s">
        <v>302</v>
      </c>
      <c r="B128" s="2">
        <v>45805</v>
      </c>
      <c r="C128" t="s">
        <v>49</v>
      </c>
      <c r="D128" t="s">
        <v>303</v>
      </c>
      <c r="E128" t="s">
        <v>34</v>
      </c>
      <c r="F128">
        <v>7</v>
      </c>
      <c r="G128" t="s">
        <v>68</v>
      </c>
      <c r="H128" t="s">
        <v>25</v>
      </c>
      <c r="I128" t="s">
        <v>60</v>
      </c>
    </row>
    <row r="129" spans="1:9" x14ac:dyDescent="0.45">
      <c r="A129" t="s">
        <v>304</v>
      </c>
      <c r="B129" s="2">
        <v>45675</v>
      </c>
      <c r="C129" t="s">
        <v>66</v>
      </c>
      <c r="D129" t="s">
        <v>305</v>
      </c>
      <c r="E129" t="s">
        <v>30</v>
      </c>
      <c r="F129">
        <v>8</v>
      </c>
      <c r="G129" t="s">
        <v>43</v>
      </c>
      <c r="H129" t="s">
        <v>14</v>
      </c>
      <c r="I129" t="s">
        <v>39</v>
      </c>
    </row>
    <row r="130" spans="1:9" x14ac:dyDescent="0.45">
      <c r="A130" t="s">
        <v>306</v>
      </c>
      <c r="B130" s="2">
        <v>45881</v>
      </c>
      <c r="C130" t="s">
        <v>28</v>
      </c>
      <c r="D130" t="s">
        <v>307</v>
      </c>
      <c r="E130" t="s">
        <v>38</v>
      </c>
      <c r="F130">
        <v>10</v>
      </c>
      <c r="G130" t="s">
        <v>35</v>
      </c>
      <c r="H130" t="s">
        <v>25</v>
      </c>
      <c r="I130" t="s">
        <v>26</v>
      </c>
    </row>
    <row r="131" spans="1:9" x14ac:dyDescent="0.45">
      <c r="A131" t="s">
        <v>308</v>
      </c>
      <c r="B131" s="2">
        <v>45899</v>
      </c>
      <c r="C131" t="s">
        <v>21</v>
      </c>
      <c r="D131" t="s">
        <v>309</v>
      </c>
      <c r="E131" t="s">
        <v>30</v>
      </c>
      <c r="F131">
        <v>7</v>
      </c>
      <c r="G131" t="s">
        <v>35</v>
      </c>
      <c r="H131" t="s">
        <v>25</v>
      </c>
      <c r="I131" t="s">
        <v>26</v>
      </c>
    </row>
    <row r="132" spans="1:9" x14ac:dyDescent="0.45">
      <c r="A132" t="s">
        <v>311</v>
      </c>
      <c r="B132" s="2">
        <v>45779</v>
      </c>
      <c r="C132" t="s">
        <v>99</v>
      </c>
      <c r="D132" t="s">
        <v>312</v>
      </c>
      <c r="E132" t="s">
        <v>7967</v>
      </c>
      <c r="F132">
        <v>1</v>
      </c>
      <c r="G132" t="s">
        <v>43</v>
      </c>
      <c r="H132" t="s">
        <v>14</v>
      </c>
      <c r="I132" t="s">
        <v>31</v>
      </c>
    </row>
    <row r="133" spans="1:9" x14ac:dyDescent="0.45">
      <c r="A133" t="s">
        <v>313</v>
      </c>
      <c r="B133" s="2">
        <v>45833</v>
      </c>
      <c r="C133" t="s">
        <v>66</v>
      </c>
      <c r="D133" t="s">
        <v>314</v>
      </c>
      <c r="E133" t="s">
        <v>54</v>
      </c>
      <c r="F133">
        <v>6</v>
      </c>
      <c r="G133" t="s">
        <v>35</v>
      </c>
      <c r="H133" t="s">
        <v>25</v>
      </c>
      <c r="I133" t="s">
        <v>19</v>
      </c>
    </row>
    <row r="134" spans="1:9" x14ac:dyDescent="0.45">
      <c r="A134" t="s">
        <v>315</v>
      </c>
      <c r="B134" s="2">
        <v>45783</v>
      </c>
      <c r="C134" t="s">
        <v>52</v>
      </c>
      <c r="D134" t="s">
        <v>316</v>
      </c>
      <c r="E134" t="s">
        <v>46</v>
      </c>
      <c r="F134">
        <v>11</v>
      </c>
      <c r="G134" t="s">
        <v>24</v>
      </c>
      <c r="H134" t="s">
        <v>25</v>
      </c>
      <c r="I134" t="s">
        <v>19</v>
      </c>
    </row>
    <row r="135" spans="1:9" x14ac:dyDescent="0.45">
      <c r="A135" t="s">
        <v>317</v>
      </c>
      <c r="B135" s="2">
        <v>45787</v>
      </c>
      <c r="C135" t="s">
        <v>49</v>
      </c>
      <c r="D135" t="s">
        <v>318</v>
      </c>
      <c r="E135" t="s">
        <v>7973</v>
      </c>
      <c r="F135">
        <v>10</v>
      </c>
      <c r="G135" t="s">
        <v>59</v>
      </c>
      <c r="H135" t="s">
        <v>14</v>
      </c>
      <c r="I135" t="s">
        <v>31</v>
      </c>
    </row>
    <row r="136" spans="1:9" x14ac:dyDescent="0.45">
      <c r="A136" t="s">
        <v>319</v>
      </c>
      <c r="B136" s="2">
        <v>45850</v>
      </c>
      <c r="C136" t="s">
        <v>52</v>
      </c>
      <c r="D136" t="s">
        <v>320</v>
      </c>
      <c r="E136" t="s">
        <v>34</v>
      </c>
      <c r="F136">
        <v>7</v>
      </c>
      <c r="G136" t="s">
        <v>7967</v>
      </c>
      <c r="H136" t="s">
        <v>25</v>
      </c>
      <c r="I136" t="s">
        <v>60</v>
      </c>
    </row>
    <row r="137" spans="1:9" x14ac:dyDescent="0.45">
      <c r="A137" t="s">
        <v>321</v>
      </c>
      <c r="B137" s="2">
        <v>45901</v>
      </c>
      <c r="C137" t="s">
        <v>49</v>
      </c>
      <c r="D137" t="s">
        <v>322</v>
      </c>
      <c r="E137" t="s">
        <v>75</v>
      </c>
      <c r="F137">
        <v>3</v>
      </c>
      <c r="G137" t="s">
        <v>55</v>
      </c>
      <c r="H137" t="s">
        <v>72</v>
      </c>
      <c r="I137" t="s">
        <v>19</v>
      </c>
    </row>
    <row r="138" spans="1:9" x14ac:dyDescent="0.45">
      <c r="A138" t="s">
        <v>323</v>
      </c>
      <c r="B138" s="2">
        <v>45795</v>
      </c>
      <c r="C138" t="s">
        <v>99</v>
      </c>
      <c r="D138" t="s">
        <v>324</v>
      </c>
      <c r="E138" t="s">
        <v>38</v>
      </c>
      <c r="F138">
        <v>5</v>
      </c>
      <c r="G138" t="s">
        <v>68</v>
      </c>
      <c r="H138" t="s">
        <v>25</v>
      </c>
      <c r="I138" t="s">
        <v>31</v>
      </c>
    </row>
    <row r="139" spans="1:9" x14ac:dyDescent="0.45">
      <c r="A139" t="s">
        <v>325</v>
      </c>
      <c r="B139" s="2">
        <v>45687</v>
      </c>
      <c r="C139" t="s">
        <v>66</v>
      </c>
      <c r="D139" t="s">
        <v>326</v>
      </c>
      <c r="E139" t="s">
        <v>58</v>
      </c>
      <c r="F139">
        <v>1</v>
      </c>
      <c r="G139" t="s">
        <v>18</v>
      </c>
      <c r="H139" t="s">
        <v>14</v>
      </c>
      <c r="I139" t="s">
        <v>19</v>
      </c>
    </row>
    <row r="140" spans="1:9" x14ac:dyDescent="0.45">
      <c r="A140" t="s">
        <v>327</v>
      </c>
      <c r="B140" s="2">
        <v>45773</v>
      </c>
      <c r="C140" t="s">
        <v>16</v>
      </c>
      <c r="D140" t="s">
        <v>328</v>
      </c>
      <c r="E140" t="s">
        <v>71</v>
      </c>
      <c r="F140">
        <v>12</v>
      </c>
      <c r="G140" t="s">
        <v>35</v>
      </c>
      <c r="H140" t="s">
        <v>25</v>
      </c>
      <c r="I140" t="s">
        <v>60</v>
      </c>
    </row>
    <row r="141" spans="1:9" x14ac:dyDescent="0.45">
      <c r="A141" t="s">
        <v>329</v>
      </c>
      <c r="B141" s="2">
        <v>45848</v>
      </c>
      <c r="C141" t="s">
        <v>28</v>
      </c>
      <c r="D141" t="s">
        <v>330</v>
      </c>
      <c r="E141" t="s">
        <v>38</v>
      </c>
      <c r="F141">
        <v>5</v>
      </c>
      <c r="G141" t="s">
        <v>13</v>
      </c>
      <c r="H141" t="s">
        <v>14</v>
      </c>
      <c r="I141" t="s">
        <v>26</v>
      </c>
    </row>
    <row r="142" spans="1:9" x14ac:dyDescent="0.45">
      <c r="A142" t="s">
        <v>331</v>
      </c>
      <c r="B142" s="2">
        <v>45780</v>
      </c>
      <c r="C142" t="s">
        <v>10</v>
      </c>
      <c r="D142" t="s">
        <v>332</v>
      </c>
      <c r="E142" t="s">
        <v>38</v>
      </c>
      <c r="F142">
        <v>7</v>
      </c>
      <c r="G142" t="s">
        <v>24</v>
      </c>
      <c r="H142" t="s">
        <v>25</v>
      </c>
      <c r="I142" t="s">
        <v>60</v>
      </c>
    </row>
    <row r="143" spans="1:9" x14ac:dyDescent="0.45">
      <c r="A143" t="s">
        <v>333</v>
      </c>
      <c r="B143" s="2">
        <v>45814</v>
      </c>
      <c r="C143" t="s">
        <v>52</v>
      </c>
      <c r="D143" t="s">
        <v>334</v>
      </c>
      <c r="E143" t="s">
        <v>7974</v>
      </c>
      <c r="F143">
        <v>7</v>
      </c>
      <c r="G143" t="s">
        <v>43</v>
      </c>
      <c r="H143" t="s">
        <v>14</v>
      </c>
      <c r="I143" t="s">
        <v>60</v>
      </c>
    </row>
    <row r="144" spans="1:9" x14ac:dyDescent="0.45">
      <c r="A144" t="s">
        <v>335</v>
      </c>
      <c r="B144" s="2">
        <v>45824</v>
      </c>
      <c r="C144" t="s">
        <v>49</v>
      </c>
      <c r="D144" t="s">
        <v>336</v>
      </c>
      <c r="E144" t="s">
        <v>75</v>
      </c>
      <c r="F144">
        <v>11</v>
      </c>
      <c r="G144" t="s">
        <v>59</v>
      </c>
      <c r="H144" t="s">
        <v>14</v>
      </c>
      <c r="I144" t="s">
        <v>47</v>
      </c>
    </row>
    <row r="145" spans="1:9" x14ac:dyDescent="0.45">
      <c r="A145" t="s">
        <v>337</v>
      </c>
      <c r="B145" s="2">
        <v>45662</v>
      </c>
      <c r="C145" t="s">
        <v>49</v>
      </c>
      <c r="D145" t="s">
        <v>338</v>
      </c>
      <c r="E145" t="s">
        <v>7973</v>
      </c>
      <c r="F145">
        <v>10</v>
      </c>
      <c r="G145" t="s">
        <v>43</v>
      </c>
      <c r="H145" t="s">
        <v>14</v>
      </c>
      <c r="I145" t="s">
        <v>39</v>
      </c>
    </row>
    <row r="146" spans="1:9" x14ac:dyDescent="0.45">
      <c r="A146" t="s">
        <v>339</v>
      </c>
      <c r="B146" s="2">
        <v>45747</v>
      </c>
      <c r="C146" t="s">
        <v>10</v>
      </c>
      <c r="D146" t="s">
        <v>340</v>
      </c>
      <c r="E146" t="s">
        <v>75</v>
      </c>
      <c r="F146">
        <v>1</v>
      </c>
      <c r="G146" t="s">
        <v>18</v>
      </c>
      <c r="H146" t="s">
        <v>14</v>
      </c>
      <c r="I146" t="s">
        <v>60</v>
      </c>
    </row>
    <row r="147" spans="1:9" x14ac:dyDescent="0.45">
      <c r="A147" t="s">
        <v>341</v>
      </c>
      <c r="B147" s="2">
        <v>45813</v>
      </c>
      <c r="C147" t="s">
        <v>10</v>
      </c>
      <c r="D147" t="s">
        <v>342</v>
      </c>
      <c r="E147" t="s">
        <v>7974</v>
      </c>
      <c r="F147">
        <v>10</v>
      </c>
      <c r="G147" t="s">
        <v>13</v>
      </c>
      <c r="H147" t="s">
        <v>14</v>
      </c>
      <c r="I147" t="s">
        <v>60</v>
      </c>
    </row>
    <row r="148" spans="1:9" x14ac:dyDescent="0.45">
      <c r="A148" t="s">
        <v>343</v>
      </c>
      <c r="B148" s="2">
        <v>45847</v>
      </c>
      <c r="C148" t="s">
        <v>28</v>
      </c>
      <c r="D148" t="s">
        <v>344</v>
      </c>
      <c r="E148" t="s">
        <v>7973</v>
      </c>
      <c r="F148">
        <v>4</v>
      </c>
      <c r="G148" t="s">
        <v>13</v>
      </c>
      <c r="H148" t="s">
        <v>14</v>
      </c>
      <c r="I148" t="s">
        <v>47</v>
      </c>
    </row>
    <row r="149" spans="1:9" x14ac:dyDescent="0.45">
      <c r="A149" t="s">
        <v>345</v>
      </c>
      <c r="B149" s="2">
        <v>45895</v>
      </c>
      <c r="C149" t="s">
        <v>16</v>
      </c>
      <c r="D149" t="s">
        <v>346</v>
      </c>
      <c r="E149" t="s">
        <v>23</v>
      </c>
      <c r="F149">
        <v>7</v>
      </c>
      <c r="G149" t="s">
        <v>18</v>
      </c>
      <c r="H149" t="s">
        <v>14</v>
      </c>
      <c r="I149" t="s">
        <v>39</v>
      </c>
    </row>
    <row r="150" spans="1:9" x14ac:dyDescent="0.45">
      <c r="A150" t="s">
        <v>347</v>
      </c>
      <c r="B150" s="2">
        <v>45738</v>
      </c>
      <c r="C150" t="s">
        <v>21</v>
      </c>
      <c r="D150" t="s">
        <v>348</v>
      </c>
      <c r="E150" t="s">
        <v>71</v>
      </c>
      <c r="F150">
        <v>8</v>
      </c>
      <c r="G150" t="s">
        <v>55</v>
      </c>
      <c r="H150" t="s">
        <v>72</v>
      </c>
      <c r="I150" t="s">
        <v>31</v>
      </c>
    </row>
    <row r="151" spans="1:9" x14ac:dyDescent="0.45">
      <c r="A151" t="s">
        <v>349</v>
      </c>
      <c r="B151" s="2">
        <v>45671</v>
      </c>
      <c r="C151" t="s">
        <v>10</v>
      </c>
      <c r="D151" t="s">
        <v>350</v>
      </c>
      <c r="E151" t="s">
        <v>75</v>
      </c>
      <c r="F151">
        <v>4</v>
      </c>
      <c r="G151" t="s">
        <v>24</v>
      </c>
      <c r="H151" t="s">
        <v>25</v>
      </c>
      <c r="I151" t="s">
        <v>26</v>
      </c>
    </row>
    <row r="152" spans="1:9" x14ac:dyDescent="0.45">
      <c r="A152" t="s">
        <v>351</v>
      </c>
      <c r="B152" s="2">
        <v>45836</v>
      </c>
      <c r="C152" t="s">
        <v>99</v>
      </c>
      <c r="D152" t="s">
        <v>352</v>
      </c>
      <c r="E152" t="s">
        <v>75</v>
      </c>
      <c r="F152">
        <v>5</v>
      </c>
      <c r="G152" t="s">
        <v>43</v>
      </c>
      <c r="H152" t="s">
        <v>14</v>
      </c>
      <c r="I152" t="s">
        <v>26</v>
      </c>
    </row>
    <row r="153" spans="1:9" x14ac:dyDescent="0.45">
      <c r="A153" t="s">
        <v>353</v>
      </c>
      <c r="B153" s="2">
        <v>45765</v>
      </c>
      <c r="C153" t="s">
        <v>99</v>
      </c>
      <c r="D153" t="s">
        <v>354</v>
      </c>
      <c r="E153" t="s">
        <v>75</v>
      </c>
      <c r="F153">
        <v>2</v>
      </c>
      <c r="G153" t="s">
        <v>43</v>
      </c>
      <c r="H153" t="s">
        <v>14</v>
      </c>
      <c r="I153" t="s">
        <v>31</v>
      </c>
    </row>
    <row r="154" spans="1:9" x14ac:dyDescent="0.45">
      <c r="A154" t="s">
        <v>355</v>
      </c>
      <c r="B154" s="2">
        <v>45776</v>
      </c>
      <c r="C154" t="s">
        <v>10</v>
      </c>
      <c r="D154" t="s">
        <v>356</v>
      </c>
      <c r="E154" t="s">
        <v>7974</v>
      </c>
      <c r="F154">
        <v>12</v>
      </c>
      <c r="G154" t="s">
        <v>24</v>
      </c>
      <c r="H154" t="s">
        <v>25</v>
      </c>
      <c r="I154" t="s">
        <v>60</v>
      </c>
    </row>
    <row r="155" spans="1:9" x14ac:dyDescent="0.45">
      <c r="A155" t="s">
        <v>357</v>
      </c>
      <c r="B155" s="2">
        <v>45737</v>
      </c>
      <c r="C155" t="s">
        <v>28</v>
      </c>
      <c r="D155" t="s">
        <v>358</v>
      </c>
      <c r="E155" t="s">
        <v>7974</v>
      </c>
      <c r="F155">
        <v>8</v>
      </c>
      <c r="G155" t="s">
        <v>68</v>
      </c>
      <c r="H155" t="s">
        <v>25</v>
      </c>
      <c r="I155" t="s">
        <v>39</v>
      </c>
    </row>
    <row r="156" spans="1:9" x14ac:dyDescent="0.45">
      <c r="A156" t="s">
        <v>359</v>
      </c>
      <c r="B156" s="2">
        <v>45873</v>
      </c>
      <c r="C156" t="s">
        <v>52</v>
      </c>
      <c r="D156" t="s">
        <v>360</v>
      </c>
      <c r="E156" t="s">
        <v>34</v>
      </c>
      <c r="F156">
        <v>3</v>
      </c>
      <c r="G156" t="s">
        <v>59</v>
      </c>
      <c r="H156" t="s">
        <v>14</v>
      </c>
      <c r="I156" t="s">
        <v>31</v>
      </c>
    </row>
    <row r="157" spans="1:9" x14ac:dyDescent="0.45">
      <c r="A157" t="s">
        <v>361</v>
      </c>
      <c r="B157" s="2">
        <v>45661</v>
      </c>
      <c r="C157" t="s">
        <v>49</v>
      </c>
      <c r="D157" t="s">
        <v>362</v>
      </c>
      <c r="E157" t="s">
        <v>23</v>
      </c>
      <c r="F157">
        <v>2</v>
      </c>
      <c r="G157" t="s">
        <v>13</v>
      </c>
      <c r="H157" t="s">
        <v>14</v>
      </c>
      <c r="I157" t="s">
        <v>31</v>
      </c>
    </row>
    <row r="158" spans="1:9" x14ac:dyDescent="0.45">
      <c r="A158" t="s">
        <v>363</v>
      </c>
      <c r="B158" s="2">
        <v>45747</v>
      </c>
      <c r="C158" t="s">
        <v>49</v>
      </c>
      <c r="D158" t="s">
        <v>364</v>
      </c>
      <c r="E158" t="s">
        <v>58</v>
      </c>
      <c r="F158">
        <v>9</v>
      </c>
      <c r="G158" t="s">
        <v>68</v>
      </c>
      <c r="H158" t="s">
        <v>25</v>
      </c>
      <c r="I158" t="s">
        <v>31</v>
      </c>
    </row>
    <row r="159" spans="1:9" x14ac:dyDescent="0.45">
      <c r="A159" t="s">
        <v>365</v>
      </c>
      <c r="B159" s="2">
        <v>45687</v>
      </c>
      <c r="C159" t="s">
        <v>49</v>
      </c>
      <c r="D159" t="s">
        <v>366</v>
      </c>
      <c r="E159" t="s">
        <v>71</v>
      </c>
      <c r="F159">
        <v>5</v>
      </c>
      <c r="G159" t="s">
        <v>13</v>
      </c>
      <c r="H159" t="s">
        <v>14</v>
      </c>
      <c r="I159" t="s">
        <v>19</v>
      </c>
    </row>
    <row r="160" spans="1:9" x14ac:dyDescent="0.45">
      <c r="A160" t="s">
        <v>367</v>
      </c>
      <c r="B160" s="2">
        <v>45690</v>
      </c>
      <c r="C160" t="s">
        <v>10</v>
      </c>
      <c r="D160" t="s">
        <v>368</v>
      </c>
      <c r="E160" t="s">
        <v>58</v>
      </c>
      <c r="F160">
        <v>11</v>
      </c>
      <c r="G160" t="s">
        <v>35</v>
      </c>
      <c r="H160" t="s">
        <v>25</v>
      </c>
      <c r="I160" t="s">
        <v>26</v>
      </c>
    </row>
    <row r="161" spans="1:9" x14ac:dyDescent="0.45">
      <c r="A161" t="s">
        <v>369</v>
      </c>
      <c r="B161" s="2">
        <v>45897</v>
      </c>
      <c r="C161" t="s">
        <v>52</v>
      </c>
      <c r="D161" t="s">
        <v>370</v>
      </c>
      <c r="E161" t="s">
        <v>7974</v>
      </c>
      <c r="F161">
        <v>4</v>
      </c>
      <c r="G161" t="s">
        <v>18</v>
      </c>
      <c r="H161" t="s">
        <v>14</v>
      </c>
      <c r="I161" t="s">
        <v>47</v>
      </c>
    </row>
    <row r="162" spans="1:9" x14ac:dyDescent="0.45">
      <c r="A162" t="s">
        <v>371</v>
      </c>
      <c r="B162" s="2">
        <v>45783</v>
      </c>
      <c r="C162" t="s">
        <v>99</v>
      </c>
      <c r="D162" t="s">
        <v>372</v>
      </c>
      <c r="E162" t="s">
        <v>30</v>
      </c>
      <c r="F162">
        <v>2</v>
      </c>
      <c r="G162" t="s">
        <v>18</v>
      </c>
      <c r="H162" t="s">
        <v>14</v>
      </c>
      <c r="I162" t="s">
        <v>26</v>
      </c>
    </row>
    <row r="163" spans="1:9" x14ac:dyDescent="0.45">
      <c r="A163" t="s">
        <v>373</v>
      </c>
      <c r="B163" s="2">
        <v>45746</v>
      </c>
      <c r="C163" t="s">
        <v>99</v>
      </c>
      <c r="D163" t="s">
        <v>374</v>
      </c>
      <c r="E163" t="s">
        <v>54</v>
      </c>
      <c r="F163">
        <v>8</v>
      </c>
      <c r="G163" t="s">
        <v>68</v>
      </c>
      <c r="H163" t="s">
        <v>25</v>
      </c>
      <c r="I163" t="s">
        <v>47</v>
      </c>
    </row>
    <row r="164" spans="1:9" x14ac:dyDescent="0.45">
      <c r="A164" t="s">
        <v>375</v>
      </c>
      <c r="B164" s="2">
        <v>45764</v>
      </c>
      <c r="C164" t="s">
        <v>16</v>
      </c>
      <c r="D164" t="s">
        <v>376</v>
      </c>
      <c r="E164" t="s">
        <v>58</v>
      </c>
      <c r="F164">
        <v>5</v>
      </c>
      <c r="G164" t="s">
        <v>68</v>
      </c>
      <c r="H164" t="s">
        <v>25</v>
      </c>
      <c r="I164" t="s">
        <v>39</v>
      </c>
    </row>
    <row r="165" spans="1:9" x14ac:dyDescent="0.45">
      <c r="A165" t="s">
        <v>377</v>
      </c>
      <c r="B165" s="2">
        <v>45857</v>
      </c>
      <c r="C165" t="s">
        <v>49</v>
      </c>
      <c r="D165" t="s">
        <v>378</v>
      </c>
      <c r="E165" t="s">
        <v>46</v>
      </c>
      <c r="F165">
        <v>7</v>
      </c>
      <c r="G165" t="s">
        <v>18</v>
      </c>
      <c r="H165" t="s">
        <v>14</v>
      </c>
      <c r="I165" t="s">
        <v>19</v>
      </c>
    </row>
    <row r="166" spans="1:9" x14ac:dyDescent="0.45">
      <c r="A166" t="s">
        <v>379</v>
      </c>
      <c r="B166" s="2">
        <v>45896</v>
      </c>
      <c r="C166" t="s">
        <v>16</v>
      </c>
      <c r="D166" t="s">
        <v>380</v>
      </c>
      <c r="E166" t="s">
        <v>38</v>
      </c>
      <c r="F166">
        <v>4</v>
      </c>
      <c r="G166" t="s">
        <v>18</v>
      </c>
      <c r="H166" t="s">
        <v>14</v>
      </c>
      <c r="I166" t="s">
        <v>60</v>
      </c>
    </row>
    <row r="167" spans="1:9" x14ac:dyDescent="0.45">
      <c r="A167" t="s">
        <v>381</v>
      </c>
      <c r="B167" s="2">
        <v>45705</v>
      </c>
      <c r="C167" t="s">
        <v>21</v>
      </c>
      <c r="D167" t="s">
        <v>382</v>
      </c>
      <c r="E167" t="s">
        <v>7974</v>
      </c>
      <c r="F167">
        <v>10</v>
      </c>
      <c r="G167" t="s">
        <v>55</v>
      </c>
      <c r="H167" t="s">
        <v>72</v>
      </c>
      <c r="I167" t="s">
        <v>47</v>
      </c>
    </row>
    <row r="168" spans="1:9" x14ac:dyDescent="0.45">
      <c r="A168" t="s">
        <v>383</v>
      </c>
      <c r="B168" s="2">
        <v>45685</v>
      </c>
      <c r="C168" t="s">
        <v>28</v>
      </c>
      <c r="D168" t="s">
        <v>384</v>
      </c>
      <c r="E168" t="s">
        <v>75</v>
      </c>
      <c r="F168">
        <v>11</v>
      </c>
      <c r="G168" t="s">
        <v>55</v>
      </c>
      <c r="H168" t="s">
        <v>72</v>
      </c>
      <c r="I168" t="s">
        <v>39</v>
      </c>
    </row>
    <row r="169" spans="1:9" x14ac:dyDescent="0.45">
      <c r="A169" t="s">
        <v>385</v>
      </c>
      <c r="B169" s="2">
        <v>45802</v>
      </c>
      <c r="C169" t="s">
        <v>16</v>
      </c>
      <c r="D169" t="s">
        <v>386</v>
      </c>
      <c r="E169" t="s">
        <v>71</v>
      </c>
      <c r="F169">
        <v>3</v>
      </c>
      <c r="G169" t="s">
        <v>55</v>
      </c>
      <c r="H169" t="s">
        <v>72</v>
      </c>
      <c r="I169" t="s">
        <v>39</v>
      </c>
    </row>
    <row r="170" spans="1:9" x14ac:dyDescent="0.45">
      <c r="A170" t="s">
        <v>387</v>
      </c>
      <c r="B170" s="2">
        <v>45850</v>
      </c>
      <c r="C170" t="s">
        <v>49</v>
      </c>
      <c r="D170" t="s">
        <v>388</v>
      </c>
      <c r="E170" t="s">
        <v>7967</v>
      </c>
      <c r="F170">
        <v>3</v>
      </c>
      <c r="G170" t="s">
        <v>13</v>
      </c>
      <c r="H170" t="s">
        <v>14</v>
      </c>
      <c r="I170" t="s">
        <v>60</v>
      </c>
    </row>
    <row r="171" spans="1:9" x14ac:dyDescent="0.45">
      <c r="A171" t="s">
        <v>389</v>
      </c>
      <c r="B171" s="2">
        <v>45841</v>
      </c>
      <c r="C171" t="s">
        <v>28</v>
      </c>
      <c r="D171" t="s">
        <v>390</v>
      </c>
      <c r="E171" t="s">
        <v>34</v>
      </c>
      <c r="F171">
        <v>7</v>
      </c>
      <c r="G171" t="s">
        <v>35</v>
      </c>
      <c r="H171" t="s">
        <v>25</v>
      </c>
      <c r="I171" t="s">
        <v>19</v>
      </c>
    </row>
    <row r="172" spans="1:9" x14ac:dyDescent="0.45">
      <c r="A172" t="s">
        <v>391</v>
      </c>
      <c r="B172" s="2">
        <v>45808</v>
      </c>
      <c r="C172" t="s">
        <v>28</v>
      </c>
      <c r="D172" t="s">
        <v>392</v>
      </c>
      <c r="E172" t="s">
        <v>42</v>
      </c>
      <c r="F172">
        <v>8</v>
      </c>
      <c r="G172" t="s">
        <v>43</v>
      </c>
      <c r="H172" t="s">
        <v>14</v>
      </c>
      <c r="I172" t="s">
        <v>19</v>
      </c>
    </row>
    <row r="173" spans="1:9" x14ac:dyDescent="0.45">
      <c r="A173" t="s">
        <v>393</v>
      </c>
      <c r="B173" s="2">
        <v>45814</v>
      </c>
      <c r="C173" t="s">
        <v>28</v>
      </c>
      <c r="D173" t="s">
        <v>394</v>
      </c>
      <c r="E173" t="s">
        <v>71</v>
      </c>
      <c r="F173">
        <v>4</v>
      </c>
      <c r="G173" t="s">
        <v>24</v>
      </c>
      <c r="H173" t="s">
        <v>25</v>
      </c>
      <c r="I173" t="s">
        <v>39</v>
      </c>
    </row>
    <row r="174" spans="1:9" x14ac:dyDescent="0.45">
      <c r="A174" t="s">
        <v>395</v>
      </c>
      <c r="B174" s="2">
        <v>45706</v>
      </c>
      <c r="C174" t="s">
        <v>16</v>
      </c>
      <c r="D174" t="s">
        <v>396</v>
      </c>
      <c r="E174" t="s">
        <v>34</v>
      </c>
      <c r="F174">
        <v>9</v>
      </c>
      <c r="G174" t="s">
        <v>68</v>
      </c>
      <c r="H174" t="s">
        <v>25</v>
      </c>
      <c r="I174" t="s">
        <v>26</v>
      </c>
    </row>
    <row r="175" spans="1:9" x14ac:dyDescent="0.45">
      <c r="A175" t="s">
        <v>397</v>
      </c>
      <c r="B175" s="2">
        <v>45680</v>
      </c>
      <c r="C175" t="s">
        <v>16</v>
      </c>
      <c r="D175" t="s">
        <v>398</v>
      </c>
      <c r="E175" t="s">
        <v>58</v>
      </c>
      <c r="F175">
        <v>7</v>
      </c>
      <c r="G175" t="s">
        <v>68</v>
      </c>
      <c r="H175" t="s">
        <v>25</v>
      </c>
      <c r="I175" t="s">
        <v>19</v>
      </c>
    </row>
    <row r="176" spans="1:9" x14ac:dyDescent="0.45">
      <c r="A176" t="s">
        <v>399</v>
      </c>
      <c r="B176" s="2">
        <v>45841</v>
      </c>
      <c r="C176" t="s">
        <v>10</v>
      </c>
      <c r="D176" t="s">
        <v>400</v>
      </c>
      <c r="E176" t="s">
        <v>38</v>
      </c>
      <c r="F176">
        <v>9</v>
      </c>
      <c r="G176" t="s">
        <v>68</v>
      </c>
      <c r="H176" t="s">
        <v>25</v>
      </c>
      <c r="I176" t="s">
        <v>47</v>
      </c>
    </row>
    <row r="177" spans="1:9" x14ac:dyDescent="0.45">
      <c r="A177" t="s">
        <v>401</v>
      </c>
      <c r="B177" s="2">
        <v>45776</v>
      </c>
      <c r="C177" t="s">
        <v>52</v>
      </c>
      <c r="D177" t="s">
        <v>402</v>
      </c>
      <c r="E177" t="s">
        <v>46</v>
      </c>
      <c r="F177">
        <v>2</v>
      </c>
      <c r="G177" t="s">
        <v>55</v>
      </c>
      <c r="H177" t="s">
        <v>72</v>
      </c>
      <c r="I177" t="s">
        <v>19</v>
      </c>
    </row>
    <row r="178" spans="1:9" x14ac:dyDescent="0.45">
      <c r="A178" t="s">
        <v>403</v>
      </c>
      <c r="B178" s="2">
        <v>45826</v>
      </c>
      <c r="C178" t="s">
        <v>52</v>
      </c>
      <c r="D178" t="s">
        <v>404</v>
      </c>
      <c r="E178" t="s">
        <v>46</v>
      </c>
      <c r="F178">
        <v>3</v>
      </c>
      <c r="G178" t="s">
        <v>18</v>
      </c>
      <c r="H178" t="s">
        <v>14</v>
      </c>
      <c r="I178" t="s">
        <v>60</v>
      </c>
    </row>
    <row r="179" spans="1:9" x14ac:dyDescent="0.45">
      <c r="A179" t="s">
        <v>405</v>
      </c>
      <c r="B179" s="2">
        <v>45680</v>
      </c>
      <c r="C179" t="s">
        <v>10</v>
      </c>
      <c r="D179" t="s">
        <v>406</v>
      </c>
      <c r="E179" t="s">
        <v>7974</v>
      </c>
      <c r="F179">
        <v>8</v>
      </c>
      <c r="G179" t="s">
        <v>68</v>
      </c>
      <c r="H179" t="s">
        <v>25</v>
      </c>
      <c r="I179" t="s">
        <v>60</v>
      </c>
    </row>
    <row r="180" spans="1:9" x14ac:dyDescent="0.45">
      <c r="A180" t="s">
        <v>407</v>
      </c>
      <c r="B180" s="2">
        <v>45853</v>
      </c>
      <c r="C180" t="s">
        <v>49</v>
      </c>
      <c r="D180" t="s">
        <v>408</v>
      </c>
      <c r="E180" t="s">
        <v>58</v>
      </c>
      <c r="F180">
        <v>7</v>
      </c>
      <c r="G180" t="s">
        <v>24</v>
      </c>
      <c r="H180" t="s">
        <v>25</v>
      </c>
      <c r="I180" t="s">
        <v>60</v>
      </c>
    </row>
    <row r="181" spans="1:9" x14ac:dyDescent="0.45">
      <c r="A181" t="s">
        <v>409</v>
      </c>
      <c r="B181" s="2">
        <v>45865</v>
      </c>
      <c r="C181" t="s">
        <v>49</v>
      </c>
      <c r="D181" t="s">
        <v>410</v>
      </c>
      <c r="E181" t="s">
        <v>7973</v>
      </c>
      <c r="F181">
        <v>2</v>
      </c>
      <c r="G181" t="s">
        <v>24</v>
      </c>
      <c r="H181" t="s">
        <v>25</v>
      </c>
      <c r="I181" t="s">
        <v>39</v>
      </c>
    </row>
    <row r="182" spans="1:9" x14ac:dyDescent="0.45">
      <c r="A182" t="s">
        <v>411</v>
      </c>
      <c r="B182" s="2">
        <v>45695</v>
      </c>
      <c r="C182" t="s">
        <v>66</v>
      </c>
      <c r="D182" t="s">
        <v>412</v>
      </c>
      <c r="E182" t="s">
        <v>7967</v>
      </c>
      <c r="F182">
        <v>3</v>
      </c>
      <c r="G182" t="s">
        <v>55</v>
      </c>
      <c r="H182" t="s">
        <v>72</v>
      </c>
      <c r="I182" t="s">
        <v>60</v>
      </c>
    </row>
    <row r="183" spans="1:9" x14ac:dyDescent="0.45">
      <c r="A183" t="s">
        <v>413</v>
      </c>
      <c r="B183" s="2">
        <v>45824</v>
      </c>
      <c r="C183" t="s">
        <v>16</v>
      </c>
      <c r="D183" t="s">
        <v>414</v>
      </c>
      <c r="E183" t="s">
        <v>23</v>
      </c>
      <c r="F183">
        <v>3</v>
      </c>
      <c r="G183" t="s">
        <v>13</v>
      </c>
      <c r="H183" t="s">
        <v>14</v>
      </c>
      <c r="I183" t="s">
        <v>60</v>
      </c>
    </row>
    <row r="184" spans="1:9" x14ac:dyDescent="0.45">
      <c r="A184" t="s">
        <v>415</v>
      </c>
      <c r="B184" s="2">
        <v>45669</v>
      </c>
      <c r="C184" t="s">
        <v>49</v>
      </c>
      <c r="D184" t="s">
        <v>416</v>
      </c>
      <c r="E184" t="s">
        <v>42</v>
      </c>
      <c r="F184">
        <v>2</v>
      </c>
      <c r="G184" t="s">
        <v>24</v>
      </c>
      <c r="H184" t="s">
        <v>25</v>
      </c>
      <c r="I184" t="s">
        <v>60</v>
      </c>
    </row>
    <row r="185" spans="1:9" x14ac:dyDescent="0.45">
      <c r="A185" t="s">
        <v>417</v>
      </c>
      <c r="B185" s="2">
        <v>45798</v>
      </c>
      <c r="C185" t="s">
        <v>52</v>
      </c>
      <c r="D185" t="s">
        <v>418</v>
      </c>
      <c r="E185" t="s">
        <v>30</v>
      </c>
      <c r="F185">
        <v>1</v>
      </c>
      <c r="G185" t="s">
        <v>18</v>
      </c>
      <c r="H185" t="s">
        <v>14</v>
      </c>
      <c r="I185" t="s">
        <v>26</v>
      </c>
    </row>
    <row r="186" spans="1:9" x14ac:dyDescent="0.45">
      <c r="A186" t="s">
        <v>419</v>
      </c>
      <c r="B186" s="2">
        <v>45668</v>
      </c>
      <c r="C186" t="s">
        <v>21</v>
      </c>
      <c r="D186" t="s">
        <v>420</v>
      </c>
      <c r="E186" t="s">
        <v>75</v>
      </c>
      <c r="F186">
        <v>5</v>
      </c>
      <c r="G186" t="s">
        <v>55</v>
      </c>
      <c r="H186" t="s">
        <v>72</v>
      </c>
      <c r="I186" t="s">
        <v>19</v>
      </c>
    </row>
    <row r="187" spans="1:9" x14ac:dyDescent="0.45">
      <c r="A187" t="s">
        <v>421</v>
      </c>
      <c r="B187" s="2">
        <v>45670</v>
      </c>
      <c r="C187" t="s">
        <v>10</v>
      </c>
      <c r="D187" t="s">
        <v>422</v>
      </c>
      <c r="E187" t="s">
        <v>42</v>
      </c>
      <c r="F187">
        <v>10</v>
      </c>
      <c r="G187" t="s">
        <v>13</v>
      </c>
      <c r="H187" t="s">
        <v>14</v>
      </c>
      <c r="I187" t="s">
        <v>26</v>
      </c>
    </row>
    <row r="188" spans="1:9" x14ac:dyDescent="0.45">
      <c r="A188" t="s">
        <v>423</v>
      </c>
      <c r="B188" s="2">
        <v>45695</v>
      </c>
      <c r="C188" t="s">
        <v>66</v>
      </c>
      <c r="D188" t="s">
        <v>424</v>
      </c>
      <c r="E188" t="s">
        <v>75</v>
      </c>
      <c r="F188">
        <v>7</v>
      </c>
      <c r="G188" t="s">
        <v>59</v>
      </c>
      <c r="H188" t="s">
        <v>14</v>
      </c>
      <c r="I188" t="s">
        <v>26</v>
      </c>
    </row>
    <row r="189" spans="1:9" x14ac:dyDescent="0.45">
      <c r="A189" t="s">
        <v>425</v>
      </c>
      <c r="B189" s="2">
        <v>45848</v>
      </c>
      <c r="C189" t="s">
        <v>10</v>
      </c>
      <c r="D189" t="s">
        <v>426</v>
      </c>
      <c r="E189" t="s">
        <v>7973</v>
      </c>
      <c r="F189">
        <v>4</v>
      </c>
      <c r="G189" t="s">
        <v>35</v>
      </c>
      <c r="H189" t="s">
        <v>25</v>
      </c>
      <c r="I189" t="s">
        <v>19</v>
      </c>
    </row>
    <row r="190" spans="1:9" x14ac:dyDescent="0.45">
      <c r="A190" t="s">
        <v>427</v>
      </c>
      <c r="B190" s="2">
        <v>45819</v>
      </c>
      <c r="C190" t="s">
        <v>52</v>
      </c>
      <c r="D190" t="s">
        <v>428</v>
      </c>
      <c r="E190" t="s">
        <v>7974</v>
      </c>
      <c r="F190">
        <v>11</v>
      </c>
      <c r="G190" t="s">
        <v>18</v>
      </c>
      <c r="H190" t="s">
        <v>14</v>
      </c>
      <c r="I190" t="s">
        <v>31</v>
      </c>
    </row>
    <row r="191" spans="1:9" x14ac:dyDescent="0.45">
      <c r="A191" t="s">
        <v>429</v>
      </c>
      <c r="B191" s="2">
        <v>45830</v>
      </c>
      <c r="C191" t="s">
        <v>16</v>
      </c>
      <c r="D191" t="s">
        <v>430</v>
      </c>
      <c r="E191" t="s">
        <v>46</v>
      </c>
      <c r="F191">
        <v>1</v>
      </c>
      <c r="G191" t="s">
        <v>43</v>
      </c>
      <c r="H191" t="s">
        <v>14</v>
      </c>
      <c r="I191" t="s">
        <v>60</v>
      </c>
    </row>
    <row r="192" spans="1:9" x14ac:dyDescent="0.45">
      <c r="A192" t="s">
        <v>431</v>
      </c>
      <c r="B192" s="2">
        <v>45693</v>
      </c>
      <c r="C192" t="s">
        <v>66</v>
      </c>
      <c r="D192" t="s">
        <v>432</v>
      </c>
      <c r="E192" t="s">
        <v>46</v>
      </c>
      <c r="F192">
        <v>5</v>
      </c>
      <c r="G192" t="s">
        <v>18</v>
      </c>
      <c r="H192" t="s">
        <v>14</v>
      </c>
      <c r="I192" t="s">
        <v>47</v>
      </c>
    </row>
    <row r="193" spans="1:9" x14ac:dyDescent="0.45">
      <c r="A193" t="s">
        <v>433</v>
      </c>
      <c r="B193" s="2">
        <v>45721</v>
      </c>
      <c r="C193" t="s">
        <v>10</v>
      </c>
      <c r="D193" t="s">
        <v>434</v>
      </c>
      <c r="E193" t="s">
        <v>7973</v>
      </c>
      <c r="F193">
        <v>9</v>
      </c>
      <c r="G193" t="s">
        <v>35</v>
      </c>
      <c r="H193" t="s">
        <v>25</v>
      </c>
      <c r="I193" t="s">
        <v>47</v>
      </c>
    </row>
    <row r="194" spans="1:9" x14ac:dyDescent="0.45">
      <c r="A194" t="s">
        <v>435</v>
      </c>
      <c r="B194" s="2">
        <v>45740</v>
      </c>
      <c r="C194" t="s">
        <v>10</v>
      </c>
      <c r="D194" t="s">
        <v>436</v>
      </c>
      <c r="E194" t="s">
        <v>46</v>
      </c>
      <c r="F194">
        <v>11</v>
      </c>
      <c r="G194" t="s">
        <v>13</v>
      </c>
      <c r="H194" t="s">
        <v>14</v>
      </c>
      <c r="I194" t="s">
        <v>47</v>
      </c>
    </row>
    <row r="195" spans="1:9" x14ac:dyDescent="0.45">
      <c r="A195" t="s">
        <v>437</v>
      </c>
      <c r="B195" s="2">
        <v>45658</v>
      </c>
      <c r="C195" t="s">
        <v>52</v>
      </c>
      <c r="D195" t="s">
        <v>438</v>
      </c>
      <c r="E195" t="s">
        <v>42</v>
      </c>
      <c r="F195">
        <v>7</v>
      </c>
      <c r="G195" t="s">
        <v>13</v>
      </c>
      <c r="H195" t="s">
        <v>14</v>
      </c>
      <c r="I195" t="s">
        <v>19</v>
      </c>
    </row>
    <row r="196" spans="1:9" x14ac:dyDescent="0.45">
      <c r="A196" t="s">
        <v>439</v>
      </c>
      <c r="B196" s="2">
        <v>45731</v>
      </c>
      <c r="C196" t="s">
        <v>21</v>
      </c>
      <c r="D196" t="s">
        <v>440</v>
      </c>
      <c r="E196" t="s">
        <v>7973</v>
      </c>
      <c r="F196">
        <v>3</v>
      </c>
      <c r="G196" t="s">
        <v>24</v>
      </c>
      <c r="H196" t="s">
        <v>25</v>
      </c>
      <c r="I196" t="s">
        <v>26</v>
      </c>
    </row>
    <row r="197" spans="1:9" x14ac:dyDescent="0.45">
      <c r="A197" t="s">
        <v>441</v>
      </c>
      <c r="B197" s="2">
        <v>45805</v>
      </c>
      <c r="C197" t="s">
        <v>16</v>
      </c>
      <c r="D197" t="s">
        <v>442</v>
      </c>
      <c r="E197" t="s">
        <v>7974</v>
      </c>
      <c r="F197">
        <v>9</v>
      </c>
      <c r="G197" t="s">
        <v>59</v>
      </c>
      <c r="H197" t="s">
        <v>14</v>
      </c>
      <c r="I197" t="s">
        <v>19</v>
      </c>
    </row>
    <row r="198" spans="1:9" x14ac:dyDescent="0.45">
      <c r="A198" t="s">
        <v>443</v>
      </c>
      <c r="B198" s="2">
        <v>45889</v>
      </c>
      <c r="C198" t="s">
        <v>49</v>
      </c>
      <c r="D198" t="s">
        <v>444</v>
      </c>
      <c r="E198" t="s">
        <v>46</v>
      </c>
      <c r="F198">
        <v>1</v>
      </c>
      <c r="G198" t="s">
        <v>35</v>
      </c>
      <c r="H198" t="s">
        <v>25</v>
      </c>
      <c r="I198" t="s">
        <v>47</v>
      </c>
    </row>
    <row r="199" spans="1:9" x14ac:dyDescent="0.45">
      <c r="A199" t="s">
        <v>445</v>
      </c>
      <c r="B199" s="2">
        <v>45660</v>
      </c>
      <c r="C199" t="s">
        <v>10</v>
      </c>
      <c r="D199" t="s">
        <v>446</v>
      </c>
      <c r="E199" t="s">
        <v>23</v>
      </c>
      <c r="F199">
        <v>5</v>
      </c>
      <c r="G199" t="s">
        <v>55</v>
      </c>
      <c r="H199" t="s">
        <v>72</v>
      </c>
      <c r="I199" t="s">
        <v>39</v>
      </c>
    </row>
    <row r="200" spans="1:9" x14ac:dyDescent="0.45">
      <c r="A200" t="s">
        <v>447</v>
      </c>
      <c r="B200" s="2">
        <v>45685</v>
      </c>
      <c r="C200" t="s">
        <v>28</v>
      </c>
      <c r="D200" t="s">
        <v>448</v>
      </c>
      <c r="E200" t="s">
        <v>58</v>
      </c>
      <c r="F200">
        <v>2</v>
      </c>
      <c r="G200" t="s">
        <v>55</v>
      </c>
      <c r="H200" t="s">
        <v>72</v>
      </c>
      <c r="I200" t="s">
        <v>47</v>
      </c>
    </row>
    <row r="201" spans="1:9" x14ac:dyDescent="0.45">
      <c r="A201" t="s">
        <v>450</v>
      </c>
      <c r="B201" s="2">
        <v>45819</v>
      </c>
      <c r="C201" t="s">
        <v>28</v>
      </c>
      <c r="D201" t="s">
        <v>451</v>
      </c>
      <c r="E201" t="s">
        <v>34</v>
      </c>
      <c r="F201">
        <v>2</v>
      </c>
      <c r="G201" t="s">
        <v>24</v>
      </c>
      <c r="H201" t="s">
        <v>25</v>
      </c>
      <c r="I201" t="s">
        <v>60</v>
      </c>
    </row>
    <row r="202" spans="1:9" x14ac:dyDescent="0.45">
      <c r="A202" t="s">
        <v>453</v>
      </c>
      <c r="B202" s="2">
        <v>45822</v>
      </c>
      <c r="C202" t="s">
        <v>21</v>
      </c>
      <c r="D202" t="s">
        <v>454</v>
      </c>
      <c r="E202" t="s">
        <v>42</v>
      </c>
      <c r="F202">
        <v>2</v>
      </c>
      <c r="G202" t="s">
        <v>59</v>
      </c>
      <c r="H202" t="s">
        <v>14</v>
      </c>
      <c r="I202" t="s">
        <v>47</v>
      </c>
    </row>
    <row r="203" spans="1:9" x14ac:dyDescent="0.45">
      <c r="A203" t="s">
        <v>455</v>
      </c>
      <c r="B203" s="2">
        <v>45698</v>
      </c>
      <c r="C203" t="s">
        <v>49</v>
      </c>
      <c r="D203" t="s">
        <v>456</v>
      </c>
      <c r="E203" t="s">
        <v>58</v>
      </c>
      <c r="F203">
        <v>8</v>
      </c>
      <c r="G203" t="s">
        <v>43</v>
      </c>
      <c r="H203" t="s">
        <v>14</v>
      </c>
      <c r="I203" t="s">
        <v>39</v>
      </c>
    </row>
    <row r="204" spans="1:9" x14ac:dyDescent="0.45">
      <c r="A204" t="s">
        <v>457</v>
      </c>
      <c r="B204" s="2">
        <v>45716</v>
      </c>
      <c r="C204" t="s">
        <v>28</v>
      </c>
      <c r="D204" t="s">
        <v>458</v>
      </c>
      <c r="E204" t="s">
        <v>38</v>
      </c>
      <c r="F204">
        <v>9</v>
      </c>
      <c r="G204" t="s">
        <v>18</v>
      </c>
      <c r="H204" t="s">
        <v>14</v>
      </c>
      <c r="I204" t="s">
        <v>47</v>
      </c>
    </row>
    <row r="205" spans="1:9" x14ac:dyDescent="0.45">
      <c r="A205" t="s">
        <v>459</v>
      </c>
      <c r="B205" s="2">
        <v>45758</v>
      </c>
      <c r="C205" t="s">
        <v>66</v>
      </c>
      <c r="D205" t="s">
        <v>460</v>
      </c>
      <c r="E205" t="s">
        <v>34</v>
      </c>
      <c r="F205">
        <v>1</v>
      </c>
      <c r="G205" t="s">
        <v>35</v>
      </c>
      <c r="H205" t="s">
        <v>25</v>
      </c>
      <c r="I205" t="s">
        <v>47</v>
      </c>
    </row>
    <row r="206" spans="1:9" x14ac:dyDescent="0.45">
      <c r="A206" t="s">
        <v>461</v>
      </c>
      <c r="B206" s="2">
        <v>45748</v>
      </c>
      <c r="C206" t="s">
        <v>16</v>
      </c>
      <c r="D206" t="s">
        <v>462</v>
      </c>
      <c r="E206" t="s">
        <v>23</v>
      </c>
      <c r="F206">
        <v>10</v>
      </c>
      <c r="G206" t="s">
        <v>24</v>
      </c>
      <c r="H206" t="s">
        <v>25</v>
      </c>
      <c r="I206" t="s">
        <v>60</v>
      </c>
    </row>
    <row r="207" spans="1:9" x14ac:dyDescent="0.45">
      <c r="A207" t="s">
        <v>463</v>
      </c>
      <c r="B207" s="2">
        <v>45823</v>
      </c>
      <c r="C207" t="s">
        <v>49</v>
      </c>
      <c r="D207" t="s">
        <v>464</v>
      </c>
      <c r="E207" t="s">
        <v>34</v>
      </c>
      <c r="F207">
        <v>12</v>
      </c>
      <c r="G207" t="s">
        <v>24</v>
      </c>
      <c r="H207" t="s">
        <v>25</v>
      </c>
      <c r="I207" t="s">
        <v>26</v>
      </c>
    </row>
    <row r="208" spans="1:9" x14ac:dyDescent="0.45">
      <c r="A208" t="s">
        <v>465</v>
      </c>
      <c r="B208" s="2">
        <v>45882</v>
      </c>
      <c r="C208" t="s">
        <v>49</v>
      </c>
      <c r="D208" t="s">
        <v>466</v>
      </c>
      <c r="E208" t="s">
        <v>30</v>
      </c>
      <c r="F208">
        <v>5</v>
      </c>
      <c r="G208" t="s">
        <v>55</v>
      </c>
      <c r="H208" t="s">
        <v>72</v>
      </c>
      <c r="I208" t="s">
        <v>60</v>
      </c>
    </row>
    <row r="209" spans="1:9" x14ac:dyDescent="0.45">
      <c r="A209" t="s">
        <v>467</v>
      </c>
      <c r="B209" s="2">
        <v>45693</v>
      </c>
      <c r="C209" t="s">
        <v>52</v>
      </c>
      <c r="D209" t="s">
        <v>469</v>
      </c>
      <c r="E209" t="s">
        <v>38</v>
      </c>
      <c r="F209">
        <v>7</v>
      </c>
      <c r="G209" t="s">
        <v>13</v>
      </c>
      <c r="H209" t="s">
        <v>14</v>
      </c>
      <c r="I209" t="s">
        <v>39</v>
      </c>
    </row>
    <row r="210" spans="1:9" x14ac:dyDescent="0.45">
      <c r="A210" t="s">
        <v>471</v>
      </c>
      <c r="B210" s="2">
        <v>45755</v>
      </c>
      <c r="C210" t="s">
        <v>66</v>
      </c>
      <c r="D210" t="s">
        <v>472</v>
      </c>
      <c r="E210" t="s">
        <v>71</v>
      </c>
      <c r="F210">
        <v>6</v>
      </c>
      <c r="G210" t="s">
        <v>68</v>
      </c>
      <c r="H210" t="s">
        <v>25</v>
      </c>
      <c r="I210" t="s">
        <v>26</v>
      </c>
    </row>
    <row r="211" spans="1:9" x14ac:dyDescent="0.45">
      <c r="A211" t="s">
        <v>473</v>
      </c>
      <c r="B211" s="2">
        <v>45751</v>
      </c>
      <c r="C211" t="s">
        <v>49</v>
      </c>
      <c r="D211" t="s">
        <v>474</v>
      </c>
      <c r="E211" t="s">
        <v>54</v>
      </c>
      <c r="F211">
        <v>12</v>
      </c>
      <c r="G211" t="s">
        <v>68</v>
      </c>
      <c r="H211" t="s">
        <v>25</v>
      </c>
      <c r="I211" t="s">
        <v>47</v>
      </c>
    </row>
    <row r="212" spans="1:9" x14ac:dyDescent="0.45">
      <c r="A212" t="s">
        <v>475</v>
      </c>
      <c r="B212" s="2">
        <v>45837</v>
      </c>
      <c r="C212" t="s">
        <v>52</v>
      </c>
      <c r="D212" t="s">
        <v>476</v>
      </c>
      <c r="E212" t="s">
        <v>30</v>
      </c>
      <c r="F212">
        <v>9</v>
      </c>
      <c r="G212" t="s">
        <v>13</v>
      </c>
      <c r="H212" t="s">
        <v>14</v>
      </c>
      <c r="I212" t="s">
        <v>47</v>
      </c>
    </row>
    <row r="213" spans="1:9" x14ac:dyDescent="0.45">
      <c r="A213" t="s">
        <v>477</v>
      </c>
      <c r="B213" s="2">
        <v>45773</v>
      </c>
      <c r="C213" t="s">
        <v>52</v>
      </c>
      <c r="D213" t="s">
        <v>478</v>
      </c>
      <c r="E213" t="s">
        <v>7967</v>
      </c>
      <c r="F213">
        <v>6</v>
      </c>
      <c r="G213" t="s">
        <v>24</v>
      </c>
      <c r="H213" t="s">
        <v>25</v>
      </c>
      <c r="I213" t="s">
        <v>31</v>
      </c>
    </row>
    <row r="214" spans="1:9" x14ac:dyDescent="0.45">
      <c r="A214" t="s">
        <v>479</v>
      </c>
      <c r="B214" s="2">
        <v>45788</v>
      </c>
      <c r="C214" t="s">
        <v>52</v>
      </c>
      <c r="D214" t="s">
        <v>480</v>
      </c>
      <c r="E214" t="s">
        <v>75</v>
      </c>
      <c r="F214">
        <v>1</v>
      </c>
      <c r="G214" t="s">
        <v>43</v>
      </c>
      <c r="H214" t="s">
        <v>14</v>
      </c>
      <c r="I214" t="s">
        <v>26</v>
      </c>
    </row>
    <row r="215" spans="1:9" x14ac:dyDescent="0.45">
      <c r="A215" t="s">
        <v>481</v>
      </c>
      <c r="B215" s="2">
        <v>45722</v>
      </c>
      <c r="C215" t="s">
        <v>52</v>
      </c>
      <c r="D215" t="s">
        <v>482</v>
      </c>
      <c r="E215" t="s">
        <v>58</v>
      </c>
      <c r="F215">
        <v>9</v>
      </c>
      <c r="G215" t="s">
        <v>55</v>
      </c>
      <c r="H215" t="s">
        <v>72</v>
      </c>
      <c r="I215" t="s">
        <v>39</v>
      </c>
    </row>
    <row r="216" spans="1:9" x14ac:dyDescent="0.45">
      <c r="A216" t="s">
        <v>483</v>
      </c>
      <c r="B216" s="2">
        <v>45845</v>
      </c>
      <c r="C216" t="s">
        <v>21</v>
      </c>
      <c r="D216" t="s">
        <v>484</v>
      </c>
      <c r="E216" t="s">
        <v>7973</v>
      </c>
      <c r="F216">
        <v>5</v>
      </c>
      <c r="G216" t="s">
        <v>55</v>
      </c>
      <c r="H216" t="s">
        <v>72</v>
      </c>
      <c r="I216" t="s">
        <v>26</v>
      </c>
    </row>
    <row r="217" spans="1:9" x14ac:dyDescent="0.45">
      <c r="A217" t="s">
        <v>485</v>
      </c>
      <c r="B217" s="2">
        <v>45799</v>
      </c>
      <c r="C217" t="s">
        <v>66</v>
      </c>
      <c r="D217" t="s">
        <v>486</v>
      </c>
      <c r="E217" t="s">
        <v>7974</v>
      </c>
      <c r="F217">
        <v>11</v>
      </c>
      <c r="G217" t="s">
        <v>13</v>
      </c>
      <c r="H217" t="s">
        <v>14</v>
      </c>
      <c r="I217" t="s">
        <v>19</v>
      </c>
    </row>
    <row r="218" spans="1:9" x14ac:dyDescent="0.45">
      <c r="A218" t="s">
        <v>487</v>
      </c>
      <c r="B218" s="2">
        <v>45695</v>
      </c>
      <c r="C218" t="s">
        <v>99</v>
      </c>
      <c r="D218" t="s">
        <v>488</v>
      </c>
      <c r="E218" t="s">
        <v>42</v>
      </c>
      <c r="F218">
        <v>9</v>
      </c>
      <c r="G218" t="s">
        <v>55</v>
      </c>
      <c r="H218" t="s">
        <v>72</v>
      </c>
      <c r="I218" t="s">
        <v>39</v>
      </c>
    </row>
    <row r="219" spans="1:9" x14ac:dyDescent="0.45">
      <c r="A219" t="s">
        <v>489</v>
      </c>
      <c r="B219" s="2">
        <v>45758</v>
      </c>
      <c r="C219" t="s">
        <v>28</v>
      </c>
      <c r="D219" t="s">
        <v>490</v>
      </c>
      <c r="E219" t="s">
        <v>71</v>
      </c>
      <c r="F219">
        <v>6</v>
      </c>
      <c r="G219" t="s">
        <v>68</v>
      </c>
      <c r="H219" t="s">
        <v>25</v>
      </c>
      <c r="I219" t="s">
        <v>19</v>
      </c>
    </row>
    <row r="220" spans="1:9" x14ac:dyDescent="0.45">
      <c r="A220" t="s">
        <v>491</v>
      </c>
      <c r="B220" s="2">
        <v>45839</v>
      </c>
      <c r="C220" t="s">
        <v>66</v>
      </c>
      <c r="D220" t="s">
        <v>492</v>
      </c>
      <c r="E220" t="s">
        <v>34</v>
      </c>
      <c r="F220">
        <v>11</v>
      </c>
      <c r="G220" t="s">
        <v>55</v>
      </c>
      <c r="H220" t="s">
        <v>72</v>
      </c>
      <c r="I220" t="s">
        <v>19</v>
      </c>
    </row>
    <row r="221" spans="1:9" x14ac:dyDescent="0.45">
      <c r="A221" t="s">
        <v>493</v>
      </c>
      <c r="B221" s="2">
        <v>45684</v>
      </c>
      <c r="C221" t="s">
        <v>28</v>
      </c>
      <c r="D221" t="s">
        <v>494</v>
      </c>
      <c r="E221" t="s">
        <v>7973</v>
      </c>
      <c r="F221">
        <v>9</v>
      </c>
      <c r="G221" t="s">
        <v>59</v>
      </c>
      <c r="H221" t="s">
        <v>14</v>
      </c>
      <c r="I221" t="s">
        <v>26</v>
      </c>
    </row>
    <row r="222" spans="1:9" x14ac:dyDescent="0.45">
      <c r="A222" t="s">
        <v>495</v>
      </c>
      <c r="B222" s="2">
        <v>45818</v>
      </c>
      <c r="C222" t="s">
        <v>21</v>
      </c>
      <c r="D222" t="s">
        <v>496</v>
      </c>
      <c r="E222" t="s">
        <v>75</v>
      </c>
      <c r="F222">
        <v>12</v>
      </c>
      <c r="G222" t="s">
        <v>35</v>
      </c>
      <c r="H222" t="s">
        <v>25</v>
      </c>
      <c r="I222" t="s">
        <v>47</v>
      </c>
    </row>
    <row r="223" spans="1:9" x14ac:dyDescent="0.45">
      <c r="A223" t="s">
        <v>497</v>
      </c>
      <c r="B223" s="2">
        <v>45712</v>
      </c>
      <c r="C223" t="s">
        <v>99</v>
      </c>
      <c r="D223" t="s">
        <v>498</v>
      </c>
      <c r="E223" t="s">
        <v>23</v>
      </c>
      <c r="F223">
        <v>12</v>
      </c>
      <c r="G223" t="s">
        <v>13</v>
      </c>
      <c r="H223" t="s">
        <v>14</v>
      </c>
      <c r="I223" t="s">
        <v>39</v>
      </c>
    </row>
    <row r="224" spans="1:9" x14ac:dyDescent="0.45">
      <c r="A224" t="s">
        <v>499</v>
      </c>
      <c r="B224" s="2">
        <v>45787</v>
      </c>
      <c r="C224" t="s">
        <v>28</v>
      </c>
      <c r="D224" t="s">
        <v>500</v>
      </c>
      <c r="E224" t="s">
        <v>71</v>
      </c>
      <c r="F224">
        <v>12</v>
      </c>
      <c r="G224" t="s">
        <v>18</v>
      </c>
      <c r="H224" t="s">
        <v>14</v>
      </c>
      <c r="I224" t="s">
        <v>60</v>
      </c>
    </row>
    <row r="225" spans="1:9" x14ac:dyDescent="0.45">
      <c r="A225" t="s">
        <v>501</v>
      </c>
      <c r="B225" s="2">
        <v>45783</v>
      </c>
      <c r="C225" t="s">
        <v>49</v>
      </c>
      <c r="D225" t="s">
        <v>502</v>
      </c>
      <c r="E225" t="s">
        <v>7973</v>
      </c>
      <c r="F225">
        <v>8</v>
      </c>
      <c r="G225" t="s">
        <v>55</v>
      </c>
      <c r="H225" t="s">
        <v>72</v>
      </c>
      <c r="I225" t="s">
        <v>39</v>
      </c>
    </row>
    <row r="226" spans="1:9" x14ac:dyDescent="0.45">
      <c r="A226" t="s">
        <v>503</v>
      </c>
      <c r="B226" s="2">
        <v>45768</v>
      </c>
      <c r="C226" t="s">
        <v>52</v>
      </c>
      <c r="D226" t="s">
        <v>504</v>
      </c>
      <c r="E226" t="s">
        <v>71</v>
      </c>
      <c r="F226">
        <v>5</v>
      </c>
      <c r="G226" t="s">
        <v>13</v>
      </c>
      <c r="H226" t="s">
        <v>14</v>
      </c>
      <c r="I226" t="s">
        <v>19</v>
      </c>
    </row>
    <row r="227" spans="1:9" x14ac:dyDescent="0.45">
      <c r="A227" t="s">
        <v>505</v>
      </c>
      <c r="B227" s="2">
        <v>45823</v>
      </c>
      <c r="C227" t="s">
        <v>52</v>
      </c>
      <c r="D227" t="s">
        <v>506</v>
      </c>
      <c r="E227" t="s">
        <v>54</v>
      </c>
      <c r="F227">
        <v>8</v>
      </c>
      <c r="G227" t="s">
        <v>13</v>
      </c>
      <c r="H227" t="s">
        <v>14</v>
      </c>
      <c r="I227" t="s">
        <v>47</v>
      </c>
    </row>
    <row r="228" spans="1:9" x14ac:dyDescent="0.45">
      <c r="A228" t="s">
        <v>507</v>
      </c>
      <c r="B228" s="2">
        <v>45729</v>
      </c>
      <c r="C228" t="s">
        <v>16</v>
      </c>
      <c r="D228" t="s">
        <v>508</v>
      </c>
      <c r="E228" t="s">
        <v>7974</v>
      </c>
      <c r="F228">
        <v>6</v>
      </c>
      <c r="G228" t="s">
        <v>13</v>
      </c>
      <c r="H228" t="s">
        <v>14</v>
      </c>
      <c r="I228" t="s">
        <v>39</v>
      </c>
    </row>
    <row r="229" spans="1:9" x14ac:dyDescent="0.45">
      <c r="A229" t="s">
        <v>509</v>
      </c>
      <c r="B229" s="2">
        <v>45814</v>
      </c>
      <c r="C229" t="s">
        <v>16</v>
      </c>
      <c r="D229" t="s">
        <v>510</v>
      </c>
      <c r="E229" t="s">
        <v>38</v>
      </c>
      <c r="F229">
        <v>6</v>
      </c>
      <c r="G229" t="s">
        <v>59</v>
      </c>
      <c r="H229" t="s">
        <v>14</v>
      </c>
      <c r="I229" t="s">
        <v>26</v>
      </c>
    </row>
    <row r="230" spans="1:9" x14ac:dyDescent="0.45">
      <c r="A230" t="s">
        <v>511</v>
      </c>
      <c r="B230" s="2">
        <v>45787</v>
      </c>
      <c r="C230" t="s">
        <v>52</v>
      </c>
      <c r="D230" t="s">
        <v>512</v>
      </c>
      <c r="E230" t="s">
        <v>38</v>
      </c>
      <c r="F230">
        <v>10</v>
      </c>
      <c r="G230" t="s">
        <v>68</v>
      </c>
      <c r="H230" t="s">
        <v>25</v>
      </c>
      <c r="I230" t="s">
        <v>60</v>
      </c>
    </row>
    <row r="231" spans="1:9" x14ac:dyDescent="0.45">
      <c r="A231" t="s">
        <v>513</v>
      </c>
      <c r="B231" s="2">
        <v>45730</v>
      </c>
      <c r="C231" t="s">
        <v>28</v>
      </c>
      <c r="D231" t="s">
        <v>514</v>
      </c>
      <c r="E231" t="s">
        <v>38</v>
      </c>
      <c r="F231">
        <v>12</v>
      </c>
      <c r="G231" t="s">
        <v>55</v>
      </c>
      <c r="H231" t="s">
        <v>72</v>
      </c>
      <c r="I231" t="s">
        <v>39</v>
      </c>
    </row>
    <row r="232" spans="1:9" x14ac:dyDescent="0.45">
      <c r="A232" t="s">
        <v>515</v>
      </c>
      <c r="B232" s="2">
        <v>45708</v>
      </c>
      <c r="C232" t="s">
        <v>52</v>
      </c>
      <c r="D232" t="s">
        <v>516</v>
      </c>
      <c r="E232" t="s">
        <v>34</v>
      </c>
      <c r="F232">
        <v>12</v>
      </c>
      <c r="G232" t="s">
        <v>59</v>
      </c>
      <c r="H232" t="s">
        <v>14</v>
      </c>
      <c r="I232" t="s">
        <v>26</v>
      </c>
    </row>
    <row r="233" spans="1:9" x14ac:dyDescent="0.45">
      <c r="A233" t="s">
        <v>517</v>
      </c>
      <c r="B233" s="2">
        <v>45867</v>
      </c>
      <c r="C233" t="s">
        <v>16</v>
      </c>
      <c r="D233" t="s">
        <v>518</v>
      </c>
      <c r="E233" t="s">
        <v>38</v>
      </c>
      <c r="F233">
        <v>6</v>
      </c>
      <c r="G233" t="s">
        <v>24</v>
      </c>
      <c r="H233" t="s">
        <v>25</v>
      </c>
      <c r="I233" t="s">
        <v>19</v>
      </c>
    </row>
    <row r="234" spans="1:9" x14ac:dyDescent="0.45">
      <c r="A234" t="s">
        <v>519</v>
      </c>
      <c r="B234" s="2">
        <v>45839</v>
      </c>
      <c r="C234" t="s">
        <v>21</v>
      </c>
      <c r="D234" t="s">
        <v>520</v>
      </c>
      <c r="E234" t="s">
        <v>23</v>
      </c>
      <c r="F234">
        <v>1</v>
      </c>
      <c r="G234" t="s">
        <v>18</v>
      </c>
      <c r="H234" t="s">
        <v>14</v>
      </c>
      <c r="I234" t="s">
        <v>47</v>
      </c>
    </row>
    <row r="235" spans="1:9" x14ac:dyDescent="0.45">
      <c r="A235" t="s">
        <v>521</v>
      </c>
      <c r="B235" s="2">
        <v>45854</v>
      </c>
      <c r="C235" t="s">
        <v>16</v>
      </c>
      <c r="D235" t="s">
        <v>522</v>
      </c>
      <c r="E235" t="s">
        <v>71</v>
      </c>
      <c r="F235">
        <v>10</v>
      </c>
      <c r="G235" t="s">
        <v>24</v>
      </c>
      <c r="H235" t="s">
        <v>25</v>
      </c>
      <c r="I235" t="s">
        <v>31</v>
      </c>
    </row>
    <row r="236" spans="1:9" x14ac:dyDescent="0.45">
      <c r="A236" t="s">
        <v>524</v>
      </c>
      <c r="B236" s="2">
        <v>45690</v>
      </c>
      <c r="C236" t="s">
        <v>16</v>
      </c>
      <c r="D236" t="s">
        <v>525</v>
      </c>
      <c r="E236" t="s">
        <v>23</v>
      </c>
      <c r="F236">
        <v>7</v>
      </c>
      <c r="G236" t="s">
        <v>59</v>
      </c>
      <c r="H236" t="s">
        <v>14</v>
      </c>
      <c r="I236" t="s">
        <v>26</v>
      </c>
    </row>
    <row r="237" spans="1:9" x14ac:dyDescent="0.45">
      <c r="A237" t="s">
        <v>526</v>
      </c>
      <c r="B237" s="2">
        <v>45809</v>
      </c>
      <c r="C237" t="s">
        <v>52</v>
      </c>
      <c r="D237" t="s">
        <v>527</v>
      </c>
      <c r="E237" t="s">
        <v>23</v>
      </c>
      <c r="F237">
        <v>12</v>
      </c>
      <c r="G237" t="s">
        <v>35</v>
      </c>
      <c r="H237" t="s">
        <v>25</v>
      </c>
      <c r="I237" t="s">
        <v>39</v>
      </c>
    </row>
    <row r="238" spans="1:9" x14ac:dyDescent="0.45">
      <c r="A238" t="s">
        <v>528</v>
      </c>
      <c r="B238" s="2">
        <v>45732</v>
      </c>
      <c r="C238" t="s">
        <v>10</v>
      </c>
      <c r="D238" t="s">
        <v>529</v>
      </c>
      <c r="E238" t="s">
        <v>75</v>
      </c>
      <c r="F238">
        <v>3</v>
      </c>
      <c r="G238" t="s">
        <v>13</v>
      </c>
      <c r="H238" t="s">
        <v>14</v>
      </c>
      <c r="I238" t="s">
        <v>19</v>
      </c>
    </row>
    <row r="239" spans="1:9" x14ac:dyDescent="0.45">
      <c r="A239" t="s">
        <v>530</v>
      </c>
      <c r="B239" s="2">
        <v>45742</v>
      </c>
      <c r="C239" t="s">
        <v>49</v>
      </c>
      <c r="D239" t="s">
        <v>531</v>
      </c>
      <c r="E239" t="s">
        <v>54</v>
      </c>
      <c r="F239">
        <v>9</v>
      </c>
      <c r="G239" t="s">
        <v>13</v>
      </c>
      <c r="H239" t="s">
        <v>14</v>
      </c>
      <c r="I239" t="s">
        <v>39</v>
      </c>
    </row>
    <row r="240" spans="1:9" x14ac:dyDescent="0.45">
      <c r="A240" t="s">
        <v>532</v>
      </c>
      <c r="B240" s="2">
        <v>45734</v>
      </c>
      <c r="C240" t="s">
        <v>52</v>
      </c>
      <c r="D240" t="s">
        <v>533</v>
      </c>
      <c r="E240" t="s">
        <v>42</v>
      </c>
      <c r="F240">
        <v>9</v>
      </c>
      <c r="G240" t="s">
        <v>55</v>
      </c>
      <c r="H240" t="s">
        <v>72</v>
      </c>
      <c r="I240" t="s">
        <v>26</v>
      </c>
    </row>
    <row r="241" spans="1:9" x14ac:dyDescent="0.45">
      <c r="A241" t="s">
        <v>534</v>
      </c>
      <c r="B241" s="2">
        <v>45691</v>
      </c>
      <c r="C241" t="s">
        <v>28</v>
      </c>
      <c r="D241" t="s">
        <v>535</v>
      </c>
      <c r="E241" t="s">
        <v>58</v>
      </c>
      <c r="F241">
        <v>2</v>
      </c>
      <c r="G241" t="s">
        <v>59</v>
      </c>
      <c r="H241" t="s">
        <v>14</v>
      </c>
      <c r="I241" t="s">
        <v>31</v>
      </c>
    </row>
    <row r="242" spans="1:9" x14ac:dyDescent="0.45">
      <c r="A242" t="s">
        <v>536</v>
      </c>
      <c r="B242" s="2">
        <v>45730</v>
      </c>
      <c r="C242" t="s">
        <v>28</v>
      </c>
      <c r="D242" t="s">
        <v>537</v>
      </c>
      <c r="E242" t="s">
        <v>46</v>
      </c>
      <c r="F242">
        <v>1</v>
      </c>
      <c r="G242" t="s">
        <v>55</v>
      </c>
      <c r="H242" t="s">
        <v>72</v>
      </c>
      <c r="I242" t="s">
        <v>31</v>
      </c>
    </row>
    <row r="243" spans="1:9" x14ac:dyDescent="0.45">
      <c r="A243" t="s">
        <v>538</v>
      </c>
      <c r="B243" s="2">
        <v>45774</v>
      </c>
      <c r="C243" t="s">
        <v>66</v>
      </c>
      <c r="D243" t="s">
        <v>539</v>
      </c>
      <c r="E243" t="s">
        <v>38</v>
      </c>
      <c r="F243">
        <v>5</v>
      </c>
      <c r="G243" t="s">
        <v>18</v>
      </c>
      <c r="H243" t="s">
        <v>14</v>
      </c>
      <c r="I243" t="s">
        <v>60</v>
      </c>
    </row>
    <row r="244" spans="1:9" x14ac:dyDescent="0.45">
      <c r="A244" t="s">
        <v>540</v>
      </c>
      <c r="B244" s="2">
        <v>45714</v>
      </c>
      <c r="C244" t="s">
        <v>28</v>
      </c>
      <c r="D244" t="s">
        <v>541</v>
      </c>
      <c r="E244" t="s">
        <v>71</v>
      </c>
      <c r="F244">
        <v>3</v>
      </c>
      <c r="G244" t="s">
        <v>59</v>
      </c>
      <c r="H244" t="s">
        <v>14</v>
      </c>
      <c r="I244" t="s">
        <v>39</v>
      </c>
    </row>
    <row r="245" spans="1:9" x14ac:dyDescent="0.45">
      <c r="A245" t="s">
        <v>542</v>
      </c>
      <c r="B245" s="2">
        <v>45752</v>
      </c>
      <c r="C245" t="s">
        <v>28</v>
      </c>
      <c r="D245" t="s">
        <v>543</v>
      </c>
      <c r="E245" t="s">
        <v>54</v>
      </c>
      <c r="F245">
        <v>4</v>
      </c>
      <c r="G245" t="s">
        <v>55</v>
      </c>
      <c r="H245" t="s">
        <v>72</v>
      </c>
      <c r="I245" t="s">
        <v>47</v>
      </c>
    </row>
    <row r="246" spans="1:9" x14ac:dyDescent="0.45">
      <c r="A246" t="s">
        <v>545</v>
      </c>
      <c r="B246" s="2">
        <v>45726</v>
      </c>
      <c r="C246" t="s">
        <v>66</v>
      </c>
      <c r="D246" t="s">
        <v>546</v>
      </c>
      <c r="E246" t="s">
        <v>23</v>
      </c>
      <c r="F246">
        <v>1</v>
      </c>
      <c r="G246" t="s">
        <v>55</v>
      </c>
      <c r="H246" t="s">
        <v>72</v>
      </c>
      <c r="I246" t="s">
        <v>19</v>
      </c>
    </row>
    <row r="247" spans="1:9" x14ac:dyDescent="0.45">
      <c r="A247" t="s">
        <v>547</v>
      </c>
      <c r="B247" s="2">
        <v>45815</v>
      </c>
      <c r="C247" t="s">
        <v>99</v>
      </c>
      <c r="D247" t="s">
        <v>548</v>
      </c>
      <c r="E247" t="s">
        <v>34</v>
      </c>
      <c r="F247">
        <v>7</v>
      </c>
      <c r="G247" t="s">
        <v>59</v>
      </c>
      <c r="H247" t="s">
        <v>14</v>
      </c>
      <c r="I247" t="s">
        <v>19</v>
      </c>
    </row>
    <row r="248" spans="1:9" x14ac:dyDescent="0.45">
      <c r="A248" t="s">
        <v>549</v>
      </c>
      <c r="B248" s="2">
        <v>45827</v>
      </c>
      <c r="C248" t="s">
        <v>16</v>
      </c>
      <c r="D248" t="s">
        <v>550</v>
      </c>
      <c r="E248" t="s">
        <v>38</v>
      </c>
      <c r="F248">
        <v>10</v>
      </c>
      <c r="G248" t="s">
        <v>18</v>
      </c>
      <c r="H248" t="s">
        <v>14</v>
      </c>
      <c r="I248" t="s">
        <v>60</v>
      </c>
    </row>
    <row r="249" spans="1:9" x14ac:dyDescent="0.45">
      <c r="A249" t="s">
        <v>551</v>
      </c>
      <c r="B249" s="2">
        <v>45821</v>
      </c>
      <c r="C249" t="s">
        <v>66</v>
      </c>
      <c r="D249" t="s">
        <v>552</v>
      </c>
      <c r="E249" t="s">
        <v>42</v>
      </c>
      <c r="F249">
        <v>10</v>
      </c>
      <c r="G249" t="s">
        <v>59</v>
      </c>
      <c r="H249" t="s">
        <v>14</v>
      </c>
      <c r="I249" t="s">
        <v>19</v>
      </c>
    </row>
    <row r="250" spans="1:9" x14ac:dyDescent="0.45">
      <c r="A250" t="s">
        <v>553</v>
      </c>
      <c r="B250" s="2">
        <v>45870</v>
      </c>
      <c r="C250" t="s">
        <v>10</v>
      </c>
      <c r="D250" t="s">
        <v>554</v>
      </c>
      <c r="E250" t="s">
        <v>42</v>
      </c>
      <c r="F250">
        <v>10</v>
      </c>
      <c r="G250" t="s">
        <v>43</v>
      </c>
      <c r="H250" t="s">
        <v>14</v>
      </c>
      <c r="I250" t="s">
        <v>47</v>
      </c>
    </row>
    <row r="251" spans="1:9" x14ac:dyDescent="0.45">
      <c r="A251" t="s">
        <v>555</v>
      </c>
      <c r="B251" s="2">
        <v>45761</v>
      </c>
      <c r="C251" t="s">
        <v>28</v>
      </c>
      <c r="D251" t="s">
        <v>556</v>
      </c>
      <c r="E251" t="s">
        <v>7974</v>
      </c>
      <c r="F251">
        <v>8</v>
      </c>
      <c r="G251" t="s">
        <v>43</v>
      </c>
      <c r="H251" t="s">
        <v>14</v>
      </c>
      <c r="I251" t="s">
        <v>26</v>
      </c>
    </row>
    <row r="252" spans="1:9" x14ac:dyDescent="0.45">
      <c r="A252" t="s">
        <v>557</v>
      </c>
      <c r="B252" s="2">
        <v>45716</v>
      </c>
      <c r="C252" t="s">
        <v>10</v>
      </c>
      <c r="D252" t="s">
        <v>558</v>
      </c>
      <c r="E252" t="s">
        <v>7974</v>
      </c>
      <c r="F252">
        <v>12</v>
      </c>
      <c r="G252" t="s">
        <v>68</v>
      </c>
      <c r="H252" t="s">
        <v>25</v>
      </c>
      <c r="I252" t="s">
        <v>26</v>
      </c>
    </row>
    <row r="253" spans="1:9" x14ac:dyDescent="0.45">
      <c r="A253" t="s">
        <v>559</v>
      </c>
      <c r="B253" s="2">
        <v>45846</v>
      </c>
      <c r="C253" t="s">
        <v>28</v>
      </c>
      <c r="D253" t="s">
        <v>560</v>
      </c>
      <c r="E253" t="s">
        <v>58</v>
      </c>
      <c r="F253">
        <v>12</v>
      </c>
      <c r="G253" t="s">
        <v>13</v>
      </c>
      <c r="H253" t="s">
        <v>14</v>
      </c>
      <c r="I253" t="s">
        <v>26</v>
      </c>
    </row>
    <row r="254" spans="1:9" x14ac:dyDescent="0.45">
      <c r="A254" t="s">
        <v>561</v>
      </c>
      <c r="B254" s="2">
        <v>45739</v>
      </c>
      <c r="C254" t="s">
        <v>28</v>
      </c>
      <c r="D254" t="s">
        <v>562</v>
      </c>
      <c r="E254" t="s">
        <v>34</v>
      </c>
      <c r="F254">
        <v>4</v>
      </c>
      <c r="G254" t="s">
        <v>43</v>
      </c>
      <c r="H254" t="s">
        <v>14</v>
      </c>
      <c r="I254" t="s">
        <v>60</v>
      </c>
    </row>
    <row r="255" spans="1:9" x14ac:dyDescent="0.45">
      <c r="A255" t="s">
        <v>563</v>
      </c>
      <c r="B255" s="2">
        <v>45884</v>
      </c>
      <c r="C255" t="s">
        <v>21</v>
      </c>
      <c r="D255" t="s">
        <v>564</v>
      </c>
      <c r="E255" t="s">
        <v>54</v>
      </c>
      <c r="F255">
        <v>12</v>
      </c>
      <c r="G255" t="s">
        <v>43</v>
      </c>
      <c r="H255" t="s">
        <v>14</v>
      </c>
      <c r="I255" t="s">
        <v>31</v>
      </c>
    </row>
    <row r="256" spans="1:9" x14ac:dyDescent="0.45">
      <c r="A256" t="s">
        <v>565</v>
      </c>
      <c r="B256" s="2">
        <v>45704</v>
      </c>
      <c r="C256" t="s">
        <v>28</v>
      </c>
      <c r="D256" t="s">
        <v>566</v>
      </c>
      <c r="E256" t="s">
        <v>42</v>
      </c>
      <c r="F256">
        <v>5</v>
      </c>
      <c r="G256" t="s">
        <v>55</v>
      </c>
      <c r="H256" t="s">
        <v>72</v>
      </c>
      <c r="I256" t="s">
        <v>60</v>
      </c>
    </row>
    <row r="257" spans="1:9" x14ac:dyDescent="0.45">
      <c r="A257" t="s">
        <v>567</v>
      </c>
      <c r="B257" s="2">
        <v>45785</v>
      </c>
      <c r="C257" t="s">
        <v>16</v>
      </c>
      <c r="D257" t="s">
        <v>568</v>
      </c>
      <c r="E257" t="s">
        <v>42</v>
      </c>
      <c r="F257">
        <v>12</v>
      </c>
      <c r="G257" t="s">
        <v>13</v>
      </c>
      <c r="H257" t="s">
        <v>14</v>
      </c>
      <c r="I257" t="s">
        <v>47</v>
      </c>
    </row>
    <row r="258" spans="1:9" x14ac:dyDescent="0.45">
      <c r="A258" t="s">
        <v>569</v>
      </c>
      <c r="B258" s="2">
        <v>45704</v>
      </c>
      <c r="C258" t="s">
        <v>16</v>
      </c>
      <c r="D258" t="s">
        <v>570</v>
      </c>
      <c r="E258" t="s">
        <v>7974</v>
      </c>
      <c r="F258">
        <v>12</v>
      </c>
      <c r="G258" t="s">
        <v>43</v>
      </c>
      <c r="H258" t="s">
        <v>14</v>
      </c>
      <c r="I258" t="s">
        <v>39</v>
      </c>
    </row>
    <row r="259" spans="1:9" x14ac:dyDescent="0.45">
      <c r="A259" t="s">
        <v>571</v>
      </c>
      <c r="B259" s="2">
        <v>45869</v>
      </c>
      <c r="C259" t="s">
        <v>66</v>
      </c>
      <c r="D259" t="s">
        <v>572</v>
      </c>
      <c r="E259" t="s">
        <v>38</v>
      </c>
      <c r="F259">
        <v>11</v>
      </c>
      <c r="G259" t="s">
        <v>68</v>
      </c>
      <c r="H259" t="s">
        <v>25</v>
      </c>
      <c r="I259" t="s">
        <v>47</v>
      </c>
    </row>
    <row r="260" spans="1:9" x14ac:dyDescent="0.45">
      <c r="A260" t="s">
        <v>573</v>
      </c>
      <c r="B260" s="2">
        <v>45822</v>
      </c>
      <c r="C260" t="s">
        <v>52</v>
      </c>
      <c r="D260" t="s">
        <v>574</v>
      </c>
      <c r="E260" t="s">
        <v>38</v>
      </c>
      <c r="F260">
        <v>9</v>
      </c>
      <c r="G260" t="s">
        <v>13</v>
      </c>
      <c r="H260" t="s">
        <v>14</v>
      </c>
      <c r="I260" t="s">
        <v>60</v>
      </c>
    </row>
    <row r="261" spans="1:9" x14ac:dyDescent="0.45">
      <c r="A261" t="s">
        <v>575</v>
      </c>
      <c r="B261" s="2">
        <v>45884</v>
      </c>
      <c r="C261" t="s">
        <v>99</v>
      </c>
      <c r="D261" t="s">
        <v>576</v>
      </c>
      <c r="E261" t="s">
        <v>42</v>
      </c>
      <c r="F261">
        <v>10</v>
      </c>
      <c r="G261" t="s">
        <v>13</v>
      </c>
      <c r="H261" t="s">
        <v>14</v>
      </c>
      <c r="I261" t="s">
        <v>39</v>
      </c>
    </row>
    <row r="262" spans="1:9" x14ac:dyDescent="0.45">
      <c r="A262" t="s">
        <v>577</v>
      </c>
      <c r="B262" s="2">
        <v>45719</v>
      </c>
      <c r="C262" t="s">
        <v>16</v>
      </c>
      <c r="D262" t="s">
        <v>578</v>
      </c>
      <c r="E262" t="s">
        <v>46</v>
      </c>
      <c r="F262">
        <v>11</v>
      </c>
      <c r="G262" t="s">
        <v>18</v>
      </c>
      <c r="H262" t="s">
        <v>14</v>
      </c>
      <c r="I262" t="s">
        <v>7967</v>
      </c>
    </row>
    <row r="263" spans="1:9" x14ac:dyDescent="0.45">
      <c r="A263" t="s">
        <v>579</v>
      </c>
      <c r="B263" s="2">
        <v>45821</v>
      </c>
      <c r="C263" t="s">
        <v>10</v>
      </c>
      <c r="D263" t="s">
        <v>580</v>
      </c>
      <c r="E263" t="s">
        <v>42</v>
      </c>
      <c r="F263">
        <v>2</v>
      </c>
      <c r="G263" t="s">
        <v>68</v>
      </c>
      <c r="H263" t="s">
        <v>25</v>
      </c>
      <c r="I263" t="s">
        <v>31</v>
      </c>
    </row>
    <row r="264" spans="1:9" x14ac:dyDescent="0.45">
      <c r="A264" t="s">
        <v>581</v>
      </c>
      <c r="B264" s="2">
        <v>45733</v>
      </c>
      <c r="C264" t="s">
        <v>99</v>
      </c>
      <c r="D264" t="s">
        <v>582</v>
      </c>
      <c r="E264" t="s">
        <v>34</v>
      </c>
      <c r="F264">
        <v>3</v>
      </c>
      <c r="G264" t="s">
        <v>59</v>
      </c>
      <c r="H264" t="s">
        <v>14</v>
      </c>
      <c r="I264" t="s">
        <v>47</v>
      </c>
    </row>
    <row r="265" spans="1:9" x14ac:dyDescent="0.45">
      <c r="A265" t="s">
        <v>583</v>
      </c>
      <c r="B265" s="2">
        <v>45716</v>
      </c>
      <c r="C265" t="s">
        <v>49</v>
      </c>
      <c r="D265" t="s">
        <v>584</v>
      </c>
      <c r="E265" t="s">
        <v>23</v>
      </c>
      <c r="F265">
        <v>5</v>
      </c>
      <c r="G265" t="s">
        <v>24</v>
      </c>
      <c r="H265" t="s">
        <v>25</v>
      </c>
      <c r="I265" t="s">
        <v>39</v>
      </c>
    </row>
    <row r="266" spans="1:9" x14ac:dyDescent="0.45">
      <c r="A266" t="s">
        <v>585</v>
      </c>
      <c r="B266" s="2">
        <v>45895</v>
      </c>
      <c r="C266" t="s">
        <v>66</v>
      </c>
      <c r="D266" t="s">
        <v>586</v>
      </c>
      <c r="E266" t="s">
        <v>38</v>
      </c>
      <c r="F266">
        <v>9</v>
      </c>
      <c r="G266" t="s">
        <v>43</v>
      </c>
      <c r="H266" t="s">
        <v>14</v>
      </c>
      <c r="I266" t="s">
        <v>26</v>
      </c>
    </row>
    <row r="267" spans="1:9" x14ac:dyDescent="0.45">
      <c r="A267" t="s">
        <v>587</v>
      </c>
      <c r="B267" s="2">
        <v>45861</v>
      </c>
      <c r="C267" t="s">
        <v>21</v>
      </c>
      <c r="D267" t="s">
        <v>588</v>
      </c>
      <c r="E267" t="s">
        <v>23</v>
      </c>
      <c r="F267">
        <v>7</v>
      </c>
      <c r="G267" t="s">
        <v>43</v>
      </c>
      <c r="H267" t="s">
        <v>14</v>
      </c>
      <c r="I267" t="s">
        <v>60</v>
      </c>
    </row>
    <row r="268" spans="1:9" x14ac:dyDescent="0.45">
      <c r="A268" t="s">
        <v>589</v>
      </c>
      <c r="B268" s="2">
        <v>45882</v>
      </c>
      <c r="C268" t="s">
        <v>66</v>
      </c>
      <c r="D268" t="s">
        <v>590</v>
      </c>
      <c r="E268" t="s">
        <v>58</v>
      </c>
      <c r="F268">
        <v>6</v>
      </c>
      <c r="G268" t="s">
        <v>13</v>
      </c>
      <c r="H268" t="s">
        <v>14</v>
      </c>
      <c r="I268" t="s">
        <v>39</v>
      </c>
    </row>
    <row r="269" spans="1:9" x14ac:dyDescent="0.45">
      <c r="A269" t="s">
        <v>591</v>
      </c>
      <c r="B269" s="2">
        <v>45828</v>
      </c>
      <c r="C269" t="s">
        <v>99</v>
      </c>
      <c r="D269" t="s">
        <v>592</v>
      </c>
      <c r="E269" t="s">
        <v>71</v>
      </c>
      <c r="F269">
        <v>5</v>
      </c>
      <c r="G269" t="s">
        <v>35</v>
      </c>
      <c r="H269" t="s">
        <v>25</v>
      </c>
      <c r="I269" t="s">
        <v>19</v>
      </c>
    </row>
    <row r="270" spans="1:9" x14ac:dyDescent="0.45">
      <c r="A270" t="s">
        <v>593</v>
      </c>
      <c r="B270" s="2">
        <v>45687</v>
      </c>
      <c r="C270" t="s">
        <v>28</v>
      </c>
      <c r="D270" t="s">
        <v>594</v>
      </c>
      <c r="E270" t="s">
        <v>46</v>
      </c>
      <c r="F270">
        <v>7</v>
      </c>
      <c r="G270" t="s">
        <v>43</v>
      </c>
      <c r="H270" t="s">
        <v>14</v>
      </c>
      <c r="I270" t="s">
        <v>39</v>
      </c>
    </row>
    <row r="271" spans="1:9" x14ac:dyDescent="0.45">
      <c r="A271" t="s">
        <v>595</v>
      </c>
      <c r="B271" s="2">
        <v>45691</v>
      </c>
      <c r="C271" t="s">
        <v>21</v>
      </c>
      <c r="D271" t="s">
        <v>596</v>
      </c>
      <c r="E271" t="s">
        <v>46</v>
      </c>
      <c r="F271">
        <v>5</v>
      </c>
      <c r="G271" t="s">
        <v>24</v>
      </c>
      <c r="H271" t="s">
        <v>25</v>
      </c>
      <c r="I271" t="s">
        <v>60</v>
      </c>
    </row>
    <row r="272" spans="1:9" x14ac:dyDescent="0.45">
      <c r="A272" t="s">
        <v>597</v>
      </c>
      <c r="B272" s="2">
        <v>45692</v>
      </c>
      <c r="C272" t="s">
        <v>28</v>
      </c>
      <c r="D272" t="s">
        <v>598</v>
      </c>
      <c r="E272" t="s">
        <v>7973</v>
      </c>
      <c r="F272">
        <v>2</v>
      </c>
      <c r="G272" t="s">
        <v>35</v>
      </c>
      <c r="H272" t="s">
        <v>25</v>
      </c>
      <c r="I272" t="s">
        <v>39</v>
      </c>
    </row>
    <row r="273" spans="1:9" x14ac:dyDescent="0.45">
      <c r="A273" t="s">
        <v>599</v>
      </c>
      <c r="B273" s="2">
        <v>45780</v>
      </c>
      <c r="C273" t="s">
        <v>99</v>
      </c>
      <c r="D273" t="s">
        <v>600</v>
      </c>
      <c r="E273" t="s">
        <v>38</v>
      </c>
      <c r="F273">
        <v>8</v>
      </c>
      <c r="G273" t="s">
        <v>24</v>
      </c>
      <c r="H273" t="s">
        <v>25</v>
      </c>
      <c r="I273" t="s">
        <v>60</v>
      </c>
    </row>
    <row r="274" spans="1:9" x14ac:dyDescent="0.45">
      <c r="A274" t="s">
        <v>601</v>
      </c>
      <c r="B274" s="2">
        <v>45767</v>
      </c>
      <c r="C274" t="s">
        <v>52</v>
      </c>
      <c r="D274" t="s">
        <v>602</v>
      </c>
      <c r="E274" t="s">
        <v>7973</v>
      </c>
      <c r="F274">
        <v>2</v>
      </c>
      <c r="G274" t="s">
        <v>13</v>
      </c>
      <c r="H274" t="s">
        <v>14</v>
      </c>
      <c r="I274" t="s">
        <v>31</v>
      </c>
    </row>
    <row r="275" spans="1:9" x14ac:dyDescent="0.45">
      <c r="A275" t="s">
        <v>603</v>
      </c>
      <c r="B275" s="2">
        <v>45702</v>
      </c>
      <c r="C275" t="s">
        <v>28</v>
      </c>
      <c r="D275" t="s">
        <v>604</v>
      </c>
      <c r="E275" t="s">
        <v>54</v>
      </c>
      <c r="F275">
        <v>5</v>
      </c>
      <c r="G275" t="s">
        <v>68</v>
      </c>
      <c r="H275" t="s">
        <v>25</v>
      </c>
      <c r="I275" t="s">
        <v>47</v>
      </c>
    </row>
    <row r="276" spans="1:9" x14ac:dyDescent="0.45">
      <c r="A276" t="s">
        <v>605</v>
      </c>
      <c r="B276" s="2">
        <v>45759</v>
      </c>
      <c r="C276" t="s">
        <v>16</v>
      </c>
      <c r="D276" t="s">
        <v>606</v>
      </c>
      <c r="E276" t="s">
        <v>71</v>
      </c>
      <c r="F276">
        <v>2</v>
      </c>
      <c r="G276" t="s">
        <v>43</v>
      </c>
      <c r="H276" t="s">
        <v>14</v>
      </c>
      <c r="I276" t="s">
        <v>7967</v>
      </c>
    </row>
    <row r="277" spans="1:9" x14ac:dyDescent="0.45">
      <c r="A277" t="s">
        <v>607</v>
      </c>
      <c r="B277" s="2">
        <v>45877</v>
      </c>
      <c r="C277" t="s">
        <v>49</v>
      </c>
      <c r="D277" t="s">
        <v>608</v>
      </c>
      <c r="E277" t="s">
        <v>34</v>
      </c>
      <c r="F277">
        <v>3</v>
      </c>
      <c r="G277" t="s">
        <v>59</v>
      </c>
      <c r="H277" t="s">
        <v>14</v>
      </c>
      <c r="I277" t="s">
        <v>39</v>
      </c>
    </row>
    <row r="278" spans="1:9" x14ac:dyDescent="0.45">
      <c r="A278" t="s">
        <v>609</v>
      </c>
      <c r="B278" s="2">
        <v>45874</v>
      </c>
      <c r="C278" t="s">
        <v>28</v>
      </c>
      <c r="D278" t="s">
        <v>610</v>
      </c>
      <c r="E278" t="s">
        <v>58</v>
      </c>
      <c r="F278">
        <v>10</v>
      </c>
      <c r="G278" t="s">
        <v>35</v>
      </c>
      <c r="H278" t="s">
        <v>25</v>
      </c>
      <c r="I278" t="s">
        <v>60</v>
      </c>
    </row>
    <row r="279" spans="1:9" x14ac:dyDescent="0.45">
      <c r="A279" t="s">
        <v>611</v>
      </c>
      <c r="B279" s="2">
        <v>45681</v>
      </c>
      <c r="C279" t="s">
        <v>52</v>
      </c>
      <c r="D279" t="s">
        <v>612</v>
      </c>
      <c r="E279" t="s">
        <v>7973</v>
      </c>
      <c r="F279">
        <v>12</v>
      </c>
      <c r="G279" t="s">
        <v>13</v>
      </c>
      <c r="H279" t="s">
        <v>14</v>
      </c>
      <c r="I279" t="s">
        <v>39</v>
      </c>
    </row>
    <row r="280" spans="1:9" x14ac:dyDescent="0.45">
      <c r="A280" t="s">
        <v>613</v>
      </c>
      <c r="B280" s="2">
        <v>45723</v>
      </c>
      <c r="C280" t="s">
        <v>99</v>
      </c>
      <c r="D280" t="s">
        <v>614</v>
      </c>
      <c r="E280" t="s">
        <v>75</v>
      </c>
      <c r="F280">
        <v>9</v>
      </c>
      <c r="G280" t="s">
        <v>68</v>
      </c>
      <c r="H280" t="s">
        <v>25</v>
      </c>
      <c r="I280" t="s">
        <v>19</v>
      </c>
    </row>
    <row r="281" spans="1:9" x14ac:dyDescent="0.45">
      <c r="A281" t="s">
        <v>615</v>
      </c>
      <c r="B281" s="2">
        <v>45824</v>
      </c>
      <c r="C281" t="s">
        <v>16</v>
      </c>
      <c r="D281" t="s">
        <v>616</v>
      </c>
      <c r="E281" t="s">
        <v>75</v>
      </c>
      <c r="F281">
        <v>12</v>
      </c>
      <c r="G281" t="s">
        <v>18</v>
      </c>
      <c r="H281" t="s">
        <v>14</v>
      </c>
      <c r="I281" t="s">
        <v>31</v>
      </c>
    </row>
    <row r="282" spans="1:9" x14ac:dyDescent="0.45">
      <c r="A282" t="s">
        <v>617</v>
      </c>
      <c r="B282" s="2">
        <v>45744</v>
      </c>
      <c r="C282" t="s">
        <v>10</v>
      </c>
      <c r="D282" t="s">
        <v>618</v>
      </c>
      <c r="E282" t="s">
        <v>7974</v>
      </c>
      <c r="F282">
        <v>5</v>
      </c>
      <c r="G282" t="s">
        <v>59</v>
      </c>
      <c r="H282" t="s">
        <v>14</v>
      </c>
      <c r="I282" t="s">
        <v>60</v>
      </c>
    </row>
    <row r="283" spans="1:9" x14ac:dyDescent="0.45">
      <c r="A283" t="s">
        <v>619</v>
      </c>
      <c r="B283" s="2">
        <v>45846</v>
      </c>
      <c r="C283" t="s">
        <v>49</v>
      </c>
      <c r="D283" t="s">
        <v>620</v>
      </c>
      <c r="E283" t="s">
        <v>75</v>
      </c>
      <c r="F283">
        <v>8</v>
      </c>
      <c r="G283" t="s">
        <v>35</v>
      </c>
      <c r="H283" t="s">
        <v>25</v>
      </c>
      <c r="I283" t="s">
        <v>60</v>
      </c>
    </row>
    <row r="284" spans="1:9" x14ac:dyDescent="0.45">
      <c r="A284" t="s">
        <v>621</v>
      </c>
      <c r="B284" s="2">
        <v>45723</v>
      </c>
      <c r="C284" t="s">
        <v>28</v>
      </c>
      <c r="D284" t="s">
        <v>622</v>
      </c>
      <c r="E284" t="s">
        <v>75</v>
      </c>
      <c r="F284">
        <v>3</v>
      </c>
      <c r="G284" t="s">
        <v>35</v>
      </c>
      <c r="H284" t="s">
        <v>25</v>
      </c>
      <c r="I284" t="s">
        <v>60</v>
      </c>
    </row>
    <row r="285" spans="1:9" x14ac:dyDescent="0.45">
      <c r="A285" t="s">
        <v>623</v>
      </c>
      <c r="B285" s="2">
        <v>45741</v>
      </c>
      <c r="C285" t="s">
        <v>49</v>
      </c>
      <c r="D285" t="s">
        <v>624</v>
      </c>
      <c r="E285" t="s">
        <v>34</v>
      </c>
      <c r="F285">
        <v>10</v>
      </c>
      <c r="G285" t="s">
        <v>43</v>
      </c>
      <c r="H285" t="s">
        <v>14</v>
      </c>
      <c r="I285" t="s">
        <v>26</v>
      </c>
    </row>
    <row r="286" spans="1:9" x14ac:dyDescent="0.45">
      <c r="A286" t="s">
        <v>625</v>
      </c>
      <c r="B286" s="2">
        <v>45695</v>
      </c>
      <c r="C286" t="s">
        <v>66</v>
      </c>
      <c r="D286" t="s">
        <v>626</v>
      </c>
      <c r="E286" t="s">
        <v>46</v>
      </c>
      <c r="F286">
        <v>11</v>
      </c>
      <c r="G286" t="s">
        <v>59</v>
      </c>
      <c r="H286" t="s">
        <v>14</v>
      </c>
      <c r="I286" t="s">
        <v>26</v>
      </c>
    </row>
    <row r="287" spans="1:9" x14ac:dyDescent="0.45">
      <c r="A287" t="s">
        <v>627</v>
      </c>
      <c r="B287" s="2">
        <v>45718</v>
      </c>
      <c r="C287" t="s">
        <v>10</v>
      </c>
      <c r="D287" t="s">
        <v>628</v>
      </c>
      <c r="E287" t="s">
        <v>54</v>
      </c>
      <c r="F287">
        <v>9</v>
      </c>
      <c r="G287" t="s">
        <v>18</v>
      </c>
      <c r="H287" t="s">
        <v>14</v>
      </c>
      <c r="I287" t="s">
        <v>39</v>
      </c>
    </row>
    <row r="288" spans="1:9" x14ac:dyDescent="0.45">
      <c r="A288" t="s">
        <v>629</v>
      </c>
      <c r="B288" s="2">
        <v>45730</v>
      </c>
      <c r="C288" t="s">
        <v>16</v>
      </c>
      <c r="D288" t="s">
        <v>630</v>
      </c>
      <c r="E288" t="s">
        <v>42</v>
      </c>
      <c r="F288">
        <v>7</v>
      </c>
      <c r="G288" t="s">
        <v>68</v>
      </c>
      <c r="H288" t="s">
        <v>25</v>
      </c>
      <c r="I288" t="s">
        <v>31</v>
      </c>
    </row>
    <row r="289" spans="1:9" x14ac:dyDescent="0.45">
      <c r="A289" t="s">
        <v>631</v>
      </c>
      <c r="B289" s="2">
        <v>45711</v>
      </c>
      <c r="C289" t="s">
        <v>10</v>
      </c>
      <c r="D289" t="s">
        <v>632</v>
      </c>
      <c r="E289" t="s">
        <v>34</v>
      </c>
      <c r="F289">
        <v>8</v>
      </c>
      <c r="G289" t="s">
        <v>13</v>
      </c>
      <c r="H289" t="s">
        <v>14</v>
      </c>
      <c r="I289" t="s">
        <v>19</v>
      </c>
    </row>
    <row r="290" spans="1:9" x14ac:dyDescent="0.45">
      <c r="A290" t="s">
        <v>633</v>
      </c>
      <c r="B290" s="2">
        <v>45841</v>
      </c>
      <c r="C290" t="s">
        <v>52</v>
      </c>
      <c r="D290" t="s">
        <v>634</v>
      </c>
      <c r="E290" t="s">
        <v>58</v>
      </c>
      <c r="F290">
        <v>5</v>
      </c>
      <c r="G290" t="s">
        <v>43</v>
      </c>
      <c r="H290" t="s">
        <v>14</v>
      </c>
      <c r="I290" t="s">
        <v>26</v>
      </c>
    </row>
    <row r="291" spans="1:9" x14ac:dyDescent="0.45">
      <c r="A291" t="s">
        <v>635</v>
      </c>
      <c r="B291" s="2">
        <v>45660</v>
      </c>
      <c r="C291" t="s">
        <v>28</v>
      </c>
      <c r="D291" t="s">
        <v>636</v>
      </c>
      <c r="E291" t="s">
        <v>7973</v>
      </c>
      <c r="F291">
        <v>2</v>
      </c>
      <c r="G291" t="s">
        <v>55</v>
      </c>
      <c r="H291" t="s">
        <v>72</v>
      </c>
      <c r="I291" t="s">
        <v>26</v>
      </c>
    </row>
    <row r="292" spans="1:9" x14ac:dyDescent="0.45">
      <c r="A292" t="s">
        <v>637</v>
      </c>
      <c r="B292" s="2">
        <v>45726</v>
      </c>
      <c r="C292" t="s">
        <v>21</v>
      </c>
      <c r="D292" t="s">
        <v>638</v>
      </c>
      <c r="E292" t="s">
        <v>23</v>
      </c>
      <c r="F292">
        <v>12</v>
      </c>
      <c r="G292" t="s">
        <v>59</v>
      </c>
      <c r="H292" t="s">
        <v>14</v>
      </c>
      <c r="I292" t="s">
        <v>26</v>
      </c>
    </row>
    <row r="293" spans="1:9" x14ac:dyDescent="0.45">
      <c r="A293" t="s">
        <v>639</v>
      </c>
      <c r="B293" s="2">
        <v>45885</v>
      </c>
      <c r="C293" t="s">
        <v>49</v>
      </c>
      <c r="D293" t="s">
        <v>640</v>
      </c>
      <c r="E293" t="s">
        <v>7973</v>
      </c>
      <c r="F293">
        <v>8</v>
      </c>
      <c r="G293" t="s">
        <v>59</v>
      </c>
      <c r="H293" t="s">
        <v>14</v>
      </c>
      <c r="I293" t="s">
        <v>19</v>
      </c>
    </row>
    <row r="294" spans="1:9" x14ac:dyDescent="0.45">
      <c r="A294" t="s">
        <v>641</v>
      </c>
      <c r="B294" s="2">
        <v>45841</v>
      </c>
      <c r="C294" t="s">
        <v>28</v>
      </c>
      <c r="D294" t="s">
        <v>642</v>
      </c>
      <c r="E294" t="s">
        <v>54</v>
      </c>
      <c r="F294">
        <v>7</v>
      </c>
      <c r="G294" t="s">
        <v>24</v>
      </c>
      <c r="H294" t="s">
        <v>25</v>
      </c>
      <c r="I294" t="s">
        <v>31</v>
      </c>
    </row>
    <row r="295" spans="1:9" x14ac:dyDescent="0.45">
      <c r="A295" t="s">
        <v>643</v>
      </c>
      <c r="B295" s="2">
        <v>45836</v>
      </c>
      <c r="C295" t="s">
        <v>28</v>
      </c>
      <c r="D295" t="s">
        <v>644</v>
      </c>
      <c r="E295" t="s">
        <v>7974</v>
      </c>
      <c r="F295">
        <v>6</v>
      </c>
      <c r="G295" t="s">
        <v>18</v>
      </c>
      <c r="H295" t="s">
        <v>14</v>
      </c>
      <c r="I295" t="s">
        <v>47</v>
      </c>
    </row>
    <row r="296" spans="1:9" x14ac:dyDescent="0.45">
      <c r="A296" t="s">
        <v>645</v>
      </c>
      <c r="B296" s="2">
        <v>45794</v>
      </c>
      <c r="C296" t="s">
        <v>66</v>
      </c>
      <c r="D296" t="s">
        <v>646</v>
      </c>
      <c r="E296" t="s">
        <v>30</v>
      </c>
      <c r="F296">
        <v>2</v>
      </c>
      <c r="G296" t="s">
        <v>35</v>
      </c>
      <c r="H296" t="s">
        <v>25</v>
      </c>
      <c r="I296" t="s">
        <v>31</v>
      </c>
    </row>
    <row r="297" spans="1:9" x14ac:dyDescent="0.45">
      <c r="A297" t="s">
        <v>647</v>
      </c>
      <c r="B297" s="2">
        <v>45686</v>
      </c>
      <c r="C297" t="s">
        <v>99</v>
      </c>
      <c r="D297" t="s">
        <v>648</v>
      </c>
      <c r="E297" t="s">
        <v>23</v>
      </c>
      <c r="F297">
        <v>10</v>
      </c>
      <c r="G297" t="s">
        <v>59</v>
      </c>
      <c r="H297" t="s">
        <v>14</v>
      </c>
      <c r="I297" t="s">
        <v>47</v>
      </c>
    </row>
    <row r="298" spans="1:9" x14ac:dyDescent="0.45">
      <c r="A298" t="s">
        <v>649</v>
      </c>
      <c r="B298" s="2">
        <v>45822</v>
      </c>
      <c r="C298" t="s">
        <v>66</v>
      </c>
      <c r="D298" t="s">
        <v>650</v>
      </c>
      <c r="E298" t="s">
        <v>75</v>
      </c>
      <c r="F298">
        <v>7</v>
      </c>
      <c r="G298" t="s">
        <v>68</v>
      </c>
      <c r="H298" t="s">
        <v>25</v>
      </c>
      <c r="I298" t="s">
        <v>47</v>
      </c>
    </row>
    <row r="299" spans="1:9" x14ac:dyDescent="0.45">
      <c r="A299" t="s">
        <v>652</v>
      </c>
      <c r="B299" s="2">
        <v>45754</v>
      </c>
      <c r="C299" t="s">
        <v>49</v>
      </c>
      <c r="D299" t="s">
        <v>653</v>
      </c>
      <c r="E299" t="s">
        <v>7973</v>
      </c>
      <c r="F299">
        <v>11</v>
      </c>
      <c r="G299" t="s">
        <v>13</v>
      </c>
      <c r="H299" t="s">
        <v>14</v>
      </c>
      <c r="I299" t="s">
        <v>19</v>
      </c>
    </row>
    <row r="300" spans="1:9" x14ac:dyDescent="0.45">
      <c r="A300" t="s">
        <v>654</v>
      </c>
      <c r="B300" s="2">
        <v>45743</v>
      </c>
      <c r="C300" t="s">
        <v>10</v>
      </c>
      <c r="D300" t="s">
        <v>655</v>
      </c>
      <c r="E300" t="s">
        <v>42</v>
      </c>
      <c r="F300">
        <v>10</v>
      </c>
      <c r="G300" t="s">
        <v>55</v>
      </c>
      <c r="H300" t="s">
        <v>72</v>
      </c>
      <c r="I300" t="s">
        <v>47</v>
      </c>
    </row>
    <row r="301" spans="1:9" x14ac:dyDescent="0.45">
      <c r="A301" t="s">
        <v>656</v>
      </c>
      <c r="B301" s="2">
        <v>45842</v>
      </c>
      <c r="C301" t="s">
        <v>10</v>
      </c>
      <c r="D301" t="s">
        <v>657</v>
      </c>
      <c r="E301" t="s">
        <v>75</v>
      </c>
      <c r="F301">
        <v>10</v>
      </c>
      <c r="G301" t="s">
        <v>68</v>
      </c>
      <c r="H301" t="s">
        <v>25</v>
      </c>
      <c r="I301" t="s">
        <v>39</v>
      </c>
    </row>
    <row r="302" spans="1:9" x14ac:dyDescent="0.45">
      <c r="A302" t="s">
        <v>658</v>
      </c>
      <c r="B302" s="2">
        <v>45728</v>
      </c>
      <c r="C302" t="s">
        <v>49</v>
      </c>
      <c r="D302" t="s">
        <v>659</v>
      </c>
      <c r="E302" t="s">
        <v>38</v>
      </c>
      <c r="F302">
        <v>2</v>
      </c>
      <c r="G302" t="s">
        <v>18</v>
      </c>
      <c r="H302" t="s">
        <v>14</v>
      </c>
      <c r="I302" t="s">
        <v>60</v>
      </c>
    </row>
    <row r="303" spans="1:9" x14ac:dyDescent="0.45">
      <c r="A303" t="s">
        <v>660</v>
      </c>
      <c r="B303" s="2">
        <v>45690</v>
      </c>
      <c r="C303" t="s">
        <v>10</v>
      </c>
      <c r="D303" t="s">
        <v>661</v>
      </c>
      <c r="E303" t="s">
        <v>75</v>
      </c>
      <c r="F303">
        <v>6</v>
      </c>
      <c r="G303" t="s">
        <v>68</v>
      </c>
      <c r="H303" t="s">
        <v>25</v>
      </c>
      <c r="I303" t="s">
        <v>60</v>
      </c>
    </row>
    <row r="304" spans="1:9" x14ac:dyDescent="0.45">
      <c r="A304" t="s">
        <v>662</v>
      </c>
      <c r="B304" s="2">
        <v>45901</v>
      </c>
      <c r="C304" t="s">
        <v>28</v>
      </c>
      <c r="D304" t="s">
        <v>663</v>
      </c>
      <c r="E304" t="s">
        <v>7973</v>
      </c>
      <c r="F304">
        <v>1</v>
      </c>
      <c r="G304" t="s">
        <v>68</v>
      </c>
      <c r="H304" t="s">
        <v>25</v>
      </c>
      <c r="I304" t="s">
        <v>31</v>
      </c>
    </row>
    <row r="305" spans="1:9" x14ac:dyDescent="0.45">
      <c r="A305" t="s">
        <v>664</v>
      </c>
      <c r="B305" s="2">
        <v>45676</v>
      </c>
      <c r="C305" t="s">
        <v>16</v>
      </c>
      <c r="D305" t="s">
        <v>665</v>
      </c>
      <c r="E305" t="s">
        <v>7974</v>
      </c>
      <c r="F305">
        <v>2</v>
      </c>
      <c r="G305" t="s">
        <v>68</v>
      </c>
      <c r="H305" t="s">
        <v>25</v>
      </c>
      <c r="I305" t="s">
        <v>7967</v>
      </c>
    </row>
    <row r="306" spans="1:9" x14ac:dyDescent="0.45">
      <c r="A306" t="s">
        <v>666</v>
      </c>
      <c r="B306" s="2">
        <v>45751</v>
      </c>
      <c r="C306" t="s">
        <v>21</v>
      </c>
      <c r="D306" t="s">
        <v>667</v>
      </c>
      <c r="E306" t="s">
        <v>71</v>
      </c>
      <c r="F306">
        <v>8</v>
      </c>
      <c r="G306" t="s">
        <v>68</v>
      </c>
      <c r="H306" t="s">
        <v>25</v>
      </c>
      <c r="I306" t="s">
        <v>26</v>
      </c>
    </row>
    <row r="307" spans="1:9" x14ac:dyDescent="0.45">
      <c r="A307" t="s">
        <v>668</v>
      </c>
      <c r="B307" s="2">
        <v>45716</v>
      </c>
      <c r="C307" t="s">
        <v>66</v>
      </c>
      <c r="D307" t="s">
        <v>669</v>
      </c>
      <c r="E307" t="s">
        <v>30</v>
      </c>
      <c r="F307">
        <v>9</v>
      </c>
      <c r="G307" t="s">
        <v>24</v>
      </c>
      <c r="H307" t="s">
        <v>25</v>
      </c>
      <c r="I307" t="s">
        <v>26</v>
      </c>
    </row>
    <row r="308" spans="1:9" x14ac:dyDescent="0.45">
      <c r="A308" t="s">
        <v>670</v>
      </c>
      <c r="B308" s="2">
        <v>45681</v>
      </c>
      <c r="C308" t="s">
        <v>52</v>
      </c>
      <c r="D308" t="s">
        <v>671</v>
      </c>
      <c r="E308" t="s">
        <v>75</v>
      </c>
      <c r="F308">
        <v>4</v>
      </c>
      <c r="G308" t="s">
        <v>18</v>
      </c>
      <c r="H308" t="s">
        <v>14</v>
      </c>
      <c r="I308" t="s">
        <v>31</v>
      </c>
    </row>
    <row r="309" spans="1:9" x14ac:dyDescent="0.45">
      <c r="A309" t="s">
        <v>672</v>
      </c>
      <c r="B309" s="2">
        <v>45777</v>
      </c>
      <c r="C309" t="s">
        <v>21</v>
      </c>
      <c r="D309" t="s">
        <v>673</v>
      </c>
      <c r="E309" t="s">
        <v>38</v>
      </c>
      <c r="F309">
        <v>9</v>
      </c>
      <c r="G309" t="s">
        <v>18</v>
      </c>
      <c r="H309" t="s">
        <v>14</v>
      </c>
      <c r="I309" t="s">
        <v>60</v>
      </c>
    </row>
    <row r="310" spans="1:9" x14ac:dyDescent="0.45">
      <c r="A310" t="s">
        <v>674</v>
      </c>
      <c r="B310" s="2">
        <v>45694</v>
      </c>
      <c r="C310" t="s">
        <v>28</v>
      </c>
      <c r="D310" t="s">
        <v>675</v>
      </c>
      <c r="E310" t="s">
        <v>75</v>
      </c>
      <c r="F310">
        <v>5</v>
      </c>
      <c r="G310" t="s">
        <v>55</v>
      </c>
      <c r="H310" t="s">
        <v>72</v>
      </c>
      <c r="I310" t="s">
        <v>60</v>
      </c>
    </row>
    <row r="311" spans="1:9" x14ac:dyDescent="0.45">
      <c r="A311" t="s">
        <v>676</v>
      </c>
      <c r="B311" s="2">
        <v>45797</v>
      </c>
      <c r="C311" t="s">
        <v>52</v>
      </c>
      <c r="D311" t="s">
        <v>677</v>
      </c>
      <c r="E311" t="s">
        <v>46</v>
      </c>
      <c r="F311">
        <v>2</v>
      </c>
      <c r="G311" t="s">
        <v>24</v>
      </c>
      <c r="H311" t="s">
        <v>25</v>
      </c>
      <c r="I311" t="s">
        <v>26</v>
      </c>
    </row>
    <row r="312" spans="1:9" x14ac:dyDescent="0.45">
      <c r="A312" t="s">
        <v>678</v>
      </c>
      <c r="B312" s="2">
        <v>45871</v>
      </c>
      <c r="C312" t="s">
        <v>16</v>
      </c>
      <c r="D312" t="s">
        <v>679</v>
      </c>
      <c r="E312" t="s">
        <v>30</v>
      </c>
      <c r="F312">
        <v>11</v>
      </c>
      <c r="G312" t="s">
        <v>43</v>
      </c>
      <c r="H312" t="s">
        <v>14</v>
      </c>
      <c r="I312" t="s">
        <v>60</v>
      </c>
    </row>
    <row r="313" spans="1:9" x14ac:dyDescent="0.45">
      <c r="A313" t="s">
        <v>680</v>
      </c>
      <c r="B313" s="2">
        <v>45774</v>
      </c>
      <c r="C313" t="s">
        <v>21</v>
      </c>
      <c r="D313" t="s">
        <v>681</v>
      </c>
      <c r="E313" t="s">
        <v>38</v>
      </c>
      <c r="F313">
        <v>1</v>
      </c>
      <c r="G313" t="s">
        <v>35</v>
      </c>
      <c r="H313" t="s">
        <v>25</v>
      </c>
      <c r="I313" t="s">
        <v>39</v>
      </c>
    </row>
    <row r="314" spans="1:9" x14ac:dyDescent="0.45">
      <c r="A314" t="s">
        <v>682</v>
      </c>
      <c r="B314" s="2">
        <v>45866</v>
      </c>
      <c r="C314" t="s">
        <v>16</v>
      </c>
      <c r="D314" t="s">
        <v>683</v>
      </c>
      <c r="E314" t="s">
        <v>23</v>
      </c>
      <c r="F314">
        <v>3</v>
      </c>
      <c r="G314" t="s">
        <v>55</v>
      </c>
      <c r="H314" t="s">
        <v>72</v>
      </c>
      <c r="I314" t="s">
        <v>39</v>
      </c>
    </row>
    <row r="315" spans="1:9" x14ac:dyDescent="0.45">
      <c r="A315" t="s">
        <v>684</v>
      </c>
      <c r="B315" s="2">
        <v>45855</v>
      </c>
      <c r="C315" t="s">
        <v>52</v>
      </c>
      <c r="D315" t="s">
        <v>685</v>
      </c>
      <c r="E315" t="s">
        <v>54</v>
      </c>
      <c r="F315">
        <v>7</v>
      </c>
      <c r="G315" t="s">
        <v>13</v>
      </c>
      <c r="H315" t="s">
        <v>14</v>
      </c>
      <c r="I315" t="s">
        <v>39</v>
      </c>
    </row>
    <row r="316" spans="1:9" x14ac:dyDescent="0.45">
      <c r="A316" t="s">
        <v>686</v>
      </c>
      <c r="B316" s="2">
        <v>45839</v>
      </c>
      <c r="C316" t="s">
        <v>49</v>
      </c>
      <c r="D316" t="s">
        <v>687</v>
      </c>
      <c r="E316" t="s">
        <v>54</v>
      </c>
      <c r="F316">
        <v>3</v>
      </c>
      <c r="G316" t="s">
        <v>18</v>
      </c>
      <c r="H316" t="s">
        <v>14</v>
      </c>
      <c r="I316" t="s">
        <v>19</v>
      </c>
    </row>
    <row r="317" spans="1:9" x14ac:dyDescent="0.45">
      <c r="A317" t="s">
        <v>688</v>
      </c>
      <c r="B317" s="2">
        <v>45670</v>
      </c>
      <c r="C317" t="s">
        <v>52</v>
      </c>
      <c r="D317" t="s">
        <v>689</v>
      </c>
      <c r="E317" t="s">
        <v>7967</v>
      </c>
      <c r="F317">
        <v>1</v>
      </c>
      <c r="G317" t="s">
        <v>55</v>
      </c>
      <c r="H317" t="s">
        <v>72</v>
      </c>
      <c r="I317" t="s">
        <v>39</v>
      </c>
    </row>
    <row r="318" spans="1:9" x14ac:dyDescent="0.45">
      <c r="A318" t="s">
        <v>690</v>
      </c>
      <c r="B318" s="2">
        <v>45840</v>
      </c>
      <c r="C318" t="s">
        <v>99</v>
      </c>
      <c r="D318" t="s">
        <v>691</v>
      </c>
      <c r="E318" t="s">
        <v>58</v>
      </c>
      <c r="F318">
        <v>3</v>
      </c>
      <c r="G318" t="s">
        <v>68</v>
      </c>
      <c r="H318" t="s">
        <v>25</v>
      </c>
      <c r="I318" t="s">
        <v>39</v>
      </c>
    </row>
    <row r="319" spans="1:9" x14ac:dyDescent="0.45">
      <c r="A319" t="s">
        <v>692</v>
      </c>
      <c r="B319" s="2">
        <v>45697</v>
      </c>
      <c r="C319" t="s">
        <v>16</v>
      </c>
      <c r="D319" t="s">
        <v>693</v>
      </c>
      <c r="E319" t="s">
        <v>75</v>
      </c>
      <c r="F319">
        <v>1</v>
      </c>
      <c r="G319" t="s">
        <v>43</v>
      </c>
      <c r="H319" t="s">
        <v>14</v>
      </c>
      <c r="I319" t="s">
        <v>39</v>
      </c>
    </row>
    <row r="320" spans="1:9" x14ac:dyDescent="0.45">
      <c r="A320" t="s">
        <v>694</v>
      </c>
      <c r="B320" s="2">
        <v>45659</v>
      </c>
      <c r="C320" t="s">
        <v>16</v>
      </c>
      <c r="D320" t="s">
        <v>695</v>
      </c>
      <c r="E320" t="s">
        <v>46</v>
      </c>
      <c r="F320">
        <v>9</v>
      </c>
      <c r="G320" t="s">
        <v>43</v>
      </c>
      <c r="H320" t="s">
        <v>14</v>
      </c>
      <c r="I320" t="s">
        <v>26</v>
      </c>
    </row>
    <row r="321" spans="1:9" x14ac:dyDescent="0.45">
      <c r="A321" t="s">
        <v>696</v>
      </c>
      <c r="B321" s="2">
        <v>45707</v>
      </c>
      <c r="C321" t="s">
        <v>10</v>
      </c>
      <c r="D321" t="s">
        <v>697</v>
      </c>
      <c r="E321" t="s">
        <v>38</v>
      </c>
      <c r="F321">
        <v>11</v>
      </c>
      <c r="G321" t="s">
        <v>43</v>
      </c>
      <c r="H321" t="s">
        <v>14</v>
      </c>
      <c r="I321" t="s">
        <v>39</v>
      </c>
    </row>
    <row r="322" spans="1:9" x14ac:dyDescent="0.45">
      <c r="A322" t="s">
        <v>698</v>
      </c>
      <c r="B322" s="2">
        <v>45753</v>
      </c>
      <c r="C322" t="s">
        <v>49</v>
      </c>
      <c r="D322" t="s">
        <v>699</v>
      </c>
      <c r="E322" t="s">
        <v>38</v>
      </c>
      <c r="F322">
        <v>10</v>
      </c>
      <c r="G322" t="s">
        <v>43</v>
      </c>
      <c r="H322" t="s">
        <v>14</v>
      </c>
      <c r="I322" t="s">
        <v>60</v>
      </c>
    </row>
    <row r="323" spans="1:9" x14ac:dyDescent="0.45">
      <c r="A323" t="s">
        <v>700</v>
      </c>
      <c r="B323" s="2">
        <v>45745</v>
      </c>
      <c r="C323" t="s">
        <v>28</v>
      </c>
      <c r="D323" t="s">
        <v>701</v>
      </c>
      <c r="E323" t="s">
        <v>34</v>
      </c>
      <c r="F323">
        <v>10</v>
      </c>
      <c r="G323" t="s">
        <v>18</v>
      </c>
      <c r="H323" t="s">
        <v>14</v>
      </c>
      <c r="I323" t="s">
        <v>26</v>
      </c>
    </row>
    <row r="324" spans="1:9" x14ac:dyDescent="0.45">
      <c r="A324" t="s">
        <v>702</v>
      </c>
      <c r="B324" s="2">
        <v>45659</v>
      </c>
      <c r="C324" t="s">
        <v>21</v>
      </c>
      <c r="D324" t="s">
        <v>703</v>
      </c>
      <c r="E324" t="s">
        <v>7973</v>
      </c>
      <c r="F324">
        <v>12</v>
      </c>
      <c r="G324" t="s">
        <v>35</v>
      </c>
      <c r="H324" t="s">
        <v>25</v>
      </c>
      <c r="I324" t="s">
        <v>39</v>
      </c>
    </row>
    <row r="325" spans="1:9" x14ac:dyDescent="0.45">
      <c r="A325" t="s">
        <v>705</v>
      </c>
      <c r="B325" s="2">
        <v>45741</v>
      </c>
      <c r="C325" t="s">
        <v>21</v>
      </c>
      <c r="D325" t="s">
        <v>706</v>
      </c>
      <c r="E325" t="s">
        <v>42</v>
      </c>
      <c r="F325">
        <v>7</v>
      </c>
      <c r="G325" t="s">
        <v>59</v>
      </c>
      <c r="H325" t="s">
        <v>14</v>
      </c>
      <c r="I325" t="s">
        <v>31</v>
      </c>
    </row>
    <row r="326" spans="1:9" x14ac:dyDescent="0.45">
      <c r="A326" t="s">
        <v>707</v>
      </c>
      <c r="B326" s="2">
        <v>45823</v>
      </c>
      <c r="C326" t="s">
        <v>16</v>
      </c>
      <c r="D326" t="s">
        <v>708</v>
      </c>
      <c r="E326" t="s">
        <v>54</v>
      </c>
      <c r="F326">
        <v>9</v>
      </c>
      <c r="G326" t="s">
        <v>35</v>
      </c>
      <c r="H326" t="s">
        <v>25</v>
      </c>
      <c r="I326" t="s">
        <v>19</v>
      </c>
    </row>
    <row r="327" spans="1:9" x14ac:dyDescent="0.45">
      <c r="A327" t="s">
        <v>709</v>
      </c>
      <c r="B327" s="2">
        <v>45750</v>
      </c>
      <c r="C327" t="s">
        <v>21</v>
      </c>
      <c r="D327" t="s">
        <v>710</v>
      </c>
      <c r="E327" t="s">
        <v>7973</v>
      </c>
      <c r="F327">
        <v>4</v>
      </c>
      <c r="G327" t="s">
        <v>18</v>
      </c>
      <c r="H327" t="s">
        <v>14</v>
      </c>
      <c r="I327" t="s">
        <v>7967</v>
      </c>
    </row>
    <row r="328" spans="1:9" x14ac:dyDescent="0.45">
      <c r="A328" t="s">
        <v>711</v>
      </c>
      <c r="B328" s="2">
        <v>45892</v>
      </c>
      <c r="C328" t="s">
        <v>28</v>
      </c>
      <c r="D328" t="s">
        <v>712</v>
      </c>
      <c r="E328" t="s">
        <v>75</v>
      </c>
      <c r="F328">
        <v>8</v>
      </c>
      <c r="G328" t="s">
        <v>13</v>
      </c>
      <c r="H328" t="s">
        <v>14</v>
      </c>
      <c r="I328" t="s">
        <v>60</v>
      </c>
    </row>
    <row r="329" spans="1:9" x14ac:dyDescent="0.45">
      <c r="A329" t="s">
        <v>713</v>
      </c>
      <c r="B329" s="2">
        <v>45707</v>
      </c>
      <c r="C329" t="s">
        <v>49</v>
      </c>
      <c r="D329" t="s">
        <v>714</v>
      </c>
      <c r="E329" t="s">
        <v>75</v>
      </c>
      <c r="F329">
        <v>5</v>
      </c>
      <c r="G329" t="s">
        <v>35</v>
      </c>
      <c r="H329" t="s">
        <v>25</v>
      </c>
      <c r="I329" t="s">
        <v>31</v>
      </c>
    </row>
    <row r="330" spans="1:9" x14ac:dyDescent="0.45">
      <c r="A330" t="s">
        <v>715</v>
      </c>
      <c r="B330" s="2">
        <v>45665</v>
      </c>
      <c r="C330" t="s">
        <v>28</v>
      </c>
      <c r="D330" t="s">
        <v>716</v>
      </c>
      <c r="E330" t="s">
        <v>54</v>
      </c>
      <c r="F330">
        <v>6</v>
      </c>
      <c r="G330" t="s">
        <v>18</v>
      </c>
      <c r="H330" t="s">
        <v>14</v>
      </c>
      <c r="I330" t="s">
        <v>47</v>
      </c>
    </row>
    <row r="331" spans="1:9" x14ac:dyDescent="0.45">
      <c r="A331" t="s">
        <v>717</v>
      </c>
      <c r="B331" s="2">
        <v>45749</v>
      </c>
      <c r="C331" t="s">
        <v>52</v>
      </c>
      <c r="D331" t="s">
        <v>718</v>
      </c>
      <c r="E331" t="s">
        <v>58</v>
      </c>
      <c r="F331">
        <v>2</v>
      </c>
      <c r="G331" t="s">
        <v>59</v>
      </c>
      <c r="H331" t="s">
        <v>14</v>
      </c>
      <c r="I331" t="s">
        <v>39</v>
      </c>
    </row>
    <row r="332" spans="1:9" x14ac:dyDescent="0.45">
      <c r="A332" t="s">
        <v>719</v>
      </c>
      <c r="B332" s="2">
        <v>45901</v>
      </c>
      <c r="C332" t="s">
        <v>66</v>
      </c>
      <c r="D332" t="s">
        <v>720</v>
      </c>
      <c r="E332" t="s">
        <v>38</v>
      </c>
      <c r="F332">
        <v>2</v>
      </c>
      <c r="G332" t="s">
        <v>24</v>
      </c>
      <c r="H332" t="s">
        <v>25</v>
      </c>
      <c r="I332" t="s">
        <v>60</v>
      </c>
    </row>
    <row r="333" spans="1:9" x14ac:dyDescent="0.45">
      <c r="A333" t="s">
        <v>721</v>
      </c>
      <c r="B333" s="2">
        <v>45876</v>
      </c>
      <c r="C333" t="s">
        <v>52</v>
      </c>
      <c r="D333" t="s">
        <v>722</v>
      </c>
      <c r="E333" t="s">
        <v>58</v>
      </c>
      <c r="F333">
        <v>8</v>
      </c>
      <c r="G333" t="s">
        <v>24</v>
      </c>
      <c r="H333" t="s">
        <v>25</v>
      </c>
      <c r="I333" t="s">
        <v>31</v>
      </c>
    </row>
    <row r="334" spans="1:9" x14ac:dyDescent="0.45">
      <c r="A334" t="s">
        <v>723</v>
      </c>
      <c r="B334" s="2">
        <v>45773</v>
      </c>
      <c r="C334" t="s">
        <v>52</v>
      </c>
      <c r="D334" t="s">
        <v>724</v>
      </c>
      <c r="E334" t="s">
        <v>42</v>
      </c>
      <c r="F334">
        <v>4</v>
      </c>
      <c r="G334" t="s">
        <v>59</v>
      </c>
      <c r="H334" t="s">
        <v>14</v>
      </c>
      <c r="I334" t="s">
        <v>39</v>
      </c>
    </row>
    <row r="335" spans="1:9" x14ac:dyDescent="0.45">
      <c r="A335" t="s">
        <v>725</v>
      </c>
      <c r="B335" s="2">
        <v>45802</v>
      </c>
      <c r="C335" t="s">
        <v>99</v>
      </c>
      <c r="D335" t="s">
        <v>726</v>
      </c>
      <c r="E335" t="s">
        <v>71</v>
      </c>
      <c r="F335">
        <v>10</v>
      </c>
      <c r="G335" t="s">
        <v>13</v>
      </c>
      <c r="H335" t="s">
        <v>14</v>
      </c>
      <c r="I335" t="s">
        <v>39</v>
      </c>
    </row>
    <row r="336" spans="1:9" x14ac:dyDescent="0.45">
      <c r="A336" t="s">
        <v>727</v>
      </c>
      <c r="B336" s="2">
        <v>45869</v>
      </c>
      <c r="C336" t="s">
        <v>52</v>
      </c>
      <c r="D336" t="s">
        <v>728</v>
      </c>
      <c r="E336" t="s">
        <v>23</v>
      </c>
      <c r="F336">
        <v>12</v>
      </c>
      <c r="G336" t="s">
        <v>59</v>
      </c>
      <c r="H336" t="s">
        <v>14</v>
      </c>
      <c r="I336" t="s">
        <v>19</v>
      </c>
    </row>
    <row r="337" spans="1:9" x14ac:dyDescent="0.45">
      <c r="A337" t="s">
        <v>729</v>
      </c>
      <c r="B337" s="2">
        <v>45839</v>
      </c>
      <c r="C337" t="s">
        <v>49</v>
      </c>
      <c r="D337" t="s">
        <v>730</v>
      </c>
      <c r="E337" t="s">
        <v>54</v>
      </c>
      <c r="F337">
        <v>3</v>
      </c>
      <c r="G337" t="s">
        <v>35</v>
      </c>
      <c r="H337" t="s">
        <v>25</v>
      </c>
      <c r="I337" t="s">
        <v>39</v>
      </c>
    </row>
    <row r="338" spans="1:9" x14ac:dyDescent="0.45">
      <c r="A338" t="s">
        <v>731</v>
      </c>
      <c r="B338" s="2">
        <v>45793</v>
      </c>
      <c r="C338" t="s">
        <v>28</v>
      </c>
      <c r="D338" t="s">
        <v>732</v>
      </c>
      <c r="E338" t="s">
        <v>54</v>
      </c>
      <c r="F338">
        <v>6</v>
      </c>
      <c r="G338" t="s">
        <v>24</v>
      </c>
      <c r="H338" t="s">
        <v>25</v>
      </c>
      <c r="I338" t="s">
        <v>26</v>
      </c>
    </row>
    <row r="339" spans="1:9" x14ac:dyDescent="0.45">
      <c r="A339" t="s">
        <v>733</v>
      </c>
      <c r="B339" s="2">
        <v>45897</v>
      </c>
      <c r="C339" t="s">
        <v>99</v>
      </c>
      <c r="D339" t="s">
        <v>734</v>
      </c>
      <c r="E339" t="s">
        <v>71</v>
      </c>
      <c r="F339">
        <v>4</v>
      </c>
      <c r="G339" t="s">
        <v>13</v>
      </c>
      <c r="H339" t="s">
        <v>14</v>
      </c>
      <c r="I339" t="s">
        <v>39</v>
      </c>
    </row>
    <row r="340" spans="1:9" x14ac:dyDescent="0.45">
      <c r="A340" t="s">
        <v>735</v>
      </c>
      <c r="B340" s="2">
        <v>45898</v>
      </c>
      <c r="C340" t="s">
        <v>49</v>
      </c>
      <c r="D340" t="s">
        <v>736</v>
      </c>
      <c r="E340" t="s">
        <v>75</v>
      </c>
      <c r="F340">
        <v>2</v>
      </c>
      <c r="G340" t="s">
        <v>13</v>
      </c>
      <c r="H340" t="s">
        <v>14</v>
      </c>
      <c r="I340" t="s">
        <v>60</v>
      </c>
    </row>
    <row r="341" spans="1:9" x14ac:dyDescent="0.45">
      <c r="A341" t="s">
        <v>737</v>
      </c>
      <c r="B341" s="2">
        <v>45793</v>
      </c>
      <c r="C341" t="s">
        <v>16</v>
      </c>
      <c r="D341" t="s">
        <v>738</v>
      </c>
      <c r="E341" t="s">
        <v>7974</v>
      </c>
      <c r="F341">
        <v>12</v>
      </c>
      <c r="G341" t="s">
        <v>59</v>
      </c>
      <c r="H341" t="s">
        <v>14</v>
      </c>
      <c r="I341" t="s">
        <v>47</v>
      </c>
    </row>
    <row r="342" spans="1:9" x14ac:dyDescent="0.45">
      <c r="A342" t="s">
        <v>739</v>
      </c>
      <c r="B342" s="2">
        <v>45812</v>
      </c>
      <c r="C342" t="s">
        <v>66</v>
      </c>
      <c r="D342" t="s">
        <v>740</v>
      </c>
      <c r="E342" t="s">
        <v>71</v>
      </c>
      <c r="F342">
        <v>7</v>
      </c>
      <c r="G342" t="s">
        <v>18</v>
      </c>
      <c r="H342" t="s">
        <v>14</v>
      </c>
      <c r="I342" t="s">
        <v>19</v>
      </c>
    </row>
    <row r="343" spans="1:9" x14ac:dyDescent="0.45">
      <c r="A343" t="s">
        <v>741</v>
      </c>
      <c r="B343" s="2">
        <v>45840</v>
      </c>
      <c r="C343" t="s">
        <v>99</v>
      </c>
      <c r="D343" t="s">
        <v>742</v>
      </c>
      <c r="E343" t="s">
        <v>58</v>
      </c>
      <c r="F343">
        <v>1</v>
      </c>
      <c r="G343" t="s">
        <v>59</v>
      </c>
      <c r="H343" t="s">
        <v>14</v>
      </c>
      <c r="I343" t="s">
        <v>31</v>
      </c>
    </row>
    <row r="344" spans="1:9" x14ac:dyDescent="0.45">
      <c r="A344" t="s">
        <v>743</v>
      </c>
      <c r="B344" s="2">
        <v>45695</v>
      </c>
      <c r="C344" t="s">
        <v>99</v>
      </c>
      <c r="D344" t="s">
        <v>744</v>
      </c>
      <c r="E344" t="s">
        <v>34</v>
      </c>
      <c r="F344">
        <v>7</v>
      </c>
      <c r="G344" t="s">
        <v>68</v>
      </c>
      <c r="H344" t="s">
        <v>25</v>
      </c>
      <c r="I344" t="s">
        <v>39</v>
      </c>
    </row>
    <row r="345" spans="1:9" x14ac:dyDescent="0.45">
      <c r="A345" t="s">
        <v>745</v>
      </c>
      <c r="B345" s="2">
        <v>45830</v>
      </c>
      <c r="C345" t="s">
        <v>16</v>
      </c>
      <c r="D345" t="s">
        <v>746</v>
      </c>
      <c r="E345" t="s">
        <v>46</v>
      </c>
      <c r="F345">
        <v>1</v>
      </c>
      <c r="G345" t="s">
        <v>59</v>
      </c>
      <c r="H345" t="s">
        <v>14</v>
      </c>
      <c r="I345" t="s">
        <v>31</v>
      </c>
    </row>
    <row r="346" spans="1:9" x14ac:dyDescent="0.45">
      <c r="A346" t="s">
        <v>747</v>
      </c>
      <c r="B346" s="2">
        <v>45884</v>
      </c>
      <c r="C346" t="s">
        <v>10</v>
      </c>
      <c r="D346" t="s">
        <v>748</v>
      </c>
      <c r="E346" t="s">
        <v>7967</v>
      </c>
      <c r="F346">
        <v>1</v>
      </c>
      <c r="G346" t="s">
        <v>55</v>
      </c>
      <c r="H346" t="s">
        <v>72</v>
      </c>
      <c r="I346" t="s">
        <v>19</v>
      </c>
    </row>
    <row r="347" spans="1:9" x14ac:dyDescent="0.45">
      <c r="A347" t="s">
        <v>749</v>
      </c>
      <c r="B347" s="2">
        <v>45753</v>
      </c>
      <c r="C347" t="s">
        <v>52</v>
      </c>
      <c r="D347" t="s">
        <v>750</v>
      </c>
      <c r="E347" t="s">
        <v>30</v>
      </c>
      <c r="F347">
        <v>9</v>
      </c>
      <c r="G347" t="s">
        <v>55</v>
      </c>
      <c r="H347" t="s">
        <v>72</v>
      </c>
      <c r="I347" t="s">
        <v>60</v>
      </c>
    </row>
    <row r="348" spans="1:9" x14ac:dyDescent="0.45">
      <c r="A348" t="s">
        <v>751</v>
      </c>
      <c r="B348" s="2">
        <v>45876</v>
      </c>
      <c r="C348" t="s">
        <v>66</v>
      </c>
      <c r="D348" t="s">
        <v>752</v>
      </c>
      <c r="E348" t="s">
        <v>46</v>
      </c>
      <c r="F348">
        <v>10</v>
      </c>
      <c r="G348" t="s">
        <v>35</v>
      </c>
      <c r="H348" t="s">
        <v>25</v>
      </c>
      <c r="I348" t="s">
        <v>39</v>
      </c>
    </row>
    <row r="349" spans="1:9" x14ac:dyDescent="0.45">
      <c r="A349" t="s">
        <v>753</v>
      </c>
      <c r="B349" s="2">
        <v>45826</v>
      </c>
      <c r="C349" t="s">
        <v>16</v>
      </c>
      <c r="D349" t="s">
        <v>754</v>
      </c>
      <c r="E349" t="s">
        <v>34</v>
      </c>
      <c r="F349">
        <v>1</v>
      </c>
      <c r="G349" t="s">
        <v>24</v>
      </c>
      <c r="H349" t="s">
        <v>25</v>
      </c>
      <c r="I349" t="s">
        <v>31</v>
      </c>
    </row>
    <row r="350" spans="1:9" x14ac:dyDescent="0.45">
      <c r="A350" t="s">
        <v>755</v>
      </c>
      <c r="B350" s="2">
        <v>45819</v>
      </c>
      <c r="C350" t="s">
        <v>28</v>
      </c>
      <c r="D350" t="s">
        <v>756</v>
      </c>
      <c r="E350" t="s">
        <v>38</v>
      </c>
      <c r="F350">
        <v>7</v>
      </c>
      <c r="G350" t="s">
        <v>24</v>
      </c>
      <c r="H350" t="s">
        <v>25</v>
      </c>
      <c r="I350" t="s">
        <v>26</v>
      </c>
    </row>
    <row r="351" spans="1:9" x14ac:dyDescent="0.45">
      <c r="A351" t="s">
        <v>757</v>
      </c>
      <c r="B351" s="2">
        <v>45838</v>
      </c>
      <c r="C351" t="s">
        <v>10</v>
      </c>
      <c r="D351" t="s">
        <v>758</v>
      </c>
      <c r="E351" t="s">
        <v>7974</v>
      </c>
      <c r="F351">
        <v>9</v>
      </c>
      <c r="G351" t="s">
        <v>68</v>
      </c>
      <c r="H351" t="s">
        <v>25</v>
      </c>
      <c r="I351" t="s">
        <v>19</v>
      </c>
    </row>
    <row r="352" spans="1:9" x14ac:dyDescent="0.45">
      <c r="A352" t="s">
        <v>759</v>
      </c>
      <c r="B352" s="2">
        <v>45710</v>
      </c>
      <c r="C352" t="s">
        <v>28</v>
      </c>
      <c r="D352" t="s">
        <v>760</v>
      </c>
      <c r="E352" t="s">
        <v>58</v>
      </c>
      <c r="F352">
        <v>11</v>
      </c>
      <c r="G352" t="s">
        <v>59</v>
      </c>
      <c r="H352" t="s">
        <v>14</v>
      </c>
      <c r="I352" t="s">
        <v>60</v>
      </c>
    </row>
    <row r="353" spans="1:9" x14ac:dyDescent="0.45">
      <c r="A353" t="s">
        <v>761</v>
      </c>
      <c r="B353" s="2">
        <v>45778</v>
      </c>
      <c r="C353" t="s">
        <v>66</v>
      </c>
      <c r="D353" t="s">
        <v>762</v>
      </c>
      <c r="E353" t="s">
        <v>30</v>
      </c>
      <c r="F353">
        <v>12</v>
      </c>
      <c r="G353" t="s">
        <v>35</v>
      </c>
      <c r="H353" t="s">
        <v>25</v>
      </c>
      <c r="I353" t="s">
        <v>26</v>
      </c>
    </row>
    <row r="354" spans="1:9" x14ac:dyDescent="0.45">
      <c r="A354" t="s">
        <v>763</v>
      </c>
      <c r="B354" s="2">
        <v>45737</v>
      </c>
      <c r="C354" t="s">
        <v>28</v>
      </c>
      <c r="D354" t="s">
        <v>764</v>
      </c>
      <c r="E354" t="s">
        <v>30</v>
      </c>
      <c r="F354">
        <v>10</v>
      </c>
      <c r="G354" t="s">
        <v>13</v>
      </c>
      <c r="H354" t="s">
        <v>14</v>
      </c>
      <c r="I354" t="s">
        <v>39</v>
      </c>
    </row>
    <row r="355" spans="1:9" x14ac:dyDescent="0.45">
      <c r="A355" t="s">
        <v>765</v>
      </c>
      <c r="B355" s="2">
        <v>45752</v>
      </c>
      <c r="C355" t="s">
        <v>49</v>
      </c>
      <c r="D355" t="s">
        <v>766</v>
      </c>
      <c r="E355" t="s">
        <v>71</v>
      </c>
      <c r="F355">
        <v>2</v>
      </c>
      <c r="G355" t="s">
        <v>43</v>
      </c>
      <c r="H355" t="s">
        <v>14</v>
      </c>
      <c r="I355" t="s">
        <v>39</v>
      </c>
    </row>
    <row r="356" spans="1:9" x14ac:dyDescent="0.45">
      <c r="A356" t="s">
        <v>767</v>
      </c>
      <c r="B356" s="2">
        <v>45786</v>
      </c>
      <c r="C356" t="s">
        <v>49</v>
      </c>
      <c r="D356" t="s">
        <v>768</v>
      </c>
      <c r="E356" t="s">
        <v>42</v>
      </c>
      <c r="F356">
        <v>12</v>
      </c>
      <c r="G356" t="s">
        <v>35</v>
      </c>
      <c r="H356" t="s">
        <v>25</v>
      </c>
      <c r="I356" t="s">
        <v>47</v>
      </c>
    </row>
    <row r="357" spans="1:9" x14ac:dyDescent="0.45">
      <c r="A357" t="s">
        <v>769</v>
      </c>
      <c r="B357" s="2">
        <v>45886</v>
      </c>
      <c r="C357" t="s">
        <v>10</v>
      </c>
      <c r="D357" t="s">
        <v>770</v>
      </c>
      <c r="E357" t="s">
        <v>46</v>
      </c>
      <c r="F357">
        <v>5</v>
      </c>
      <c r="G357" t="s">
        <v>13</v>
      </c>
      <c r="H357" t="s">
        <v>14</v>
      </c>
      <c r="I357" t="s">
        <v>39</v>
      </c>
    </row>
    <row r="358" spans="1:9" x14ac:dyDescent="0.45">
      <c r="A358" t="s">
        <v>771</v>
      </c>
      <c r="B358" s="2">
        <v>45800</v>
      </c>
      <c r="C358" t="s">
        <v>10</v>
      </c>
      <c r="D358" t="s">
        <v>772</v>
      </c>
      <c r="E358" t="s">
        <v>58</v>
      </c>
      <c r="F358">
        <v>5</v>
      </c>
      <c r="G358" t="s">
        <v>68</v>
      </c>
      <c r="H358" t="s">
        <v>25</v>
      </c>
      <c r="I358" t="s">
        <v>47</v>
      </c>
    </row>
    <row r="359" spans="1:9" x14ac:dyDescent="0.45">
      <c r="A359" t="s">
        <v>773</v>
      </c>
      <c r="B359" s="2">
        <v>45696</v>
      </c>
      <c r="C359" t="s">
        <v>21</v>
      </c>
      <c r="D359" t="s">
        <v>774</v>
      </c>
      <c r="E359" t="s">
        <v>34</v>
      </c>
      <c r="F359">
        <v>6</v>
      </c>
      <c r="G359" t="s">
        <v>68</v>
      </c>
      <c r="H359" t="s">
        <v>25</v>
      </c>
      <c r="I359" t="s">
        <v>19</v>
      </c>
    </row>
    <row r="360" spans="1:9" x14ac:dyDescent="0.45">
      <c r="A360" t="s">
        <v>775</v>
      </c>
      <c r="B360" s="2">
        <v>45890</v>
      </c>
      <c r="C360" t="s">
        <v>16</v>
      </c>
      <c r="D360" t="s">
        <v>776</v>
      </c>
      <c r="E360" t="s">
        <v>46</v>
      </c>
      <c r="F360">
        <v>5</v>
      </c>
      <c r="G360" t="s">
        <v>43</v>
      </c>
      <c r="H360" t="s">
        <v>14</v>
      </c>
      <c r="I360" t="s">
        <v>39</v>
      </c>
    </row>
    <row r="361" spans="1:9" x14ac:dyDescent="0.45">
      <c r="A361" t="s">
        <v>777</v>
      </c>
      <c r="B361" s="2">
        <v>45747</v>
      </c>
      <c r="C361" t="s">
        <v>52</v>
      </c>
      <c r="D361" t="s">
        <v>778</v>
      </c>
      <c r="E361" t="s">
        <v>23</v>
      </c>
      <c r="F361">
        <v>2</v>
      </c>
      <c r="G361" t="s">
        <v>68</v>
      </c>
      <c r="H361" t="s">
        <v>25</v>
      </c>
      <c r="I361" t="s">
        <v>47</v>
      </c>
    </row>
    <row r="362" spans="1:9" x14ac:dyDescent="0.45">
      <c r="A362" t="s">
        <v>779</v>
      </c>
      <c r="B362" s="2">
        <v>45662</v>
      </c>
      <c r="C362" t="s">
        <v>66</v>
      </c>
      <c r="D362" t="s">
        <v>780</v>
      </c>
      <c r="E362" t="s">
        <v>46</v>
      </c>
      <c r="F362">
        <v>5</v>
      </c>
      <c r="G362" t="s">
        <v>68</v>
      </c>
      <c r="H362" t="s">
        <v>25</v>
      </c>
      <c r="I362" t="s">
        <v>19</v>
      </c>
    </row>
    <row r="363" spans="1:9" x14ac:dyDescent="0.45">
      <c r="A363" t="s">
        <v>781</v>
      </c>
      <c r="B363" s="2">
        <v>45813</v>
      </c>
      <c r="C363" t="s">
        <v>28</v>
      </c>
      <c r="D363" t="s">
        <v>782</v>
      </c>
      <c r="E363" t="s">
        <v>34</v>
      </c>
      <c r="F363">
        <v>3</v>
      </c>
      <c r="G363" t="s">
        <v>13</v>
      </c>
      <c r="H363" t="s">
        <v>14</v>
      </c>
      <c r="I363" t="s">
        <v>26</v>
      </c>
    </row>
    <row r="364" spans="1:9" x14ac:dyDescent="0.45">
      <c r="A364" t="s">
        <v>783</v>
      </c>
      <c r="B364" s="2">
        <v>45828</v>
      </c>
      <c r="C364" t="s">
        <v>16</v>
      </c>
      <c r="D364" t="s">
        <v>784</v>
      </c>
      <c r="E364" t="s">
        <v>7974</v>
      </c>
      <c r="F364">
        <v>1</v>
      </c>
      <c r="G364" t="s">
        <v>55</v>
      </c>
      <c r="H364" t="s">
        <v>72</v>
      </c>
      <c r="I364" t="s">
        <v>19</v>
      </c>
    </row>
    <row r="365" spans="1:9" x14ac:dyDescent="0.45">
      <c r="A365" t="s">
        <v>785</v>
      </c>
      <c r="B365" s="2">
        <v>45895</v>
      </c>
      <c r="C365" t="s">
        <v>28</v>
      </c>
      <c r="D365" t="s">
        <v>786</v>
      </c>
      <c r="E365" t="s">
        <v>23</v>
      </c>
      <c r="F365">
        <v>8</v>
      </c>
      <c r="G365" t="s">
        <v>59</v>
      </c>
      <c r="H365" t="s">
        <v>14</v>
      </c>
      <c r="I365" t="s">
        <v>47</v>
      </c>
    </row>
    <row r="366" spans="1:9" x14ac:dyDescent="0.45">
      <c r="A366" t="s">
        <v>787</v>
      </c>
      <c r="B366" s="2">
        <v>45675</v>
      </c>
      <c r="C366" t="s">
        <v>52</v>
      </c>
      <c r="D366" t="s">
        <v>788</v>
      </c>
      <c r="E366" t="s">
        <v>54</v>
      </c>
      <c r="F366">
        <v>3</v>
      </c>
      <c r="G366" t="s">
        <v>68</v>
      </c>
      <c r="H366" t="s">
        <v>25</v>
      </c>
      <c r="I366" t="s">
        <v>26</v>
      </c>
    </row>
    <row r="367" spans="1:9" x14ac:dyDescent="0.45">
      <c r="A367" t="s">
        <v>789</v>
      </c>
      <c r="B367" s="2">
        <v>45881</v>
      </c>
      <c r="C367" t="s">
        <v>21</v>
      </c>
      <c r="D367" t="s">
        <v>790</v>
      </c>
      <c r="E367" t="s">
        <v>34</v>
      </c>
      <c r="F367">
        <v>9</v>
      </c>
      <c r="G367" t="s">
        <v>59</v>
      </c>
      <c r="H367" t="s">
        <v>14</v>
      </c>
      <c r="I367" t="s">
        <v>31</v>
      </c>
    </row>
    <row r="368" spans="1:9" x14ac:dyDescent="0.45">
      <c r="A368" t="s">
        <v>791</v>
      </c>
      <c r="B368" s="2">
        <v>45840</v>
      </c>
      <c r="C368" t="s">
        <v>66</v>
      </c>
      <c r="D368" t="s">
        <v>792</v>
      </c>
      <c r="E368" t="s">
        <v>42</v>
      </c>
      <c r="F368">
        <v>8</v>
      </c>
      <c r="G368" t="s">
        <v>18</v>
      </c>
      <c r="H368" t="s">
        <v>14</v>
      </c>
      <c r="I368" t="s">
        <v>26</v>
      </c>
    </row>
    <row r="369" spans="1:9" x14ac:dyDescent="0.45">
      <c r="A369" t="s">
        <v>793</v>
      </c>
      <c r="B369" s="2">
        <v>45809</v>
      </c>
      <c r="C369" t="s">
        <v>49</v>
      </c>
      <c r="D369" t="s">
        <v>795</v>
      </c>
      <c r="E369" t="s">
        <v>23</v>
      </c>
      <c r="F369">
        <v>5</v>
      </c>
      <c r="G369" t="s">
        <v>13</v>
      </c>
      <c r="H369" t="s">
        <v>14</v>
      </c>
      <c r="I369" t="s">
        <v>19</v>
      </c>
    </row>
    <row r="370" spans="1:9" x14ac:dyDescent="0.45">
      <c r="A370" t="s">
        <v>796</v>
      </c>
      <c r="B370" s="2">
        <v>45755</v>
      </c>
      <c r="C370" t="s">
        <v>10</v>
      </c>
      <c r="D370" t="s">
        <v>797</v>
      </c>
      <c r="E370" t="s">
        <v>23</v>
      </c>
      <c r="F370">
        <v>1</v>
      </c>
      <c r="G370" t="s">
        <v>35</v>
      </c>
      <c r="H370" t="s">
        <v>25</v>
      </c>
      <c r="I370" t="s">
        <v>39</v>
      </c>
    </row>
    <row r="371" spans="1:9" x14ac:dyDescent="0.45">
      <c r="A371" t="s">
        <v>798</v>
      </c>
      <c r="B371" s="2">
        <v>45780</v>
      </c>
      <c r="C371" t="s">
        <v>99</v>
      </c>
      <c r="D371" t="s">
        <v>799</v>
      </c>
      <c r="E371" t="s">
        <v>7973</v>
      </c>
      <c r="F371">
        <v>6</v>
      </c>
      <c r="G371" t="s">
        <v>59</v>
      </c>
      <c r="H371" t="s">
        <v>14</v>
      </c>
      <c r="I371" t="s">
        <v>39</v>
      </c>
    </row>
    <row r="372" spans="1:9" x14ac:dyDescent="0.45">
      <c r="A372" t="s">
        <v>800</v>
      </c>
      <c r="B372" s="2">
        <v>45763</v>
      </c>
      <c r="C372" t="s">
        <v>49</v>
      </c>
      <c r="D372" t="s">
        <v>801</v>
      </c>
      <c r="E372" t="s">
        <v>58</v>
      </c>
      <c r="F372">
        <v>4</v>
      </c>
      <c r="G372" t="s">
        <v>55</v>
      </c>
      <c r="H372" t="s">
        <v>72</v>
      </c>
      <c r="I372" t="s">
        <v>26</v>
      </c>
    </row>
    <row r="373" spans="1:9" x14ac:dyDescent="0.45">
      <c r="A373" t="s">
        <v>802</v>
      </c>
      <c r="B373" s="2">
        <v>45756</v>
      </c>
      <c r="C373" t="s">
        <v>28</v>
      </c>
      <c r="D373" t="s">
        <v>803</v>
      </c>
      <c r="E373" t="s">
        <v>54</v>
      </c>
      <c r="F373">
        <v>10</v>
      </c>
      <c r="G373" t="s">
        <v>18</v>
      </c>
      <c r="H373" t="s">
        <v>14</v>
      </c>
      <c r="I373" t="s">
        <v>47</v>
      </c>
    </row>
    <row r="374" spans="1:9" x14ac:dyDescent="0.45">
      <c r="A374" t="s">
        <v>804</v>
      </c>
      <c r="B374" s="2">
        <v>45770</v>
      </c>
      <c r="C374" t="s">
        <v>10</v>
      </c>
      <c r="D374" t="s">
        <v>805</v>
      </c>
      <c r="E374" t="s">
        <v>23</v>
      </c>
      <c r="F374">
        <v>7</v>
      </c>
      <c r="G374" t="s">
        <v>43</v>
      </c>
      <c r="H374" t="s">
        <v>14</v>
      </c>
      <c r="I374" t="s">
        <v>47</v>
      </c>
    </row>
    <row r="375" spans="1:9" x14ac:dyDescent="0.45">
      <c r="A375" t="s">
        <v>806</v>
      </c>
      <c r="B375" s="2">
        <v>45697</v>
      </c>
      <c r="C375" t="s">
        <v>28</v>
      </c>
      <c r="D375" t="s">
        <v>807</v>
      </c>
      <c r="E375" t="s">
        <v>7973</v>
      </c>
      <c r="F375">
        <v>11</v>
      </c>
      <c r="G375" t="s">
        <v>7967</v>
      </c>
      <c r="H375" t="s">
        <v>25</v>
      </c>
      <c r="I375" t="s">
        <v>31</v>
      </c>
    </row>
    <row r="376" spans="1:9" x14ac:dyDescent="0.45">
      <c r="A376" t="s">
        <v>808</v>
      </c>
      <c r="B376" s="2">
        <v>45800</v>
      </c>
      <c r="C376" t="s">
        <v>49</v>
      </c>
      <c r="D376" t="s">
        <v>809</v>
      </c>
      <c r="E376" t="s">
        <v>7974</v>
      </c>
      <c r="F376">
        <v>5</v>
      </c>
      <c r="G376" t="s">
        <v>13</v>
      </c>
      <c r="H376" t="s">
        <v>14</v>
      </c>
      <c r="I376" t="s">
        <v>26</v>
      </c>
    </row>
    <row r="377" spans="1:9" x14ac:dyDescent="0.45">
      <c r="A377" t="s">
        <v>810</v>
      </c>
      <c r="B377" s="2">
        <v>45777</v>
      </c>
      <c r="C377" t="s">
        <v>52</v>
      </c>
      <c r="D377" t="s">
        <v>811</v>
      </c>
      <c r="E377" t="s">
        <v>7974</v>
      </c>
      <c r="F377">
        <v>11</v>
      </c>
      <c r="G377" t="s">
        <v>35</v>
      </c>
      <c r="H377" t="s">
        <v>25</v>
      </c>
      <c r="I377" t="s">
        <v>47</v>
      </c>
    </row>
    <row r="378" spans="1:9" x14ac:dyDescent="0.45">
      <c r="A378" t="s">
        <v>812</v>
      </c>
      <c r="B378" s="2">
        <v>45820</v>
      </c>
      <c r="C378" t="s">
        <v>28</v>
      </c>
      <c r="D378" t="s">
        <v>813</v>
      </c>
      <c r="E378" t="s">
        <v>71</v>
      </c>
      <c r="F378">
        <v>2</v>
      </c>
      <c r="G378" t="s">
        <v>18</v>
      </c>
      <c r="H378" t="s">
        <v>14</v>
      </c>
      <c r="I378" t="s">
        <v>31</v>
      </c>
    </row>
    <row r="379" spans="1:9" x14ac:dyDescent="0.45">
      <c r="A379" t="s">
        <v>814</v>
      </c>
      <c r="B379" s="2">
        <v>45901</v>
      </c>
      <c r="C379" t="s">
        <v>99</v>
      </c>
      <c r="D379" t="s">
        <v>815</v>
      </c>
      <c r="E379" t="s">
        <v>46</v>
      </c>
      <c r="F379">
        <v>6</v>
      </c>
      <c r="G379" t="s">
        <v>18</v>
      </c>
      <c r="H379" t="s">
        <v>14</v>
      </c>
      <c r="I379" t="s">
        <v>47</v>
      </c>
    </row>
    <row r="380" spans="1:9" x14ac:dyDescent="0.45">
      <c r="A380" t="s">
        <v>816</v>
      </c>
      <c r="B380" s="2">
        <v>45672</v>
      </c>
      <c r="C380" t="s">
        <v>21</v>
      </c>
      <c r="D380" t="s">
        <v>817</v>
      </c>
      <c r="E380" t="s">
        <v>42</v>
      </c>
      <c r="F380">
        <v>3</v>
      </c>
      <c r="G380" t="s">
        <v>18</v>
      </c>
      <c r="H380" t="s">
        <v>14</v>
      </c>
      <c r="I380" t="s">
        <v>26</v>
      </c>
    </row>
    <row r="381" spans="1:9" x14ac:dyDescent="0.45">
      <c r="A381" t="s">
        <v>818</v>
      </c>
      <c r="B381" s="2">
        <v>45902</v>
      </c>
      <c r="C381" t="s">
        <v>28</v>
      </c>
      <c r="D381" t="s">
        <v>819</v>
      </c>
      <c r="E381" t="s">
        <v>7973</v>
      </c>
      <c r="F381">
        <v>10</v>
      </c>
      <c r="G381" t="s">
        <v>18</v>
      </c>
      <c r="H381" t="s">
        <v>14</v>
      </c>
      <c r="I381" t="s">
        <v>26</v>
      </c>
    </row>
    <row r="382" spans="1:9" x14ac:dyDescent="0.45">
      <c r="A382" t="s">
        <v>820</v>
      </c>
      <c r="B382" s="2">
        <v>45770</v>
      </c>
      <c r="C382" t="s">
        <v>16</v>
      </c>
      <c r="D382" t="s">
        <v>821</v>
      </c>
      <c r="E382" t="s">
        <v>7974</v>
      </c>
      <c r="F382">
        <v>6</v>
      </c>
      <c r="G382" t="s">
        <v>18</v>
      </c>
      <c r="H382" t="s">
        <v>14</v>
      </c>
      <c r="I382" t="s">
        <v>31</v>
      </c>
    </row>
    <row r="383" spans="1:9" x14ac:dyDescent="0.45">
      <c r="A383" t="s">
        <v>822</v>
      </c>
      <c r="B383" s="2">
        <v>45713</v>
      </c>
      <c r="C383" t="s">
        <v>21</v>
      </c>
      <c r="D383" t="s">
        <v>823</v>
      </c>
      <c r="E383" t="s">
        <v>34</v>
      </c>
      <c r="F383">
        <v>9</v>
      </c>
      <c r="G383" t="s">
        <v>13</v>
      </c>
      <c r="H383" t="s">
        <v>14</v>
      </c>
      <c r="I383" t="s">
        <v>31</v>
      </c>
    </row>
    <row r="384" spans="1:9" x14ac:dyDescent="0.45">
      <c r="A384" t="s">
        <v>824</v>
      </c>
      <c r="B384" s="2">
        <v>45662</v>
      </c>
      <c r="C384" t="s">
        <v>10</v>
      </c>
      <c r="D384" t="s">
        <v>825</v>
      </c>
      <c r="E384" t="s">
        <v>46</v>
      </c>
      <c r="F384">
        <v>11</v>
      </c>
      <c r="G384" t="s">
        <v>59</v>
      </c>
      <c r="H384" t="s">
        <v>14</v>
      </c>
      <c r="I384" t="s">
        <v>31</v>
      </c>
    </row>
    <row r="385" spans="1:9" x14ac:dyDescent="0.45">
      <c r="A385" t="s">
        <v>826</v>
      </c>
      <c r="B385" s="2">
        <v>45782</v>
      </c>
      <c r="C385" t="s">
        <v>16</v>
      </c>
      <c r="D385" t="s">
        <v>827</v>
      </c>
      <c r="E385" t="s">
        <v>54</v>
      </c>
      <c r="F385">
        <v>8</v>
      </c>
      <c r="G385" t="s">
        <v>35</v>
      </c>
      <c r="H385" t="s">
        <v>25</v>
      </c>
      <c r="I385" t="s">
        <v>39</v>
      </c>
    </row>
    <row r="386" spans="1:9" x14ac:dyDescent="0.45">
      <c r="A386" t="s">
        <v>828</v>
      </c>
      <c r="B386" s="2">
        <v>45679</v>
      </c>
      <c r="C386" t="s">
        <v>49</v>
      </c>
      <c r="D386" t="s">
        <v>829</v>
      </c>
      <c r="E386" t="s">
        <v>38</v>
      </c>
      <c r="F386">
        <v>3</v>
      </c>
      <c r="G386" t="s">
        <v>59</v>
      </c>
      <c r="H386" t="s">
        <v>14</v>
      </c>
      <c r="I386" t="s">
        <v>31</v>
      </c>
    </row>
    <row r="387" spans="1:9" x14ac:dyDescent="0.45">
      <c r="A387" t="s">
        <v>830</v>
      </c>
      <c r="B387" s="2">
        <v>45870</v>
      </c>
      <c r="C387" t="s">
        <v>16</v>
      </c>
      <c r="D387" t="s">
        <v>831</v>
      </c>
      <c r="E387" t="s">
        <v>7973</v>
      </c>
      <c r="F387">
        <v>8</v>
      </c>
      <c r="G387" t="s">
        <v>68</v>
      </c>
      <c r="H387" t="s">
        <v>25</v>
      </c>
      <c r="I387" t="s">
        <v>31</v>
      </c>
    </row>
    <row r="388" spans="1:9" x14ac:dyDescent="0.45">
      <c r="A388" t="s">
        <v>832</v>
      </c>
      <c r="B388" s="2">
        <v>45683</v>
      </c>
      <c r="C388" t="s">
        <v>10</v>
      </c>
      <c r="D388" t="s">
        <v>833</v>
      </c>
      <c r="E388" t="s">
        <v>54</v>
      </c>
      <c r="F388">
        <v>4</v>
      </c>
      <c r="G388" t="s">
        <v>13</v>
      </c>
      <c r="H388" t="s">
        <v>14</v>
      </c>
      <c r="I388" t="s">
        <v>31</v>
      </c>
    </row>
    <row r="389" spans="1:9" x14ac:dyDescent="0.45">
      <c r="A389" t="s">
        <v>834</v>
      </c>
      <c r="B389" s="2">
        <v>45840</v>
      </c>
      <c r="C389" t="s">
        <v>21</v>
      </c>
      <c r="D389" t="s">
        <v>835</v>
      </c>
      <c r="E389" t="s">
        <v>71</v>
      </c>
      <c r="F389">
        <v>2</v>
      </c>
      <c r="G389" t="s">
        <v>43</v>
      </c>
      <c r="H389" t="s">
        <v>14</v>
      </c>
      <c r="I389" t="s">
        <v>39</v>
      </c>
    </row>
    <row r="390" spans="1:9" x14ac:dyDescent="0.45">
      <c r="A390" t="s">
        <v>836</v>
      </c>
      <c r="B390" s="2">
        <v>45869</v>
      </c>
      <c r="C390" t="s">
        <v>66</v>
      </c>
      <c r="D390" t="s">
        <v>837</v>
      </c>
      <c r="E390" t="s">
        <v>54</v>
      </c>
      <c r="F390">
        <v>12</v>
      </c>
      <c r="G390" t="s">
        <v>24</v>
      </c>
      <c r="H390" t="s">
        <v>25</v>
      </c>
      <c r="I390" t="s">
        <v>47</v>
      </c>
    </row>
    <row r="391" spans="1:9" x14ac:dyDescent="0.45">
      <c r="A391" t="s">
        <v>838</v>
      </c>
      <c r="B391" s="2">
        <v>45756</v>
      </c>
      <c r="C391" t="s">
        <v>52</v>
      </c>
      <c r="D391" t="s">
        <v>839</v>
      </c>
      <c r="E391" t="s">
        <v>58</v>
      </c>
      <c r="F391">
        <v>1</v>
      </c>
      <c r="G391" t="s">
        <v>59</v>
      </c>
      <c r="H391" t="s">
        <v>14</v>
      </c>
      <c r="I391" t="s">
        <v>31</v>
      </c>
    </row>
    <row r="392" spans="1:9" x14ac:dyDescent="0.45">
      <c r="A392" t="s">
        <v>840</v>
      </c>
      <c r="B392" s="2">
        <v>45839</v>
      </c>
      <c r="C392" t="s">
        <v>21</v>
      </c>
      <c r="D392" t="s">
        <v>841</v>
      </c>
      <c r="E392" t="s">
        <v>42</v>
      </c>
      <c r="F392">
        <v>7</v>
      </c>
      <c r="G392" t="s">
        <v>43</v>
      </c>
      <c r="H392" t="s">
        <v>14</v>
      </c>
      <c r="I392" t="s">
        <v>26</v>
      </c>
    </row>
    <row r="393" spans="1:9" x14ac:dyDescent="0.45">
      <c r="A393" t="s">
        <v>842</v>
      </c>
      <c r="B393" s="2">
        <v>45795</v>
      </c>
      <c r="C393" t="s">
        <v>52</v>
      </c>
      <c r="D393" t="s">
        <v>843</v>
      </c>
      <c r="E393" t="s">
        <v>75</v>
      </c>
      <c r="F393">
        <v>7</v>
      </c>
      <c r="G393" t="s">
        <v>35</v>
      </c>
      <c r="H393" t="s">
        <v>25</v>
      </c>
      <c r="I393" t="s">
        <v>47</v>
      </c>
    </row>
    <row r="394" spans="1:9" x14ac:dyDescent="0.45">
      <c r="A394" t="s">
        <v>844</v>
      </c>
      <c r="B394" s="2">
        <v>45882</v>
      </c>
      <c r="C394" t="s">
        <v>52</v>
      </c>
      <c r="D394" t="s">
        <v>845</v>
      </c>
      <c r="E394" t="s">
        <v>71</v>
      </c>
      <c r="F394">
        <v>3</v>
      </c>
      <c r="G394" t="s">
        <v>43</v>
      </c>
      <c r="H394" t="s">
        <v>14</v>
      </c>
      <c r="I394" t="s">
        <v>39</v>
      </c>
    </row>
    <row r="395" spans="1:9" x14ac:dyDescent="0.45">
      <c r="A395" t="s">
        <v>846</v>
      </c>
      <c r="B395" s="2">
        <v>45681</v>
      </c>
      <c r="C395" t="s">
        <v>21</v>
      </c>
      <c r="D395" t="s">
        <v>847</v>
      </c>
      <c r="E395" t="s">
        <v>23</v>
      </c>
      <c r="F395">
        <v>3</v>
      </c>
      <c r="G395" t="s">
        <v>59</v>
      </c>
      <c r="H395" t="s">
        <v>14</v>
      </c>
      <c r="I395" t="s">
        <v>60</v>
      </c>
    </row>
    <row r="396" spans="1:9" x14ac:dyDescent="0.45">
      <c r="A396" t="s">
        <v>848</v>
      </c>
      <c r="B396" s="2">
        <v>45797</v>
      </c>
      <c r="C396" t="s">
        <v>16</v>
      </c>
      <c r="D396" t="s">
        <v>849</v>
      </c>
      <c r="E396" t="s">
        <v>71</v>
      </c>
      <c r="F396">
        <v>2</v>
      </c>
      <c r="G396" t="s">
        <v>68</v>
      </c>
      <c r="H396" t="s">
        <v>25</v>
      </c>
      <c r="I396" t="s">
        <v>60</v>
      </c>
    </row>
    <row r="397" spans="1:9" x14ac:dyDescent="0.45">
      <c r="A397" t="s">
        <v>850</v>
      </c>
      <c r="B397" s="2">
        <v>45732</v>
      </c>
      <c r="C397" t="s">
        <v>49</v>
      </c>
      <c r="D397" t="s">
        <v>851</v>
      </c>
      <c r="E397" t="s">
        <v>42</v>
      </c>
      <c r="F397">
        <v>8</v>
      </c>
      <c r="G397" t="s">
        <v>13</v>
      </c>
      <c r="H397" t="s">
        <v>14</v>
      </c>
      <c r="I397" t="s">
        <v>47</v>
      </c>
    </row>
    <row r="398" spans="1:9" x14ac:dyDescent="0.45">
      <c r="A398" t="s">
        <v>852</v>
      </c>
      <c r="B398" s="2">
        <v>45886</v>
      </c>
      <c r="C398" t="s">
        <v>16</v>
      </c>
      <c r="D398" t="s">
        <v>853</v>
      </c>
      <c r="E398" t="s">
        <v>75</v>
      </c>
      <c r="F398">
        <v>7</v>
      </c>
      <c r="G398" t="s">
        <v>18</v>
      </c>
      <c r="H398" t="s">
        <v>14</v>
      </c>
      <c r="I398" t="s">
        <v>39</v>
      </c>
    </row>
    <row r="399" spans="1:9" x14ac:dyDescent="0.45">
      <c r="A399" t="s">
        <v>854</v>
      </c>
      <c r="B399" s="2">
        <v>45839</v>
      </c>
      <c r="C399" t="s">
        <v>99</v>
      </c>
      <c r="D399" t="s">
        <v>855</v>
      </c>
      <c r="E399" t="s">
        <v>54</v>
      </c>
      <c r="F399">
        <v>8</v>
      </c>
      <c r="G399" t="s">
        <v>43</v>
      </c>
      <c r="H399" t="s">
        <v>14</v>
      </c>
      <c r="I399" t="s">
        <v>19</v>
      </c>
    </row>
    <row r="400" spans="1:9" x14ac:dyDescent="0.45">
      <c r="A400" t="s">
        <v>856</v>
      </c>
      <c r="B400" s="2">
        <v>45882</v>
      </c>
      <c r="C400" t="s">
        <v>21</v>
      </c>
      <c r="D400" t="s">
        <v>857</v>
      </c>
      <c r="E400" t="s">
        <v>75</v>
      </c>
      <c r="F400">
        <v>4</v>
      </c>
      <c r="G400" t="s">
        <v>13</v>
      </c>
      <c r="H400" t="s">
        <v>14</v>
      </c>
      <c r="I400" t="s">
        <v>19</v>
      </c>
    </row>
    <row r="401" spans="1:9" x14ac:dyDescent="0.45">
      <c r="A401" t="s">
        <v>858</v>
      </c>
      <c r="B401" s="2">
        <v>45857</v>
      </c>
      <c r="C401" t="s">
        <v>16</v>
      </c>
      <c r="D401" t="s">
        <v>859</v>
      </c>
      <c r="E401" t="s">
        <v>7974</v>
      </c>
      <c r="F401">
        <v>1</v>
      </c>
      <c r="G401" t="s">
        <v>13</v>
      </c>
      <c r="H401" t="s">
        <v>14</v>
      </c>
      <c r="I401" t="s">
        <v>60</v>
      </c>
    </row>
    <row r="402" spans="1:9" x14ac:dyDescent="0.45">
      <c r="A402" t="s">
        <v>860</v>
      </c>
      <c r="B402" s="2">
        <v>45852</v>
      </c>
      <c r="C402" t="s">
        <v>49</v>
      </c>
      <c r="D402" t="s">
        <v>861</v>
      </c>
      <c r="E402" t="s">
        <v>58</v>
      </c>
      <c r="F402">
        <v>1</v>
      </c>
      <c r="G402" t="s">
        <v>43</v>
      </c>
      <c r="H402" t="s">
        <v>14</v>
      </c>
      <c r="I402" t="s">
        <v>60</v>
      </c>
    </row>
    <row r="403" spans="1:9" x14ac:dyDescent="0.45">
      <c r="A403" t="s">
        <v>862</v>
      </c>
      <c r="B403" s="2">
        <v>45865</v>
      </c>
      <c r="C403" t="s">
        <v>99</v>
      </c>
      <c r="D403" t="s">
        <v>863</v>
      </c>
      <c r="E403" t="s">
        <v>71</v>
      </c>
      <c r="F403">
        <v>1</v>
      </c>
      <c r="G403" t="s">
        <v>55</v>
      </c>
      <c r="H403" t="s">
        <v>72</v>
      </c>
      <c r="I403" t="s">
        <v>47</v>
      </c>
    </row>
    <row r="404" spans="1:9" x14ac:dyDescent="0.45">
      <c r="A404" t="s">
        <v>864</v>
      </c>
      <c r="B404" s="2">
        <v>45844</v>
      </c>
      <c r="C404" t="s">
        <v>28</v>
      </c>
      <c r="D404" t="s">
        <v>865</v>
      </c>
      <c r="E404" t="s">
        <v>23</v>
      </c>
      <c r="F404">
        <v>7</v>
      </c>
      <c r="G404" t="s">
        <v>59</v>
      </c>
      <c r="H404" t="s">
        <v>14</v>
      </c>
      <c r="I404" t="s">
        <v>60</v>
      </c>
    </row>
    <row r="405" spans="1:9" x14ac:dyDescent="0.45">
      <c r="A405" t="s">
        <v>867</v>
      </c>
      <c r="B405" s="2">
        <v>45767</v>
      </c>
      <c r="C405" t="s">
        <v>21</v>
      </c>
      <c r="D405" t="s">
        <v>868</v>
      </c>
      <c r="E405" t="s">
        <v>54</v>
      </c>
      <c r="F405">
        <v>2</v>
      </c>
      <c r="G405" t="s">
        <v>59</v>
      </c>
      <c r="H405" t="s">
        <v>14</v>
      </c>
      <c r="I405" t="s">
        <v>39</v>
      </c>
    </row>
    <row r="406" spans="1:9" x14ac:dyDescent="0.45">
      <c r="A406" t="s">
        <v>869</v>
      </c>
      <c r="B406" s="2">
        <v>45785</v>
      </c>
      <c r="C406" t="s">
        <v>49</v>
      </c>
      <c r="D406" t="s">
        <v>870</v>
      </c>
      <c r="E406" t="s">
        <v>75</v>
      </c>
      <c r="F406">
        <v>8</v>
      </c>
      <c r="G406" t="s">
        <v>13</v>
      </c>
      <c r="H406" t="s">
        <v>14</v>
      </c>
      <c r="I406" t="s">
        <v>31</v>
      </c>
    </row>
    <row r="407" spans="1:9" x14ac:dyDescent="0.45">
      <c r="A407" t="s">
        <v>871</v>
      </c>
      <c r="B407" s="2">
        <v>45752</v>
      </c>
      <c r="C407" t="s">
        <v>21</v>
      </c>
      <c r="D407" t="s">
        <v>872</v>
      </c>
      <c r="E407" t="s">
        <v>34</v>
      </c>
      <c r="F407">
        <v>9</v>
      </c>
      <c r="G407" t="s">
        <v>59</v>
      </c>
      <c r="H407" t="s">
        <v>14</v>
      </c>
      <c r="I407" t="s">
        <v>47</v>
      </c>
    </row>
    <row r="408" spans="1:9" x14ac:dyDescent="0.45">
      <c r="A408" t="s">
        <v>873</v>
      </c>
      <c r="B408" s="2">
        <v>45693</v>
      </c>
      <c r="C408" t="s">
        <v>16</v>
      </c>
      <c r="D408" t="s">
        <v>874</v>
      </c>
      <c r="E408" t="s">
        <v>42</v>
      </c>
      <c r="F408">
        <v>5</v>
      </c>
      <c r="G408" t="s">
        <v>18</v>
      </c>
      <c r="H408" t="s">
        <v>14</v>
      </c>
      <c r="I408" t="s">
        <v>31</v>
      </c>
    </row>
    <row r="409" spans="1:9" x14ac:dyDescent="0.45">
      <c r="A409" t="s">
        <v>875</v>
      </c>
      <c r="B409" s="2">
        <v>45848</v>
      </c>
      <c r="C409" t="s">
        <v>52</v>
      </c>
      <c r="D409" t="s">
        <v>876</v>
      </c>
      <c r="E409" t="s">
        <v>7973</v>
      </c>
      <c r="F409">
        <v>5</v>
      </c>
      <c r="G409" t="s">
        <v>68</v>
      </c>
      <c r="H409" t="s">
        <v>25</v>
      </c>
      <c r="I409" t="s">
        <v>60</v>
      </c>
    </row>
    <row r="410" spans="1:9" x14ac:dyDescent="0.45">
      <c r="A410" t="s">
        <v>877</v>
      </c>
      <c r="B410" s="2">
        <v>45820</v>
      </c>
      <c r="C410" t="s">
        <v>10</v>
      </c>
      <c r="D410" t="s">
        <v>878</v>
      </c>
      <c r="E410" t="s">
        <v>58</v>
      </c>
      <c r="F410">
        <v>1</v>
      </c>
      <c r="G410" t="s">
        <v>43</v>
      </c>
      <c r="H410" t="s">
        <v>14</v>
      </c>
      <c r="I410" t="s">
        <v>26</v>
      </c>
    </row>
    <row r="411" spans="1:9" x14ac:dyDescent="0.45">
      <c r="A411" t="s">
        <v>879</v>
      </c>
      <c r="B411" s="2">
        <v>45895</v>
      </c>
      <c r="C411" t="s">
        <v>10</v>
      </c>
      <c r="D411" t="s">
        <v>880</v>
      </c>
      <c r="E411" t="s">
        <v>30</v>
      </c>
      <c r="F411">
        <v>12</v>
      </c>
      <c r="G411" t="s">
        <v>13</v>
      </c>
      <c r="H411" t="s">
        <v>14</v>
      </c>
      <c r="I411" t="s">
        <v>31</v>
      </c>
    </row>
    <row r="412" spans="1:9" x14ac:dyDescent="0.45">
      <c r="A412" t="s">
        <v>881</v>
      </c>
      <c r="B412" s="2">
        <v>45670</v>
      </c>
      <c r="C412" t="s">
        <v>28</v>
      </c>
      <c r="D412" t="s">
        <v>882</v>
      </c>
      <c r="E412" t="s">
        <v>54</v>
      </c>
      <c r="F412">
        <v>4</v>
      </c>
      <c r="G412" t="s">
        <v>68</v>
      </c>
      <c r="H412" t="s">
        <v>25</v>
      </c>
      <c r="I412" t="s">
        <v>60</v>
      </c>
    </row>
    <row r="413" spans="1:9" x14ac:dyDescent="0.45">
      <c r="A413" t="s">
        <v>883</v>
      </c>
      <c r="B413" s="2">
        <v>45869</v>
      </c>
      <c r="C413" t="s">
        <v>99</v>
      </c>
      <c r="D413" t="s">
        <v>884</v>
      </c>
      <c r="E413" t="s">
        <v>7973</v>
      </c>
      <c r="F413">
        <v>6</v>
      </c>
      <c r="G413" t="s">
        <v>18</v>
      </c>
      <c r="H413" t="s">
        <v>14</v>
      </c>
      <c r="I413" t="s">
        <v>60</v>
      </c>
    </row>
    <row r="414" spans="1:9" x14ac:dyDescent="0.45">
      <c r="A414" t="s">
        <v>885</v>
      </c>
      <c r="B414" s="2">
        <v>45689</v>
      </c>
      <c r="C414" t="s">
        <v>66</v>
      </c>
      <c r="D414" t="s">
        <v>886</v>
      </c>
      <c r="E414" t="s">
        <v>23</v>
      </c>
      <c r="F414">
        <v>11</v>
      </c>
      <c r="G414" t="s">
        <v>59</v>
      </c>
      <c r="H414" t="s">
        <v>14</v>
      </c>
      <c r="I414" t="s">
        <v>26</v>
      </c>
    </row>
    <row r="415" spans="1:9" x14ac:dyDescent="0.45">
      <c r="A415" t="s">
        <v>887</v>
      </c>
      <c r="B415" s="2">
        <v>45762</v>
      </c>
      <c r="C415" t="s">
        <v>21</v>
      </c>
      <c r="D415" t="s">
        <v>888</v>
      </c>
      <c r="E415" t="s">
        <v>23</v>
      </c>
      <c r="F415">
        <v>3</v>
      </c>
      <c r="G415" t="s">
        <v>13</v>
      </c>
      <c r="H415" t="s">
        <v>14</v>
      </c>
      <c r="I415" t="s">
        <v>47</v>
      </c>
    </row>
    <row r="416" spans="1:9" x14ac:dyDescent="0.45">
      <c r="A416" t="s">
        <v>889</v>
      </c>
      <c r="B416" s="2">
        <v>45798</v>
      </c>
      <c r="C416" t="s">
        <v>52</v>
      </c>
      <c r="D416" t="s">
        <v>890</v>
      </c>
      <c r="E416" t="s">
        <v>75</v>
      </c>
      <c r="F416">
        <v>9</v>
      </c>
      <c r="G416" t="s">
        <v>55</v>
      </c>
      <c r="H416" t="s">
        <v>72</v>
      </c>
      <c r="I416" t="s">
        <v>26</v>
      </c>
    </row>
    <row r="417" spans="1:9" x14ac:dyDescent="0.45">
      <c r="A417" t="s">
        <v>891</v>
      </c>
      <c r="B417" s="2">
        <v>45684</v>
      </c>
      <c r="C417" t="s">
        <v>52</v>
      </c>
      <c r="D417" t="s">
        <v>892</v>
      </c>
      <c r="E417" t="s">
        <v>30</v>
      </c>
      <c r="F417">
        <v>6</v>
      </c>
      <c r="G417" t="s">
        <v>43</v>
      </c>
      <c r="H417" t="s">
        <v>14</v>
      </c>
      <c r="I417" t="s">
        <v>19</v>
      </c>
    </row>
    <row r="418" spans="1:9" x14ac:dyDescent="0.45">
      <c r="A418" t="s">
        <v>893</v>
      </c>
      <c r="B418" s="2">
        <v>45731</v>
      </c>
      <c r="C418" t="s">
        <v>52</v>
      </c>
      <c r="D418" t="s">
        <v>894</v>
      </c>
      <c r="E418" t="s">
        <v>58</v>
      </c>
      <c r="F418">
        <v>12</v>
      </c>
      <c r="G418" t="s">
        <v>35</v>
      </c>
      <c r="H418" t="s">
        <v>25</v>
      </c>
      <c r="I418" t="s">
        <v>39</v>
      </c>
    </row>
    <row r="419" spans="1:9" x14ac:dyDescent="0.45">
      <c r="A419" t="s">
        <v>895</v>
      </c>
      <c r="B419" s="2">
        <v>45736</v>
      </c>
      <c r="C419" t="s">
        <v>28</v>
      </c>
      <c r="D419" t="s">
        <v>896</v>
      </c>
      <c r="E419" t="s">
        <v>7974</v>
      </c>
      <c r="F419">
        <v>7</v>
      </c>
      <c r="G419" t="s">
        <v>35</v>
      </c>
      <c r="H419" t="s">
        <v>25</v>
      </c>
      <c r="I419" t="s">
        <v>39</v>
      </c>
    </row>
    <row r="420" spans="1:9" x14ac:dyDescent="0.45">
      <c r="A420" t="s">
        <v>897</v>
      </c>
      <c r="B420" s="2">
        <v>45704</v>
      </c>
      <c r="C420" t="s">
        <v>10</v>
      </c>
      <c r="D420" t="s">
        <v>898</v>
      </c>
      <c r="E420" t="s">
        <v>30</v>
      </c>
      <c r="F420">
        <v>7</v>
      </c>
      <c r="G420" t="s">
        <v>24</v>
      </c>
      <c r="H420" t="s">
        <v>25</v>
      </c>
      <c r="I420" t="s">
        <v>19</v>
      </c>
    </row>
    <row r="421" spans="1:9" x14ac:dyDescent="0.45">
      <c r="A421" t="s">
        <v>899</v>
      </c>
      <c r="B421" s="2">
        <v>45874</v>
      </c>
      <c r="C421" t="s">
        <v>21</v>
      </c>
      <c r="D421" t="s">
        <v>900</v>
      </c>
      <c r="E421" t="s">
        <v>46</v>
      </c>
      <c r="F421">
        <v>6</v>
      </c>
      <c r="G421" t="s">
        <v>13</v>
      </c>
      <c r="H421" t="s">
        <v>14</v>
      </c>
      <c r="I421" t="s">
        <v>47</v>
      </c>
    </row>
    <row r="422" spans="1:9" x14ac:dyDescent="0.45">
      <c r="A422" t="s">
        <v>901</v>
      </c>
      <c r="B422" s="2">
        <v>45863</v>
      </c>
      <c r="C422" t="s">
        <v>16</v>
      </c>
      <c r="D422" t="s">
        <v>902</v>
      </c>
      <c r="E422" t="s">
        <v>23</v>
      </c>
      <c r="F422">
        <v>2</v>
      </c>
      <c r="G422" t="s">
        <v>18</v>
      </c>
      <c r="H422" t="s">
        <v>14</v>
      </c>
      <c r="I422" t="s">
        <v>60</v>
      </c>
    </row>
    <row r="423" spans="1:9" x14ac:dyDescent="0.45">
      <c r="A423" t="s">
        <v>903</v>
      </c>
      <c r="B423" s="2">
        <v>45803</v>
      </c>
      <c r="C423" t="s">
        <v>28</v>
      </c>
      <c r="D423" t="s">
        <v>904</v>
      </c>
      <c r="E423" t="s">
        <v>71</v>
      </c>
      <c r="F423">
        <v>9</v>
      </c>
      <c r="G423" t="s">
        <v>68</v>
      </c>
      <c r="H423" t="s">
        <v>25</v>
      </c>
      <c r="I423" t="s">
        <v>26</v>
      </c>
    </row>
    <row r="424" spans="1:9" x14ac:dyDescent="0.45">
      <c r="A424" t="s">
        <v>905</v>
      </c>
      <c r="B424" s="2">
        <v>45667</v>
      </c>
      <c r="C424" t="s">
        <v>10</v>
      </c>
      <c r="D424" t="s">
        <v>906</v>
      </c>
      <c r="E424" t="s">
        <v>23</v>
      </c>
      <c r="F424">
        <v>11</v>
      </c>
      <c r="G424" t="s">
        <v>13</v>
      </c>
      <c r="H424" t="s">
        <v>14</v>
      </c>
      <c r="I424" t="s">
        <v>26</v>
      </c>
    </row>
    <row r="425" spans="1:9" x14ac:dyDescent="0.45">
      <c r="A425" t="s">
        <v>907</v>
      </c>
      <c r="B425" s="2">
        <v>45865</v>
      </c>
      <c r="C425" t="s">
        <v>10</v>
      </c>
      <c r="D425" t="s">
        <v>908</v>
      </c>
      <c r="E425" t="s">
        <v>30</v>
      </c>
      <c r="F425">
        <v>8</v>
      </c>
      <c r="G425" t="s">
        <v>59</v>
      </c>
      <c r="H425" t="s">
        <v>14</v>
      </c>
      <c r="I425" t="s">
        <v>26</v>
      </c>
    </row>
    <row r="426" spans="1:9" x14ac:dyDescent="0.45">
      <c r="A426" t="s">
        <v>909</v>
      </c>
      <c r="B426" s="2">
        <v>45825</v>
      </c>
      <c r="C426" t="s">
        <v>49</v>
      </c>
      <c r="D426" t="s">
        <v>910</v>
      </c>
      <c r="E426" t="s">
        <v>75</v>
      </c>
      <c r="F426">
        <v>9</v>
      </c>
      <c r="G426" t="s">
        <v>55</v>
      </c>
      <c r="H426" t="s">
        <v>72</v>
      </c>
      <c r="I426" t="s">
        <v>19</v>
      </c>
    </row>
    <row r="427" spans="1:9" x14ac:dyDescent="0.45">
      <c r="A427" t="s">
        <v>911</v>
      </c>
      <c r="B427" s="2">
        <v>45698</v>
      </c>
      <c r="C427" t="s">
        <v>52</v>
      </c>
      <c r="D427" t="s">
        <v>912</v>
      </c>
      <c r="E427" t="s">
        <v>34</v>
      </c>
      <c r="F427">
        <v>8</v>
      </c>
      <c r="G427" t="s">
        <v>68</v>
      </c>
      <c r="H427" t="s">
        <v>25</v>
      </c>
      <c r="I427" t="s">
        <v>39</v>
      </c>
    </row>
    <row r="428" spans="1:9" x14ac:dyDescent="0.45">
      <c r="A428" t="s">
        <v>913</v>
      </c>
      <c r="B428" s="2">
        <v>45718</v>
      </c>
      <c r="C428" t="s">
        <v>16</v>
      </c>
      <c r="D428" t="s">
        <v>914</v>
      </c>
      <c r="E428" t="s">
        <v>34</v>
      </c>
      <c r="F428">
        <v>5</v>
      </c>
      <c r="G428" t="s">
        <v>18</v>
      </c>
      <c r="H428" t="s">
        <v>14</v>
      </c>
      <c r="I428" t="s">
        <v>31</v>
      </c>
    </row>
    <row r="429" spans="1:9" x14ac:dyDescent="0.45">
      <c r="A429" t="s">
        <v>915</v>
      </c>
      <c r="B429" s="2">
        <v>45663</v>
      </c>
      <c r="C429" t="s">
        <v>28</v>
      </c>
      <c r="D429" t="s">
        <v>916</v>
      </c>
      <c r="E429" t="s">
        <v>75</v>
      </c>
      <c r="F429">
        <v>12</v>
      </c>
      <c r="G429" t="s">
        <v>59</v>
      </c>
      <c r="H429" t="s">
        <v>14</v>
      </c>
      <c r="I429" t="s">
        <v>31</v>
      </c>
    </row>
    <row r="430" spans="1:9" x14ac:dyDescent="0.45">
      <c r="A430" t="s">
        <v>917</v>
      </c>
      <c r="B430" s="2">
        <v>45900</v>
      </c>
      <c r="C430" t="s">
        <v>66</v>
      </c>
      <c r="D430" t="s">
        <v>918</v>
      </c>
      <c r="E430" t="s">
        <v>46</v>
      </c>
      <c r="F430">
        <v>3</v>
      </c>
      <c r="G430" t="s">
        <v>13</v>
      </c>
      <c r="H430" t="s">
        <v>14</v>
      </c>
      <c r="I430" t="s">
        <v>39</v>
      </c>
    </row>
    <row r="431" spans="1:9" x14ac:dyDescent="0.45">
      <c r="A431" t="s">
        <v>919</v>
      </c>
      <c r="B431" s="2">
        <v>45733</v>
      </c>
      <c r="C431" t="s">
        <v>16</v>
      </c>
      <c r="D431" t="s">
        <v>920</v>
      </c>
      <c r="E431" t="s">
        <v>7973</v>
      </c>
      <c r="F431">
        <v>9</v>
      </c>
      <c r="G431" t="s">
        <v>35</v>
      </c>
      <c r="H431" t="s">
        <v>25</v>
      </c>
      <c r="I431" t="s">
        <v>47</v>
      </c>
    </row>
    <row r="432" spans="1:9" x14ac:dyDescent="0.45">
      <c r="A432" t="s">
        <v>921</v>
      </c>
      <c r="B432" s="2">
        <v>45723</v>
      </c>
      <c r="C432" t="s">
        <v>28</v>
      </c>
      <c r="D432" t="s">
        <v>922</v>
      </c>
      <c r="E432" t="s">
        <v>46</v>
      </c>
      <c r="F432">
        <v>8</v>
      </c>
      <c r="G432" t="s">
        <v>35</v>
      </c>
      <c r="H432" t="s">
        <v>25</v>
      </c>
      <c r="I432" t="s">
        <v>60</v>
      </c>
    </row>
    <row r="433" spans="1:9" x14ac:dyDescent="0.45">
      <c r="A433" t="s">
        <v>923</v>
      </c>
      <c r="B433" s="2">
        <v>45693</v>
      </c>
      <c r="C433" t="s">
        <v>28</v>
      </c>
      <c r="D433" t="s">
        <v>924</v>
      </c>
      <c r="E433" t="s">
        <v>30</v>
      </c>
      <c r="F433">
        <v>1</v>
      </c>
      <c r="G433" t="s">
        <v>13</v>
      </c>
      <c r="H433" t="s">
        <v>14</v>
      </c>
      <c r="I433" t="s">
        <v>39</v>
      </c>
    </row>
    <row r="434" spans="1:9" x14ac:dyDescent="0.45">
      <c r="A434" t="s">
        <v>925</v>
      </c>
      <c r="B434" s="2">
        <v>45796</v>
      </c>
      <c r="C434" t="s">
        <v>16</v>
      </c>
      <c r="D434" t="s">
        <v>926</v>
      </c>
      <c r="E434" t="s">
        <v>30</v>
      </c>
      <c r="F434">
        <v>2</v>
      </c>
      <c r="G434" t="s">
        <v>35</v>
      </c>
      <c r="H434" t="s">
        <v>25</v>
      </c>
      <c r="I434" t="s">
        <v>60</v>
      </c>
    </row>
    <row r="435" spans="1:9" x14ac:dyDescent="0.45">
      <c r="A435" t="s">
        <v>927</v>
      </c>
      <c r="B435" s="2">
        <v>45894</v>
      </c>
      <c r="C435" t="s">
        <v>16</v>
      </c>
      <c r="D435" t="s">
        <v>928</v>
      </c>
      <c r="E435" t="s">
        <v>38</v>
      </c>
      <c r="F435">
        <v>1</v>
      </c>
      <c r="G435" t="s">
        <v>18</v>
      </c>
      <c r="H435" t="s">
        <v>14</v>
      </c>
      <c r="I435" t="s">
        <v>39</v>
      </c>
    </row>
    <row r="436" spans="1:9" x14ac:dyDescent="0.45">
      <c r="A436" t="s">
        <v>929</v>
      </c>
      <c r="B436" s="2">
        <v>45857</v>
      </c>
      <c r="C436" t="s">
        <v>28</v>
      </c>
      <c r="D436" t="s">
        <v>930</v>
      </c>
      <c r="E436" t="s">
        <v>42</v>
      </c>
      <c r="F436">
        <v>5</v>
      </c>
      <c r="G436" t="s">
        <v>24</v>
      </c>
      <c r="H436" t="s">
        <v>25</v>
      </c>
      <c r="I436" t="s">
        <v>60</v>
      </c>
    </row>
    <row r="437" spans="1:9" x14ac:dyDescent="0.45">
      <c r="A437" t="s">
        <v>931</v>
      </c>
      <c r="B437" s="2">
        <v>45785</v>
      </c>
      <c r="C437" t="s">
        <v>10</v>
      </c>
      <c r="D437" t="s">
        <v>932</v>
      </c>
      <c r="E437" t="s">
        <v>34</v>
      </c>
      <c r="F437">
        <v>6</v>
      </c>
      <c r="G437" t="s">
        <v>59</v>
      </c>
      <c r="H437" t="s">
        <v>14</v>
      </c>
      <c r="I437" t="s">
        <v>31</v>
      </c>
    </row>
    <row r="438" spans="1:9" x14ac:dyDescent="0.45">
      <c r="A438" t="s">
        <v>933</v>
      </c>
      <c r="B438" s="2">
        <v>45768</v>
      </c>
      <c r="C438" t="s">
        <v>21</v>
      </c>
      <c r="D438" t="s">
        <v>934</v>
      </c>
      <c r="E438" t="s">
        <v>75</v>
      </c>
      <c r="F438">
        <v>6</v>
      </c>
      <c r="G438" t="s">
        <v>43</v>
      </c>
      <c r="H438" t="s">
        <v>14</v>
      </c>
      <c r="I438" t="s">
        <v>39</v>
      </c>
    </row>
    <row r="439" spans="1:9" x14ac:dyDescent="0.45">
      <c r="A439" t="s">
        <v>935</v>
      </c>
      <c r="B439" s="2">
        <v>45700</v>
      </c>
      <c r="C439" t="s">
        <v>66</v>
      </c>
      <c r="D439" t="s">
        <v>936</v>
      </c>
      <c r="E439" t="s">
        <v>34</v>
      </c>
      <c r="F439">
        <v>7</v>
      </c>
      <c r="G439" t="s">
        <v>35</v>
      </c>
      <c r="H439" t="s">
        <v>25</v>
      </c>
      <c r="I439" t="s">
        <v>26</v>
      </c>
    </row>
    <row r="440" spans="1:9" x14ac:dyDescent="0.45">
      <c r="A440" t="s">
        <v>937</v>
      </c>
      <c r="B440" s="2">
        <v>45729</v>
      </c>
      <c r="C440" t="s">
        <v>49</v>
      </c>
      <c r="D440" t="s">
        <v>938</v>
      </c>
      <c r="E440" t="s">
        <v>42</v>
      </c>
      <c r="F440">
        <v>3</v>
      </c>
      <c r="G440" t="s">
        <v>43</v>
      </c>
      <c r="H440" t="s">
        <v>14</v>
      </c>
      <c r="I440" t="s">
        <v>47</v>
      </c>
    </row>
    <row r="441" spans="1:9" x14ac:dyDescent="0.45">
      <c r="A441" t="s">
        <v>939</v>
      </c>
      <c r="B441" s="2">
        <v>45736</v>
      </c>
      <c r="C441" t="s">
        <v>28</v>
      </c>
      <c r="D441" t="s">
        <v>940</v>
      </c>
      <c r="E441" t="s">
        <v>75</v>
      </c>
      <c r="F441">
        <v>11</v>
      </c>
      <c r="G441" t="s">
        <v>18</v>
      </c>
      <c r="H441" t="s">
        <v>14</v>
      </c>
      <c r="I441" t="s">
        <v>31</v>
      </c>
    </row>
    <row r="442" spans="1:9" x14ac:dyDescent="0.45">
      <c r="A442" t="s">
        <v>941</v>
      </c>
      <c r="B442" s="2">
        <v>45722</v>
      </c>
      <c r="C442" t="s">
        <v>66</v>
      </c>
      <c r="D442" t="s">
        <v>942</v>
      </c>
      <c r="E442" t="s">
        <v>30</v>
      </c>
      <c r="F442">
        <v>5</v>
      </c>
      <c r="G442" t="s">
        <v>24</v>
      </c>
      <c r="H442" t="s">
        <v>25</v>
      </c>
      <c r="I442" t="s">
        <v>47</v>
      </c>
    </row>
    <row r="443" spans="1:9" x14ac:dyDescent="0.45">
      <c r="A443" t="s">
        <v>943</v>
      </c>
      <c r="B443" s="2">
        <v>45823</v>
      </c>
      <c r="C443" t="s">
        <v>10</v>
      </c>
      <c r="D443" t="s">
        <v>944</v>
      </c>
      <c r="E443" t="s">
        <v>46</v>
      </c>
      <c r="F443">
        <v>4</v>
      </c>
      <c r="G443" t="s">
        <v>18</v>
      </c>
      <c r="H443" t="s">
        <v>14</v>
      </c>
      <c r="I443" t="s">
        <v>19</v>
      </c>
    </row>
    <row r="444" spans="1:9" x14ac:dyDescent="0.45">
      <c r="A444" t="s">
        <v>945</v>
      </c>
      <c r="B444" s="2">
        <v>45769</v>
      </c>
      <c r="C444" t="s">
        <v>10</v>
      </c>
      <c r="D444" t="s">
        <v>946</v>
      </c>
      <c r="E444" t="s">
        <v>30</v>
      </c>
      <c r="F444">
        <v>6</v>
      </c>
      <c r="G444" t="s">
        <v>13</v>
      </c>
      <c r="H444" t="s">
        <v>14</v>
      </c>
      <c r="I444" t="s">
        <v>26</v>
      </c>
    </row>
    <row r="445" spans="1:9" x14ac:dyDescent="0.45">
      <c r="A445" t="s">
        <v>947</v>
      </c>
      <c r="B445" s="2">
        <v>45756</v>
      </c>
      <c r="C445" t="s">
        <v>99</v>
      </c>
      <c r="D445" t="s">
        <v>948</v>
      </c>
      <c r="E445" t="s">
        <v>38</v>
      </c>
      <c r="F445">
        <v>9</v>
      </c>
      <c r="G445" t="s">
        <v>24</v>
      </c>
      <c r="H445" t="s">
        <v>25</v>
      </c>
      <c r="I445" t="s">
        <v>47</v>
      </c>
    </row>
    <row r="446" spans="1:9" x14ac:dyDescent="0.45">
      <c r="A446" t="s">
        <v>949</v>
      </c>
      <c r="B446" s="2">
        <v>45875</v>
      </c>
      <c r="C446" t="s">
        <v>66</v>
      </c>
      <c r="D446" t="s">
        <v>950</v>
      </c>
      <c r="E446" t="s">
        <v>71</v>
      </c>
      <c r="F446">
        <v>11</v>
      </c>
      <c r="G446" t="s">
        <v>18</v>
      </c>
      <c r="H446" t="s">
        <v>14</v>
      </c>
      <c r="I446" t="s">
        <v>26</v>
      </c>
    </row>
    <row r="447" spans="1:9" x14ac:dyDescent="0.45">
      <c r="A447" t="s">
        <v>951</v>
      </c>
      <c r="B447" s="2">
        <v>45854</v>
      </c>
      <c r="C447" t="s">
        <v>99</v>
      </c>
      <c r="D447" t="s">
        <v>952</v>
      </c>
      <c r="E447" t="s">
        <v>75</v>
      </c>
      <c r="F447">
        <v>11</v>
      </c>
      <c r="G447" t="s">
        <v>13</v>
      </c>
      <c r="H447" t="s">
        <v>14</v>
      </c>
      <c r="I447" t="s">
        <v>47</v>
      </c>
    </row>
    <row r="448" spans="1:9" x14ac:dyDescent="0.45">
      <c r="A448" t="s">
        <v>953</v>
      </c>
      <c r="B448" s="2">
        <v>45692</v>
      </c>
      <c r="C448" t="s">
        <v>52</v>
      </c>
      <c r="D448" t="s">
        <v>954</v>
      </c>
      <c r="E448" t="s">
        <v>42</v>
      </c>
      <c r="F448">
        <v>2</v>
      </c>
      <c r="G448" t="s">
        <v>13</v>
      </c>
      <c r="H448" t="s">
        <v>14</v>
      </c>
      <c r="I448" t="s">
        <v>31</v>
      </c>
    </row>
    <row r="449" spans="1:9" x14ac:dyDescent="0.45">
      <c r="A449" t="s">
        <v>955</v>
      </c>
      <c r="B449" s="2">
        <v>45836</v>
      </c>
      <c r="C449" t="s">
        <v>52</v>
      </c>
      <c r="D449" t="s">
        <v>956</v>
      </c>
      <c r="E449" t="s">
        <v>54</v>
      </c>
      <c r="F449">
        <v>12</v>
      </c>
      <c r="G449" t="s">
        <v>68</v>
      </c>
      <c r="H449" t="s">
        <v>25</v>
      </c>
      <c r="I449" t="s">
        <v>39</v>
      </c>
    </row>
    <row r="450" spans="1:9" x14ac:dyDescent="0.45">
      <c r="A450" t="s">
        <v>957</v>
      </c>
      <c r="B450" s="2">
        <v>45737</v>
      </c>
      <c r="C450" t="s">
        <v>21</v>
      </c>
      <c r="D450" t="s">
        <v>958</v>
      </c>
      <c r="E450" t="s">
        <v>71</v>
      </c>
      <c r="F450">
        <v>11</v>
      </c>
      <c r="G450" t="s">
        <v>59</v>
      </c>
      <c r="H450" t="s">
        <v>14</v>
      </c>
      <c r="I450" t="s">
        <v>26</v>
      </c>
    </row>
    <row r="451" spans="1:9" x14ac:dyDescent="0.45">
      <c r="A451" t="s">
        <v>959</v>
      </c>
      <c r="B451" s="2">
        <v>45668</v>
      </c>
      <c r="C451" t="s">
        <v>66</v>
      </c>
      <c r="D451" t="s">
        <v>960</v>
      </c>
      <c r="E451" t="s">
        <v>71</v>
      </c>
      <c r="F451">
        <v>7</v>
      </c>
      <c r="G451" t="s">
        <v>24</v>
      </c>
      <c r="H451" t="s">
        <v>25</v>
      </c>
      <c r="I451" t="s">
        <v>47</v>
      </c>
    </row>
    <row r="452" spans="1:9" x14ac:dyDescent="0.45">
      <c r="A452" t="s">
        <v>961</v>
      </c>
      <c r="B452" s="2">
        <v>45895</v>
      </c>
      <c r="C452" t="s">
        <v>21</v>
      </c>
      <c r="D452" t="s">
        <v>962</v>
      </c>
      <c r="E452" t="s">
        <v>30</v>
      </c>
      <c r="F452">
        <v>7</v>
      </c>
      <c r="G452" t="s">
        <v>18</v>
      </c>
      <c r="H452" t="s">
        <v>14</v>
      </c>
      <c r="I452" t="s">
        <v>39</v>
      </c>
    </row>
    <row r="453" spans="1:9" x14ac:dyDescent="0.45">
      <c r="A453" t="s">
        <v>963</v>
      </c>
      <c r="B453" s="2">
        <v>45686</v>
      </c>
      <c r="C453" t="s">
        <v>66</v>
      </c>
      <c r="D453" t="s">
        <v>964</v>
      </c>
      <c r="E453" t="s">
        <v>75</v>
      </c>
      <c r="F453">
        <v>7</v>
      </c>
      <c r="G453" t="s">
        <v>18</v>
      </c>
      <c r="H453" t="s">
        <v>14</v>
      </c>
      <c r="I453" t="s">
        <v>26</v>
      </c>
    </row>
    <row r="454" spans="1:9" x14ac:dyDescent="0.45">
      <c r="A454" t="s">
        <v>965</v>
      </c>
      <c r="B454" s="2">
        <v>45808</v>
      </c>
      <c r="C454" t="s">
        <v>99</v>
      </c>
      <c r="D454" t="s">
        <v>966</v>
      </c>
      <c r="E454" t="s">
        <v>38</v>
      </c>
      <c r="F454">
        <v>5</v>
      </c>
      <c r="G454" t="s">
        <v>18</v>
      </c>
      <c r="H454" t="s">
        <v>14</v>
      </c>
      <c r="I454" t="s">
        <v>60</v>
      </c>
    </row>
    <row r="455" spans="1:9" x14ac:dyDescent="0.45">
      <c r="A455" t="s">
        <v>967</v>
      </c>
      <c r="B455" s="2">
        <v>45679</v>
      </c>
      <c r="C455" t="s">
        <v>52</v>
      </c>
      <c r="D455" t="s">
        <v>968</v>
      </c>
      <c r="E455" t="s">
        <v>71</v>
      </c>
      <c r="F455">
        <v>3</v>
      </c>
      <c r="G455" t="s">
        <v>35</v>
      </c>
      <c r="H455" t="s">
        <v>25</v>
      </c>
      <c r="I455" t="s">
        <v>47</v>
      </c>
    </row>
    <row r="456" spans="1:9" x14ac:dyDescent="0.45">
      <c r="A456" t="s">
        <v>969</v>
      </c>
      <c r="B456" s="2">
        <v>45786</v>
      </c>
      <c r="C456" t="s">
        <v>28</v>
      </c>
      <c r="D456" t="s">
        <v>970</v>
      </c>
      <c r="E456" t="s">
        <v>71</v>
      </c>
      <c r="F456">
        <v>6</v>
      </c>
      <c r="G456" t="s">
        <v>55</v>
      </c>
      <c r="H456" t="s">
        <v>72</v>
      </c>
      <c r="I456" t="s">
        <v>19</v>
      </c>
    </row>
    <row r="457" spans="1:9" x14ac:dyDescent="0.45">
      <c r="A457" t="s">
        <v>971</v>
      </c>
      <c r="B457" s="2">
        <v>45746</v>
      </c>
      <c r="C457" t="s">
        <v>16</v>
      </c>
      <c r="D457" t="s">
        <v>972</v>
      </c>
      <c r="E457" t="s">
        <v>34</v>
      </c>
      <c r="F457">
        <v>5</v>
      </c>
      <c r="G457" t="s">
        <v>24</v>
      </c>
      <c r="H457" t="s">
        <v>25</v>
      </c>
      <c r="I457" t="s">
        <v>31</v>
      </c>
    </row>
    <row r="458" spans="1:9" x14ac:dyDescent="0.45">
      <c r="A458" t="s">
        <v>973</v>
      </c>
      <c r="B458" s="2">
        <v>45750</v>
      </c>
      <c r="C458" t="s">
        <v>49</v>
      </c>
      <c r="D458" t="s">
        <v>974</v>
      </c>
      <c r="E458" t="s">
        <v>46</v>
      </c>
      <c r="F458">
        <v>11</v>
      </c>
      <c r="G458" t="s">
        <v>18</v>
      </c>
      <c r="H458" t="s">
        <v>14</v>
      </c>
      <c r="I458" t="s">
        <v>47</v>
      </c>
    </row>
    <row r="459" spans="1:9" x14ac:dyDescent="0.45">
      <c r="A459" t="s">
        <v>975</v>
      </c>
      <c r="B459" s="2">
        <v>45811</v>
      </c>
      <c r="C459" t="s">
        <v>99</v>
      </c>
      <c r="D459" t="s">
        <v>976</v>
      </c>
      <c r="E459" t="s">
        <v>54</v>
      </c>
      <c r="F459">
        <v>6</v>
      </c>
      <c r="G459" t="s">
        <v>18</v>
      </c>
      <c r="H459" t="s">
        <v>14</v>
      </c>
      <c r="I459" t="s">
        <v>26</v>
      </c>
    </row>
    <row r="460" spans="1:9" x14ac:dyDescent="0.45">
      <c r="A460" t="s">
        <v>977</v>
      </c>
      <c r="B460" s="2">
        <v>45779</v>
      </c>
      <c r="C460" t="s">
        <v>49</v>
      </c>
      <c r="D460" t="s">
        <v>978</v>
      </c>
      <c r="E460" t="s">
        <v>23</v>
      </c>
      <c r="F460">
        <v>1</v>
      </c>
      <c r="G460" t="s">
        <v>13</v>
      </c>
      <c r="H460" t="s">
        <v>14</v>
      </c>
      <c r="I460" t="s">
        <v>39</v>
      </c>
    </row>
    <row r="461" spans="1:9" x14ac:dyDescent="0.45">
      <c r="A461" t="s">
        <v>979</v>
      </c>
      <c r="B461" s="2">
        <v>45717</v>
      </c>
      <c r="C461" t="s">
        <v>52</v>
      </c>
      <c r="D461" t="s">
        <v>980</v>
      </c>
      <c r="E461" t="s">
        <v>38</v>
      </c>
      <c r="F461">
        <v>2</v>
      </c>
      <c r="G461" t="s">
        <v>35</v>
      </c>
      <c r="H461" t="s">
        <v>25</v>
      </c>
      <c r="I461" t="s">
        <v>60</v>
      </c>
    </row>
    <row r="462" spans="1:9" x14ac:dyDescent="0.45">
      <c r="A462" t="s">
        <v>981</v>
      </c>
      <c r="B462" s="2">
        <v>45792</v>
      </c>
      <c r="C462" t="s">
        <v>49</v>
      </c>
      <c r="D462" t="s">
        <v>982</v>
      </c>
      <c r="E462" t="s">
        <v>7974</v>
      </c>
      <c r="F462">
        <v>1</v>
      </c>
      <c r="G462" t="s">
        <v>18</v>
      </c>
      <c r="H462" t="s">
        <v>14</v>
      </c>
      <c r="I462" t="s">
        <v>31</v>
      </c>
    </row>
    <row r="463" spans="1:9" x14ac:dyDescent="0.45">
      <c r="A463" t="s">
        <v>983</v>
      </c>
      <c r="B463" s="2">
        <v>45884</v>
      </c>
      <c r="C463" t="s">
        <v>52</v>
      </c>
      <c r="D463" t="s">
        <v>984</v>
      </c>
      <c r="E463" t="s">
        <v>58</v>
      </c>
      <c r="F463">
        <v>2</v>
      </c>
      <c r="G463" t="s">
        <v>13</v>
      </c>
      <c r="H463" t="s">
        <v>14</v>
      </c>
      <c r="I463" t="s">
        <v>39</v>
      </c>
    </row>
    <row r="464" spans="1:9" x14ac:dyDescent="0.45">
      <c r="A464" t="s">
        <v>985</v>
      </c>
      <c r="B464" s="2">
        <v>45661</v>
      </c>
      <c r="C464" t="s">
        <v>66</v>
      </c>
      <c r="D464" t="s">
        <v>986</v>
      </c>
      <c r="E464" t="s">
        <v>7967</v>
      </c>
      <c r="F464">
        <v>6</v>
      </c>
      <c r="G464" t="s">
        <v>68</v>
      </c>
      <c r="H464" t="s">
        <v>25</v>
      </c>
      <c r="I464" t="s">
        <v>19</v>
      </c>
    </row>
    <row r="465" spans="1:9" x14ac:dyDescent="0.45">
      <c r="A465" t="s">
        <v>987</v>
      </c>
      <c r="B465" s="2">
        <v>45888</v>
      </c>
      <c r="C465" t="s">
        <v>99</v>
      </c>
      <c r="D465" t="s">
        <v>988</v>
      </c>
      <c r="E465" t="s">
        <v>71</v>
      </c>
      <c r="F465">
        <v>7</v>
      </c>
      <c r="G465" t="s">
        <v>55</v>
      </c>
      <c r="H465" t="s">
        <v>72</v>
      </c>
      <c r="I465" t="s">
        <v>39</v>
      </c>
    </row>
    <row r="466" spans="1:9" x14ac:dyDescent="0.45">
      <c r="A466" t="s">
        <v>989</v>
      </c>
      <c r="B466" s="2">
        <v>45663</v>
      </c>
      <c r="C466" t="s">
        <v>16</v>
      </c>
      <c r="D466" t="s">
        <v>990</v>
      </c>
      <c r="E466" t="s">
        <v>42</v>
      </c>
      <c r="F466">
        <v>11</v>
      </c>
      <c r="G466" t="s">
        <v>43</v>
      </c>
      <c r="H466" t="s">
        <v>14</v>
      </c>
      <c r="I466" t="s">
        <v>47</v>
      </c>
    </row>
    <row r="467" spans="1:9" x14ac:dyDescent="0.45">
      <c r="A467" t="s">
        <v>991</v>
      </c>
      <c r="B467" s="2">
        <v>45758</v>
      </c>
      <c r="C467" t="s">
        <v>99</v>
      </c>
      <c r="D467" t="s">
        <v>992</v>
      </c>
      <c r="E467" t="s">
        <v>58</v>
      </c>
      <c r="F467">
        <v>3</v>
      </c>
      <c r="G467" t="s">
        <v>68</v>
      </c>
      <c r="H467" t="s">
        <v>25</v>
      </c>
      <c r="I467" t="s">
        <v>60</v>
      </c>
    </row>
    <row r="468" spans="1:9" x14ac:dyDescent="0.45">
      <c r="A468" t="s">
        <v>993</v>
      </c>
      <c r="B468" s="2">
        <v>45694</v>
      </c>
      <c r="C468" t="s">
        <v>66</v>
      </c>
      <c r="D468" t="s">
        <v>994</v>
      </c>
      <c r="E468" t="s">
        <v>58</v>
      </c>
      <c r="F468">
        <v>12</v>
      </c>
      <c r="G468" t="s">
        <v>24</v>
      </c>
      <c r="H468" t="s">
        <v>25</v>
      </c>
      <c r="I468" t="s">
        <v>31</v>
      </c>
    </row>
    <row r="469" spans="1:9" x14ac:dyDescent="0.45">
      <c r="A469" t="s">
        <v>995</v>
      </c>
      <c r="B469" s="2">
        <v>45733</v>
      </c>
      <c r="C469" t="s">
        <v>66</v>
      </c>
      <c r="D469" t="s">
        <v>996</v>
      </c>
      <c r="E469" t="s">
        <v>23</v>
      </c>
      <c r="F469">
        <v>1</v>
      </c>
      <c r="G469" t="s">
        <v>68</v>
      </c>
      <c r="H469" t="s">
        <v>25</v>
      </c>
      <c r="I469" t="s">
        <v>19</v>
      </c>
    </row>
    <row r="470" spans="1:9" x14ac:dyDescent="0.45">
      <c r="A470" t="s">
        <v>997</v>
      </c>
      <c r="B470" s="2">
        <v>45856</v>
      </c>
      <c r="C470" t="s">
        <v>99</v>
      </c>
      <c r="D470" t="s">
        <v>998</v>
      </c>
      <c r="E470" t="s">
        <v>23</v>
      </c>
      <c r="F470">
        <v>3</v>
      </c>
      <c r="G470" t="s">
        <v>55</v>
      </c>
      <c r="H470" t="s">
        <v>72</v>
      </c>
      <c r="I470" t="s">
        <v>60</v>
      </c>
    </row>
    <row r="471" spans="1:9" x14ac:dyDescent="0.45">
      <c r="A471" t="s">
        <v>999</v>
      </c>
      <c r="B471" s="2">
        <v>45780</v>
      </c>
      <c r="C471" t="s">
        <v>21</v>
      </c>
      <c r="D471" t="s">
        <v>1000</v>
      </c>
      <c r="E471" t="s">
        <v>30</v>
      </c>
      <c r="F471">
        <v>2</v>
      </c>
      <c r="G471" t="s">
        <v>13</v>
      </c>
      <c r="H471" t="s">
        <v>14</v>
      </c>
      <c r="I471" t="s">
        <v>60</v>
      </c>
    </row>
    <row r="472" spans="1:9" x14ac:dyDescent="0.45">
      <c r="A472" t="s">
        <v>1001</v>
      </c>
      <c r="B472" s="2">
        <v>45892</v>
      </c>
      <c r="C472" t="s">
        <v>16</v>
      </c>
      <c r="D472" t="s">
        <v>1002</v>
      </c>
      <c r="E472" t="s">
        <v>58</v>
      </c>
      <c r="F472">
        <v>3</v>
      </c>
      <c r="G472" t="s">
        <v>18</v>
      </c>
      <c r="H472" t="s">
        <v>14</v>
      </c>
      <c r="I472" t="s">
        <v>39</v>
      </c>
    </row>
    <row r="473" spans="1:9" x14ac:dyDescent="0.45">
      <c r="A473" t="s">
        <v>1003</v>
      </c>
      <c r="B473" s="2">
        <v>45898</v>
      </c>
      <c r="C473" t="s">
        <v>28</v>
      </c>
      <c r="D473" t="s">
        <v>1004</v>
      </c>
      <c r="E473" t="s">
        <v>58</v>
      </c>
      <c r="F473">
        <v>6</v>
      </c>
      <c r="G473" t="s">
        <v>24</v>
      </c>
      <c r="H473" t="s">
        <v>25</v>
      </c>
      <c r="I473" t="s">
        <v>39</v>
      </c>
    </row>
    <row r="474" spans="1:9" x14ac:dyDescent="0.45">
      <c r="A474" t="s">
        <v>1005</v>
      </c>
      <c r="B474" s="2">
        <v>45739</v>
      </c>
      <c r="C474" t="s">
        <v>99</v>
      </c>
      <c r="D474" t="s">
        <v>1006</v>
      </c>
      <c r="E474" t="s">
        <v>75</v>
      </c>
      <c r="F474">
        <v>6</v>
      </c>
      <c r="G474" t="s">
        <v>18</v>
      </c>
      <c r="H474" t="s">
        <v>14</v>
      </c>
      <c r="I474" t="s">
        <v>47</v>
      </c>
    </row>
    <row r="475" spans="1:9" x14ac:dyDescent="0.45">
      <c r="A475" t="s">
        <v>1007</v>
      </c>
      <c r="B475" s="2">
        <v>45855</v>
      </c>
      <c r="C475" t="s">
        <v>99</v>
      </c>
      <c r="D475" t="s">
        <v>1008</v>
      </c>
      <c r="E475" t="s">
        <v>23</v>
      </c>
      <c r="F475">
        <v>9</v>
      </c>
      <c r="G475" t="s">
        <v>18</v>
      </c>
      <c r="H475" t="s">
        <v>14</v>
      </c>
      <c r="I475" t="s">
        <v>47</v>
      </c>
    </row>
    <row r="476" spans="1:9" x14ac:dyDescent="0.45">
      <c r="A476" t="s">
        <v>1009</v>
      </c>
      <c r="B476" s="2">
        <v>45733</v>
      </c>
      <c r="C476" t="s">
        <v>49</v>
      </c>
      <c r="D476" t="s">
        <v>1010</v>
      </c>
      <c r="E476" t="s">
        <v>75</v>
      </c>
      <c r="F476">
        <v>2</v>
      </c>
      <c r="G476" t="s">
        <v>55</v>
      </c>
      <c r="H476" t="s">
        <v>72</v>
      </c>
      <c r="I476" t="s">
        <v>19</v>
      </c>
    </row>
    <row r="477" spans="1:9" x14ac:dyDescent="0.45">
      <c r="A477" t="s">
        <v>1011</v>
      </c>
      <c r="B477" s="2">
        <v>45849</v>
      </c>
      <c r="C477" t="s">
        <v>66</v>
      </c>
      <c r="D477" t="s">
        <v>1012</v>
      </c>
      <c r="E477" t="s">
        <v>46</v>
      </c>
      <c r="F477">
        <v>3</v>
      </c>
      <c r="G477" t="s">
        <v>43</v>
      </c>
      <c r="H477" t="s">
        <v>14</v>
      </c>
      <c r="I477" t="s">
        <v>26</v>
      </c>
    </row>
    <row r="478" spans="1:9" x14ac:dyDescent="0.45">
      <c r="A478" t="s">
        <v>1013</v>
      </c>
      <c r="B478" s="2">
        <v>45894</v>
      </c>
      <c r="C478" t="s">
        <v>28</v>
      </c>
      <c r="D478" t="s">
        <v>1014</v>
      </c>
      <c r="E478" t="s">
        <v>30</v>
      </c>
      <c r="F478">
        <v>1</v>
      </c>
      <c r="G478" t="s">
        <v>59</v>
      </c>
      <c r="H478" t="s">
        <v>14</v>
      </c>
      <c r="I478" t="s">
        <v>26</v>
      </c>
    </row>
    <row r="479" spans="1:9" x14ac:dyDescent="0.45">
      <c r="A479" t="s">
        <v>1015</v>
      </c>
      <c r="B479" s="2">
        <v>45897</v>
      </c>
      <c r="C479" t="s">
        <v>49</v>
      </c>
      <c r="D479" t="s">
        <v>1016</v>
      </c>
      <c r="E479" t="s">
        <v>7973</v>
      </c>
      <c r="F479">
        <v>10</v>
      </c>
      <c r="G479" t="s">
        <v>55</v>
      </c>
      <c r="H479" t="s">
        <v>72</v>
      </c>
      <c r="I479" t="s">
        <v>19</v>
      </c>
    </row>
    <row r="480" spans="1:9" x14ac:dyDescent="0.45">
      <c r="A480" t="s">
        <v>1017</v>
      </c>
      <c r="B480" s="2">
        <v>45702</v>
      </c>
      <c r="C480" t="s">
        <v>66</v>
      </c>
      <c r="D480" t="s">
        <v>1018</v>
      </c>
      <c r="E480" t="s">
        <v>7973</v>
      </c>
      <c r="F480">
        <v>2</v>
      </c>
      <c r="G480" t="s">
        <v>35</v>
      </c>
      <c r="H480" t="s">
        <v>25</v>
      </c>
      <c r="I480" t="s">
        <v>39</v>
      </c>
    </row>
    <row r="481" spans="1:9" x14ac:dyDescent="0.45">
      <c r="A481" t="s">
        <v>1019</v>
      </c>
      <c r="B481" s="2">
        <v>45765</v>
      </c>
      <c r="C481" t="s">
        <v>52</v>
      </c>
      <c r="D481" t="s">
        <v>1020</v>
      </c>
      <c r="E481" t="s">
        <v>23</v>
      </c>
      <c r="F481">
        <v>1</v>
      </c>
      <c r="G481" t="s">
        <v>24</v>
      </c>
      <c r="H481" t="s">
        <v>25</v>
      </c>
      <c r="I481" t="s">
        <v>26</v>
      </c>
    </row>
    <row r="482" spans="1:9" x14ac:dyDescent="0.45">
      <c r="A482" t="s">
        <v>1021</v>
      </c>
      <c r="B482" s="2">
        <v>45760</v>
      </c>
      <c r="C482" t="s">
        <v>66</v>
      </c>
      <c r="D482" t="s">
        <v>1022</v>
      </c>
      <c r="E482" t="s">
        <v>23</v>
      </c>
      <c r="F482">
        <v>6</v>
      </c>
      <c r="G482" t="s">
        <v>13</v>
      </c>
      <c r="H482" t="s">
        <v>14</v>
      </c>
      <c r="I482" t="s">
        <v>31</v>
      </c>
    </row>
    <row r="483" spans="1:9" x14ac:dyDescent="0.45">
      <c r="A483" t="s">
        <v>1023</v>
      </c>
      <c r="B483" s="2">
        <v>45765</v>
      </c>
      <c r="C483" t="s">
        <v>52</v>
      </c>
      <c r="D483" t="s">
        <v>1024</v>
      </c>
      <c r="E483" t="s">
        <v>34</v>
      </c>
      <c r="F483">
        <v>10</v>
      </c>
      <c r="G483" t="s">
        <v>13</v>
      </c>
      <c r="H483" t="s">
        <v>14</v>
      </c>
      <c r="I483" t="s">
        <v>26</v>
      </c>
    </row>
    <row r="484" spans="1:9" x14ac:dyDescent="0.45">
      <c r="A484" t="s">
        <v>1025</v>
      </c>
      <c r="B484" s="2">
        <v>45718</v>
      </c>
      <c r="C484" t="s">
        <v>52</v>
      </c>
      <c r="D484" t="s">
        <v>1026</v>
      </c>
      <c r="E484" t="s">
        <v>71</v>
      </c>
      <c r="F484">
        <v>8</v>
      </c>
      <c r="G484" t="s">
        <v>35</v>
      </c>
      <c r="H484" t="s">
        <v>25</v>
      </c>
      <c r="I484" t="s">
        <v>26</v>
      </c>
    </row>
    <row r="485" spans="1:9" x14ac:dyDescent="0.45">
      <c r="A485" t="s">
        <v>1027</v>
      </c>
      <c r="B485" s="2">
        <v>45834</v>
      </c>
      <c r="C485" t="s">
        <v>16</v>
      </c>
      <c r="D485" t="s">
        <v>1028</v>
      </c>
      <c r="E485" t="s">
        <v>7974</v>
      </c>
      <c r="F485">
        <v>6</v>
      </c>
      <c r="G485" t="s">
        <v>7967</v>
      </c>
      <c r="H485" t="s">
        <v>25</v>
      </c>
      <c r="I485" t="s">
        <v>26</v>
      </c>
    </row>
    <row r="486" spans="1:9" x14ac:dyDescent="0.45">
      <c r="A486" t="s">
        <v>1029</v>
      </c>
      <c r="B486" s="2">
        <v>45678</v>
      </c>
      <c r="C486" t="s">
        <v>52</v>
      </c>
      <c r="D486" t="s">
        <v>1030</v>
      </c>
      <c r="E486" t="s">
        <v>7974</v>
      </c>
      <c r="F486">
        <v>3</v>
      </c>
      <c r="G486" t="s">
        <v>68</v>
      </c>
      <c r="H486" t="s">
        <v>25</v>
      </c>
      <c r="I486" t="s">
        <v>47</v>
      </c>
    </row>
    <row r="487" spans="1:9" x14ac:dyDescent="0.45">
      <c r="A487" t="s">
        <v>1031</v>
      </c>
      <c r="B487" s="2">
        <v>45888</v>
      </c>
      <c r="C487" t="s">
        <v>16</v>
      </c>
      <c r="D487" t="s">
        <v>1032</v>
      </c>
      <c r="E487" t="s">
        <v>58</v>
      </c>
      <c r="F487">
        <v>8</v>
      </c>
      <c r="G487" t="s">
        <v>35</v>
      </c>
      <c r="H487" t="s">
        <v>25</v>
      </c>
      <c r="I487" t="s">
        <v>60</v>
      </c>
    </row>
    <row r="488" spans="1:9" x14ac:dyDescent="0.45">
      <c r="A488" t="s">
        <v>1033</v>
      </c>
      <c r="B488" s="2">
        <v>45850</v>
      </c>
      <c r="C488" t="s">
        <v>99</v>
      </c>
      <c r="D488" t="s">
        <v>1034</v>
      </c>
      <c r="E488" t="s">
        <v>7974</v>
      </c>
      <c r="F488">
        <v>6</v>
      </c>
      <c r="G488" t="s">
        <v>43</v>
      </c>
      <c r="H488" t="s">
        <v>14</v>
      </c>
      <c r="I488" t="s">
        <v>19</v>
      </c>
    </row>
    <row r="489" spans="1:9" x14ac:dyDescent="0.45">
      <c r="A489" t="s">
        <v>1035</v>
      </c>
      <c r="B489" s="2">
        <v>45683</v>
      </c>
      <c r="C489" t="s">
        <v>99</v>
      </c>
      <c r="D489" t="s">
        <v>1036</v>
      </c>
      <c r="E489" t="s">
        <v>75</v>
      </c>
      <c r="F489">
        <v>1</v>
      </c>
      <c r="G489" t="s">
        <v>59</v>
      </c>
      <c r="H489" t="s">
        <v>14</v>
      </c>
      <c r="I489" t="s">
        <v>47</v>
      </c>
    </row>
    <row r="490" spans="1:9" x14ac:dyDescent="0.45">
      <c r="A490" t="s">
        <v>1037</v>
      </c>
      <c r="B490" s="2">
        <v>45668</v>
      </c>
      <c r="C490" t="s">
        <v>49</v>
      </c>
      <c r="D490" t="s">
        <v>1038</v>
      </c>
      <c r="E490" t="s">
        <v>34</v>
      </c>
      <c r="F490">
        <v>5</v>
      </c>
      <c r="G490" t="s">
        <v>24</v>
      </c>
      <c r="H490" t="s">
        <v>25</v>
      </c>
      <c r="I490" t="s">
        <v>19</v>
      </c>
    </row>
    <row r="491" spans="1:9" x14ac:dyDescent="0.45">
      <c r="A491" t="s">
        <v>1039</v>
      </c>
      <c r="B491" s="2">
        <v>45747</v>
      </c>
      <c r="C491" t="s">
        <v>49</v>
      </c>
      <c r="D491" t="s">
        <v>1040</v>
      </c>
      <c r="E491" t="s">
        <v>54</v>
      </c>
      <c r="F491">
        <v>12</v>
      </c>
      <c r="G491" t="s">
        <v>24</v>
      </c>
      <c r="H491" t="s">
        <v>25</v>
      </c>
      <c r="I491" t="s">
        <v>47</v>
      </c>
    </row>
    <row r="492" spans="1:9" x14ac:dyDescent="0.45">
      <c r="A492" t="s">
        <v>1041</v>
      </c>
      <c r="B492" s="2">
        <v>45835</v>
      </c>
      <c r="C492" t="s">
        <v>99</v>
      </c>
      <c r="D492" t="s">
        <v>1042</v>
      </c>
      <c r="E492" t="s">
        <v>7974</v>
      </c>
      <c r="F492">
        <v>9</v>
      </c>
      <c r="G492" t="s">
        <v>18</v>
      </c>
      <c r="H492" t="s">
        <v>14</v>
      </c>
      <c r="I492" t="s">
        <v>60</v>
      </c>
    </row>
    <row r="493" spans="1:9" x14ac:dyDescent="0.45">
      <c r="A493" t="s">
        <v>1043</v>
      </c>
      <c r="B493" s="2">
        <v>45824</v>
      </c>
      <c r="C493" t="s">
        <v>16</v>
      </c>
      <c r="D493" t="s">
        <v>1044</v>
      </c>
      <c r="E493" t="s">
        <v>34</v>
      </c>
      <c r="F493">
        <v>6</v>
      </c>
      <c r="G493" t="s">
        <v>18</v>
      </c>
      <c r="H493" t="s">
        <v>14</v>
      </c>
      <c r="I493" t="s">
        <v>39</v>
      </c>
    </row>
    <row r="494" spans="1:9" x14ac:dyDescent="0.45">
      <c r="A494" t="s">
        <v>1045</v>
      </c>
      <c r="B494" s="2">
        <v>45683</v>
      </c>
      <c r="C494" t="s">
        <v>16</v>
      </c>
      <c r="D494" t="s">
        <v>1046</v>
      </c>
      <c r="E494" t="s">
        <v>7973</v>
      </c>
      <c r="F494">
        <v>11</v>
      </c>
      <c r="G494" t="s">
        <v>68</v>
      </c>
      <c r="H494" t="s">
        <v>25</v>
      </c>
      <c r="I494" t="s">
        <v>31</v>
      </c>
    </row>
    <row r="495" spans="1:9" x14ac:dyDescent="0.45">
      <c r="A495" t="s">
        <v>1047</v>
      </c>
      <c r="B495" s="2">
        <v>45760</v>
      </c>
      <c r="C495" t="s">
        <v>52</v>
      </c>
      <c r="D495" t="s">
        <v>1048</v>
      </c>
      <c r="E495" t="s">
        <v>58</v>
      </c>
      <c r="F495">
        <v>4</v>
      </c>
      <c r="G495" t="s">
        <v>68</v>
      </c>
      <c r="H495" t="s">
        <v>25</v>
      </c>
      <c r="I495" t="s">
        <v>19</v>
      </c>
    </row>
    <row r="496" spans="1:9" x14ac:dyDescent="0.45">
      <c r="A496" t="s">
        <v>1049</v>
      </c>
      <c r="B496" s="2">
        <v>45736</v>
      </c>
      <c r="C496" t="s">
        <v>99</v>
      </c>
      <c r="D496" t="s">
        <v>1050</v>
      </c>
      <c r="E496" t="s">
        <v>46</v>
      </c>
      <c r="F496">
        <v>2</v>
      </c>
      <c r="G496" t="s">
        <v>55</v>
      </c>
      <c r="H496" t="s">
        <v>72</v>
      </c>
      <c r="I496" t="s">
        <v>47</v>
      </c>
    </row>
    <row r="497" spans="1:9" x14ac:dyDescent="0.45">
      <c r="A497" t="s">
        <v>1051</v>
      </c>
      <c r="B497" s="2">
        <v>45686</v>
      </c>
      <c r="C497" t="s">
        <v>21</v>
      </c>
      <c r="D497" t="s">
        <v>1052</v>
      </c>
      <c r="E497" t="s">
        <v>58</v>
      </c>
      <c r="F497">
        <v>10</v>
      </c>
      <c r="G497" t="s">
        <v>59</v>
      </c>
      <c r="H497" t="s">
        <v>14</v>
      </c>
      <c r="I497" t="s">
        <v>26</v>
      </c>
    </row>
    <row r="498" spans="1:9" x14ac:dyDescent="0.45">
      <c r="A498" t="s">
        <v>1053</v>
      </c>
      <c r="B498" s="2">
        <v>45703</v>
      </c>
      <c r="C498" t="s">
        <v>16</v>
      </c>
      <c r="D498" t="s">
        <v>1054</v>
      </c>
      <c r="E498" t="s">
        <v>71</v>
      </c>
      <c r="F498">
        <v>12</v>
      </c>
      <c r="G498" t="s">
        <v>59</v>
      </c>
      <c r="H498" t="s">
        <v>14</v>
      </c>
      <c r="I498" t="s">
        <v>31</v>
      </c>
    </row>
    <row r="499" spans="1:9" x14ac:dyDescent="0.45">
      <c r="A499" t="s">
        <v>1055</v>
      </c>
      <c r="B499" s="2">
        <v>45785</v>
      </c>
      <c r="C499" t="s">
        <v>21</v>
      </c>
      <c r="D499" t="s">
        <v>1056</v>
      </c>
      <c r="E499" t="s">
        <v>23</v>
      </c>
      <c r="F499">
        <v>7</v>
      </c>
      <c r="G499" t="s">
        <v>55</v>
      </c>
      <c r="H499" t="s">
        <v>72</v>
      </c>
      <c r="I499" t="s">
        <v>26</v>
      </c>
    </row>
    <row r="500" spans="1:9" x14ac:dyDescent="0.45">
      <c r="A500" t="s">
        <v>1057</v>
      </c>
      <c r="B500" s="2">
        <v>45669</v>
      </c>
      <c r="C500" t="s">
        <v>10</v>
      </c>
      <c r="D500" t="s">
        <v>1058</v>
      </c>
      <c r="E500" t="s">
        <v>46</v>
      </c>
      <c r="F500">
        <v>10</v>
      </c>
      <c r="G500" t="s">
        <v>59</v>
      </c>
      <c r="H500" t="s">
        <v>14</v>
      </c>
      <c r="I500" t="s">
        <v>60</v>
      </c>
    </row>
    <row r="501" spans="1:9" x14ac:dyDescent="0.45">
      <c r="A501" t="s">
        <v>1059</v>
      </c>
      <c r="B501" s="2">
        <v>45753</v>
      </c>
      <c r="C501" t="s">
        <v>52</v>
      </c>
      <c r="D501" t="s">
        <v>1060</v>
      </c>
      <c r="E501" t="s">
        <v>54</v>
      </c>
      <c r="F501">
        <v>5</v>
      </c>
      <c r="G501" t="s">
        <v>35</v>
      </c>
      <c r="H501" t="s">
        <v>25</v>
      </c>
      <c r="I501" t="s">
        <v>47</v>
      </c>
    </row>
    <row r="502" spans="1:9" x14ac:dyDescent="0.45">
      <c r="A502" t="s">
        <v>1061</v>
      </c>
      <c r="B502" s="2">
        <v>45757</v>
      </c>
      <c r="C502" t="s">
        <v>99</v>
      </c>
      <c r="D502" t="s">
        <v>1062</v>
      </c>
      <c r="E502" t="s">
        <v>23</v>
      </c>
      <c r="F502">
        <v>8</v>
      </c>
      <c r="G502" t="s">
        <v>68</v>
      </c>
      <c r="H502" t="s">
        <v>25</v>
      </c>
      <c r="I502" t="s">
        <v>19</v>
      </c>
    </row>
    <row r="503" spans="1:9" x14ac:dyDescent="0.45">
      <c r="A503" t="s">
        <v>1063</v>
      </c>
      <c r="B503" s="2">
        <v>45805</v>
      </c>
      <c r="C503" t="s">
        <v>28</v>
      </c>
      <c r="D503" t="s">
        <v>1064</v>
      </c>
      <c r="E503" t="s">
        <v>34</v>
      </c>
      <c r="F503">
        <v>7</v>
      </c>
      <c r="G503" t="s">
        <v>55</v>
      </c>
      <c r="H503" t="s">
        <v>72</v>
      </c>
      <c r="I503" t="s">
        <v>31</v>
      </c>
    </row>
    <row r="504" spans="1:9" x14ac:dyDescent="0.45">
      <c r="A504" t="s">
        <v>1065</v>
      </c>
      <c r="B504" s="2">
        <v>45865</v>
      </c>
      <c r="C504" t="s">
        <v>21</v>
      </c>
      <c r="D504" t="s">
        <v>1066</v>
      </c>
      <c r="E504" t="s">
        <v>30</v>
      </c>
      <c r="F504">
        <v>2</v>
      </c>
      <c r="G504" t="s">
        <v>24</v>
      </c>
      <c r="H504" t="s">
        <v>25</v>
      </c>
      <c r="I504" t="s">
        <v>60</v>
      </c>
    </row>
    <row r="505" spans="1:9" x14ac:dyDescent="0.45">
      <c r="A505" t="s">
        <v>1067</v>
      </c>
      <c r="B505" s="2">
        <v>45684</v>
      </c>
      <c r="C505" t="s">
        <v>28</v>
      </c>
      <c r="D505" t="s">
        <v>1068</v>
      </c>
      <c r="E505" t="s">
        <v>38</v>
      </c>
      <c r="F505">
        <v>6</v>
      </c>
      <c r="G505" t="s">
        <v>18</v>
      </c>
      <c r="H505" t="s">
        <v>14</v>
      </c>
      <c r="I505" t="s">
        <v>31</v>
      </c>
    </row>
    <row r="506" spans="1:9" x14ac:dyDescent="0.45">
      <c r="A506" t="s">
        <v>1069</v>
      </c>
      <c r="B506" s="2">
        <v>45683</v>
      </c>
      <c r="C506" t="s">
        <v>52</v>
      </c>
      <c r="D506" t="s">
        <v>1070</v>
      </c>
      <c r="E506" t="s">
        <v>30</v>
      </c>
      <c r="F506">
        <v>9</v>
      </c>
      <c r="G506" t="s">
        <v>68</v>
      </c>
      <c r="H506" t="s">
        <v>25</v>
      </c>
      <c r="I506" t="s">
        <v>47</v>
      </c>
    </row>
    <row r="507" spans="1:9" x14ac:dyDescent="0.45">
      <c r="A507" t="s">
        <v>1071</v>
      </c>
      <c r="B507" s="2">
        <v>45770</v>
      </c>
      <c r="C507" t="s">
        <v>49</v>
      </c>
      <c r="D507" t="s">
        <v>1072</v>
      </c>
      <c r="E507" t="s">
        <v>46</v>
      </c>
      <c r="F507">
        <v>5</v>
      </c>
      <c r="G507" t="s">
        <v>43</v>
      </c>
      <c r="H507" t="s">
        <v>14</v>
      </c>
      <c r="I507" t="s">
        <v>19</v>
      </c>
    </row>
    <row r="508" spans="1:9" x14ac:dyDescent="0.45">
      <c r="A508" t="s">
        <v>1073</v>
      </c>
      <c r="B508" s="2">
        <v>45865</v>
      </c>
      <c r="C508" t="s">
        <v>10</v>
      </c>
      <c r="D508" t="s">
        <v>1074</v>
      </c>
      <c r="E508" t="s">
        <v>7974</v>
      </c>
      <c r="F508">
        <v>8</v>
      </c>
      <c r="G508" t="s">
        <v>59</v>
      </c>
      <c r="H508" t="s">
        <v>14</v>
      </c>
      <c r="I508" t="s">
        <v>31</v>
      </c>
    </row>
    <row r="509" spans="1:9" x14ac:dyDescent="0.45">
      <c r="A509" t="s">
        <v>1075</v>
      </c>
      <c r="B509" s="2">
        <v>45786</v>
      </c>
      <c r="C509" t="s">
        <v>16</v>
      </c>
      <c r="D509" t="s">
        <v>1076</v>
      </c>
      <c r="E509" t="s">
        <v>34</v>
      </c>
      <c r="F509">
        <v>6</v>
      </c>
      <c r="G509" t="s">
        <v>59</v>
      </c>
      <c r="H509" t="s">
        <v>14</v>
      </c>
      <c r="I509" t="s">
        <v>31</v>
      </c>
    </row>
    <row r="510" spans="1:9" x14ac:dyDescent="0.45">
      <c r="A510" t="s">
        <v>1077</v>
      </c>
      <c r="B510" s="2">
        <v>45799</v>
      </c>
      <c r="C510" t="s">
        <v>52</v>
      </c>
      <c r="D510" t="s">
        <v>1078</v>
      </c>
      <c r="E510" t="s">
        <v>7973</v>
      </c>
      <c r="F510">
        <v>8</v>
      </c>
      <c r="G510" t="s">
        <v>59</v>
      </c>
      <c r="H510" t="s">
        <v>14</v>
      </c>
      <c r="I510" t="s">
        <v>39</v>
      </c>
    </row>
    <row r="511" spans="1:9" x14ac:dyDescent="0.45">
      <c r="A511" t="s">
        <v>1079</v>
      </c>
      <c r="B511" s="2">
        <v>45856</v>
      </c>
      <c r="C511" t="s">
        <v>66</v>
      </c>
      <c r="D511" t="s">
        <v>1080</v>
      </c>
      <c r="E511" t="s">
        <v>30</v>
      </c>
      <c r="F511">
        <v>12</v>
      </c>
      <c r="G511" t="s">
        <v>24</v>
      </c>
      <c r="H511" t="s">
        <v>25</v>
      </c>
      <c r="I511" t="s">
        <v>19</v>
      </c>
    </row>
    <row r="512" spans="1:9" x14ac:dyDescent="0.45">
      <c r="A512" t="s">
        <v>1081</v>
      </c>
      <c r="B512" s="2">
        <v>45709</v>
      </c>
      <c r="C512" t="s">
        <v>99</v>
      </c>
      <c r="D512" t="s">
        <v>1082</v>
      </c>
      <c r="E512" t="s">
        <v>71</v>
      </c>
      <c r="F512">
        <v>11</v>
      </c>
      <c r="G512" t="s">
        <v>68</v>
      </c>
      <c r="H512" t="s">
        <v>25</v>
      </c>
      <c r="I512" t="s">
        <v>19</v>
      </c>
    </row>
    <row r="513" spans="1:9" x14ac:dyDescent="0.45">
      <c r="A513" t="s">
        <v>1083</v>
      </c>
      <c r="B513" s="2">
        <v>45866</v>
      </c>
      <c r="C513" t="s">
        <v>49</v>
      </c>
      <c r="D513" t="s">
        <v>1084</v>
      </c>
      <c r="E513" t="s">
        <v>7974</v>
      </c>
      <c r="F513">
        <v>5</v>
      </c>
      <c r="G513" t="s">
        <v>55</v>
      </c>
      <c r="H513" t="s">
        <v>72</v>
      </c>
      <c r="I513" t="s">
        <v>60</v>
      </c>
    </row>
    <row r="514" spans="1:9" x14ac:dyDescent="0.45">
      <c r="A514" t="s">
        <v>1085</v>
      </c>
      <c r="B514" s="2">
        <v>45878</v>
      </c>
      <c r="C514" t="s">
        <v>10</v>
      </c>
      <c r="D514" t="s">
        <v>1086</v>
      </c>
      <c r="E514" t="s">
        <v>42</v>
      </c>
      <c r="F514">
        <v>5</v>
      </c>
      <c r="G514" t="s">
        <v>35</v>
      </c>
      <c r="H514" t="s">
        <v>25</v>
      </c>
      <c r="I514" t="s">
        <v>19</v>
      </c>
    </row>
    <row r="515" spans="1:9" x14ac:dyDescent="0.45">
      <c r="A515" t="s">
        <v>1087</v>
      </c>
      <c r="B515" s="2">
        <v>45826</v>
      </c>
      <c r="C515" t="s">
        <v>10</v>
      </c>
      <c r="D515" t="s">
        <v>1088</v>
      </c>
      <c r="E515" t="s">
        <v>30</v>
      </c>
      <c r="F515">
        <v>9</v>
      </c>
      <c r="G515" t="s">
        <v>13</v>
      </c>
      <c r="H515" t="s">
        <v>14</v>
      </c>
      <c r="I515" t="s">
        <v>26</v>
      </c>
    </row>
    <row r="516" spans="1:9" x14ac:dyDescent="0.45">
      <c r="A516" t="s">
        <v>1089</v>
      </c>
      <c r="B516" s="2">
        <v>45775</v>
      </c>
      <c r="C516" t="s">
        <v>16</v>
      </c>
      <c r="D516" t="s">
        <v>1090</v>
      </c>
      <c r="E516" t="s">
        <v>46</v>
      </c>
      <c r="F516">
        <v>9</v>
      </c>
      <c r="G516" t="s">
        <v>35</v>
      </c>
      <c r="H516" t="s">
        <v>25</v>
      </c>
      <c r="I516" t="s">
        <v>19</v>
      </c>
    </row>
    <row r="517" spans="1:9" x14ac:dyDescent="0.45">
      <c r="A517" t="s">
        <v>1091</v>
      </c>
      <c r="B517" s="2">
        <v>45884</v>
      </c>
      <c r="C517" t="s">
        <v>66</v>
      </c>
      <c r="D517" t="s">
        <v>1092</v>
      </c>
      <c r="E517" t="s">
        <v>75</v>
      </c>
      <c r="F517">
        <v>5</v>
      </c>
      <c r="G517" t="s">
        <v>59</v>
      </c>
      <c r="H517" t="s">
        <v>14</v>
      </c>
      <c r="I517" t="s">
        <v>26</v>
      </c>
    </row>
    <row r="518" spans="1:9" x14ac:dyDescent="0.45">
      <c r="A518" t="s">
        <v>1093</v>
      </c>
      <c r="B518" s="2">
        <v>45680</v>
      </c>
      <c r="C518" t="s">
        <v>49</v>
      </c>
      <c r="D518" t="s">
        <v>1094</v>
      </c>
      <c r="E518" t="s">
        <v>42</v>
      </c>
      <c r="F518">
        <v>3</v>
      </c>
      <c r="G518" t="s">
        <v>68</v>
      </c>
      <c r="H518" t="s">
        <v>25</v>
      </c>
      <c r="I518" t="s">
        <v>19</v>
      </c>
    </row>
    <row r="519" spans="1:9" x14ac:dyDescent="0.45">
      <c r="A519" t="s">
        <v>1095</v>
      </c>
      <c r="B519" s="2">
        <v>45849</v>
      </c>
      <c r="C519" t="s">
        <v>21</v>
      </c>
      <c r="D519" t="s">
        <v>1096</v>
      </c>
      <c r="E519" t="s">
        <v>54</v>
      </c>
      <c r="F519">
        <v>7</v>
      </c>
      <c r="G519" t="s">
        <v>59</v>
      </c>
      <c r="H519" t="s">
        <v>14</v>
      </c>
      <c r="I519" t="s">
        <v>31</v>
      </c>
    </row>
    <row r="520" spans="1:9" x14ac:dyDescent="0.45">
      <c r="A520" t="s">
        <v>1097</v>
      </c>
      <c r="B520" s="2">
        <v>45717</v>
      </c>
      <c r="C520" t="s">
        <v>66</v>
      </c>
      <c r="D520" t="s">
        <v>1098</v>
      </c>
      <c r="E520" t="s">
        <v>42</v>
      </c>
      <c r="F520">
        <v>11</v>
      </c>
      <c r="G520" t="s">
        <v>55</v>
      </c>
      <c r="H520" t="s">
        <v>72</v>
      </c>
      <c r="I520" t="s">
        <v>60</v>
      </c>
    </row>
    <row r="521" spans="1:9" x14ac:dyDescent="0.45">
      <c r="A521" t="s">
        <v>1099</v>
      </c>
      <c r="B521" s="2">
        <v>45879</v>
      </c>
      <c r="C521" t="s">
        <v>21</v>
      </c>
      <c r="D521" t="s">
        <v>1100</v>
      </c>
      <c r="E521" t="s">
        <v>46</v>
      </c>
      <c r="F521">
        <v>9</v>
      </c>
      <c r="G521" t="s">
        <v>24</v>
      </c>
      <c r="H521" t="s">
        <v>25</v>
      </c>
      <c r="I521" t="s">
        <v>60</v>
      </c>
    </row>
    <row r="522" spans="1:9" x14ac:dyDescent="0.45">
      <c r="A522" t="s">
        <v>1101</v>
      </c>
      <c r="B522" s="2">
        <v>45873</v>
      </c>
      <c r="C522" t="s">
        <v>28</v>
      </c>
      <c r="D522" t="s">
        <v>1102</v>
      </c>
      <c r="E522" t="s">
        <v>46</v>
      </c>
      <c r="F522">
        <v>4</v>
      </c>
      <c r="G522" t="s">
        <v>35</v>
      </c>
      <c r="H522" t="s">
        <v>25</v>
      </c>
      <c r="I522" t="s">
        <v>19</v>
      </c>
    </row>
    <row r="523" spans="1:9" x14ac:dyDescent="0.45">
      <c r="A523" t="s">
        <v>1103</v>
      </c>
      <c r="B523" s="2">
        <v>45888</v>
      </c>
      <c r="C523" t="s">
        <v>10</v>
      </c>
      <c r="D523" t="s">
        <v>1104</v>
      </c>
      <c r="E523" t="s">
        <v>38</v>
      </c>
      <c r="F523">
        <v>7</v>
      </c>
      <c r="G523" t="s">
        <v>59</v>
      </c>
      <c r="H523" t="s">
        <v>14</v>
      </c>
      <c r="I523" t="s">
        <v>31</v>
      </c>
    </row>
    <row r="524" spans="1:9" x14ac:dyDescent="0.45">
      <c r="A524" t="s">
        <v>1105</v>
      </c>
      <c r="B524" s="2">
        <v>45684</v>
      </c>
      <c r="C524" t="s">
        <v>49</v>
      </c>
      <c r="D524" t="s">
        <v>1106</v>
      </c>
      <c r="E524" t="s">
        <v>42</v>
      </c>
      <c r="F524">
        <v>6</v>
      </c>
      <c r="G524" t="s">
        <v>13</v>
      </c>
      <c r="H524" t="s">
        <v>14</v>
      </c>
      <c r="I524" t="s">
        <v>31</v>
      </c>
    </row>
    <row r="525" spans="1:9" x14ac:dyDescent="0.45">
      <c r="A525" t="s">
        <v>1107</v>
      </c>
      <c r="B525" s="2">
        <v>45835</v>
      </c>
      <c r="C525" t="s">
        <v>66</v>
      </c>
      <c r="D525" t="s">
        <v>1108</v>
      </c>
      <c r="E525" t="s">
        <v>7967</v>
      </c>
      <c r="F525">
        <v>10</v>
      </c>
      <c r="G525" t="s">
        <v>55</v>
      </c>
      <c r="H525" t="s">
        <v>72</v>
      </c>
      <c r="I525" t="s">
        <v>47</v>
      </c>
    </row>
    <row r="526" spans="1:9" x14ac:dyDescent="0.45">
      <c r="A526" t="s">
        <v>1109</v>
      </c>
      <c r="B526" s="2">
        <v>45673</v>
      </c>
      <c r="C526" t="s">
        <v>52</v>
      </c>
      <c r="D526" t="s">
        <v>1110</v>
      </c>
      <c r="E526" t="s">
        <v>34</v>
      </c>
      <c r="F526">
        <v>4</v>
      </c>
      <c r="G526" t="s">
        <v>43</v>
      </c>
      <c r="H526" t="s">
        <v>14</v>
      </c>
      <c r="I526" t="s">
        <v>31</v>
      </c>
    </row>
    <row r="527" spans="1:9" x14ac:dyDescent="0.45">
      <c r="A527" t="s">
        <v>1111</v>
      </c>
      <c r="B527" s="2">
        <v>45841</v>
      </c>
      <c r="C527" t="s">
        <v>21</v>
      </c>
      <c r="D527" t="s">
        <v>1112</v>
      </c>
      <c r="E527" t="s">
        <v>58</v>
      </c>
      <c r="F527">
        <v>2</v>
      </c>
      <c r="G527" t="s">
        <v>24</v>
      </c>
      <c r="H527" t="s">
        <v>25</v>
      </c>
      <c r="I527" t="s">
        <v>19</v>
      </c>
    </row>
    <row r="528" spans="1:9" x14ac:dyDescent="0.45">
      <c r="A528" t="s">
        <v>1113</v>
      </c>
      <c r="B528" s="2">
        <v>45831</v>
      </c>
      <c r="C528" t="s">
        <v>52</v>
      </c>
      <c r="D528" t="s">
        <v>1114</v>
      </c>
      <c r="E528" t="s">
        <v>75</v>
      </c>
      <c r="F528">
        <v>11</v>
      </c>
      <c r="G528" t="s">
        <v>13</v>
      </c>
      <c r="H528" t="s">
        <v>14</v>
      </c>
      <c r="I528" t="s">
        <v>26</v>
      </c>
    </row>
    <row r="529" spans="1:9" x14ac:dyDescent="0.45">
      <c r="A529" t="s">
        <v>1115</v>
      </c>
      <c r="B529" s="2">
        <v>45855</v>
      </c>
      <c r="C529" t="s">
        <v>52</v>
      </c>
      <c r="D529" t="s">
        <v>1116</v>
      </c>
      <c r="E529" t="s">
        <v>38</v>
      </c>
      <c r="F529">
        <v>7</v>
      </c>
      <c r="G529" t="s">
        <v>18</v>
      </c>
      <c r="H529" t="s">
        <v>14</v>
      </c>
      <c r="I529" t="s">
        <v>31</v>
      </c>
    </row>
    <row r="530" spans="1:9" x14ac:dyDescent="0.45">
      <c r="A530" t="s">
        <v>1117</v>
      </c>
      <c r="B530" s="2">
        <v>45661</v>
      </c>
      <c r="C530" t="s">
        <v>10</v>
      </c>
      <c r="D530" t="s">
        <v>1118</v>
      </c>
      <c r="E530" t="s">
        <v>42</v>
      </c>
      <c r="F530">
        <v>3</v>
      </c>
      <c r="G530" t="s">
        <v>24</v>
      </c>
      <c r="H530" t="s">
        <v>25</v>
      </c>
      <c r="I530" t="s">
        <v>31</v>
      </c>
    </row>
    <row r="531" spans="1:9" x14ac:dyDescent="0.45">
      <c r="A531" t="s">
        <v>1119</v>
      </c>
      <c r="B531" s="2">
        <v>45668</v>
      </c>
      <c r="C531" t="s">
        <v>66</v>
      </c>
      <c r="D531" t="s">
        <v>1120</v>
      </c>
      <c r="E531" t="s">
        <v>23</v>
      </c>
      <c r="F531">
        <v>3</v>
      </c>
      <c r="G531" t="s">
        <v>18</v>
      </c>
      <c r="H531" t="s">
        <v>14</v>
      </c>
      <c r="I531" t="s">
        <v>47</v>
      </c>
    </row>
    <row r="532" spans="1:9" x14ac:dyDescent="0.45">
      <c r="A532" t="s">
        <v>1121</v>
      </c>
      <c r="B532" s="2">
        <v>45769</v>
      </c>
      <c r="C532" t="s">
        <v>52</v>
      </c>
      <c r="D532" t="s">
        <v>1122</v>
      </c>
      <c r="E532" t="s">
        <v>30</v>
      </c>
      <c r="F532">
        <v>7</v>
      </c>
      <c r="G532" t="s">
        <v>35</v>
      </c>
      <c r="H532" t="s">
        <v>25</v>
      </c>
      <c r="I532" t="s">
        <v>19</v>
      </c>
    </row>
    <row r="533" spans="1:9" x14ac:dyDescent="0.45">
      <c r="A533" t="s">
        <v>1123</v>
      </c>
      <c r="B533" s="2">
        <v>45768</v>
      </c>
      <c r="C533" t="s">
        <v>10</v>
      </c>
      <c r="D533" t="s">
        <v>1124</v>
      </c>
      <c r="E533" t="s">
        <v>75</v>
      </c>
      <c r="F533">
        <v>2</v>
      </c>
      <c r="G533" t="s">
        <v>24</v>
      </c>
      <c r="H533" t="s">
        <v>25</v>
      </c>
      <c r="I533" t="s">
        <v>31</v>
      </c>
    </row>
    <row r="534" spans="1:9" x14ac:dyDescent="0.45">
      <c r="A534" t="s">
        <v>1125</v>
      </c>
      <c r="B534" s="2">
        <v>45755</v>
      </c>
      <c r="C534" t="s">
        <v>16</v>
      </c>
      <c r="D534" t="s">
        <v>1126</v>
      </c>
      <c r="E534" t="s">
        <v>23</v>
      </c>
      <c r="F534">
        <v>9</v>
      </c>
      <c r="G534" t="s">
        <v>18</v>
      </c>
      <c r="H534" t="s">
        <v>14</v>
      </c>
      <c r="I534" t="s">
        <v>47</v>
      </c>
    </row>
    <row r="535" spans="1:9" x14ac:dyDescent="0.45">
      <c r="A535" t="s">
        <v>1127</v>
      </c>
      <c r="B535" s="2">
        <v>45803</v>
      </c>
      <c r="C535" t="s">
        <v>28</v>
      </c>
      <c r="D535" t="s">
        <v>1128</v>
      </c>
      <c r="E535" t="s">
        <v>42</v>
      </c>
      <c r="F535">
        <v>9</v>
      </c>
      <c r="G535" t="s">
        <v>24</v>
      </c>
      <c r="H535" t="s">
        <v>25</v>
      </c>
      <c r="I535" t="s">
        <v>60</v>
      </c>
    </row>
    <row r="536" spans="1:9" x14ac:dyDescent="0.45">
      <c r="A536" t="s">
        <v>1129</v>
      </c>
      <c r="B536" s="2">
        <v>45760</v>
      </c>
      <c r="C536" t="s">
        <v>99</v>
      </c>
      <c r="D536" t="s">
        <v>1130</v>
      </c>
      <c r="E536" t="s">
        <v>38</v>
      </c>
      <c r="F536">
        <v>9</v>
      </c>
      <c r="G536" t="s">
        <v>55</v>
      </c>
      <c r="H536" t="s">
        <v>72</v>
      </c>
      <c r="I536" t="s">
        <v>47</v>
      </c>
    </row>
    <row r="537" spans="1:9" x14ac:dyDescent="0.45">
      <c r="A537" t="s">
        <v>1131</v>
      </c>
      <c r="B537" s="2">
        <v>45815</v>
      </c>
      <c r="C537" t="s">
        <v>16</v>
      </c>
      <c r="D537" t="s">
        <v>1132</v>
      </c>
      <c r="E537" t="s">
        <v>46</v>
      </c>
      <c r="F537">
        <v>5</v>
      </c>
      <c r="G537" t="s">
        <v>55</v>
      </c>
      <c r="H537" t="s">
        <v>72</v>
      </c>
      <c r="I537" t="s">
        <v>39</v>
      </c>
    </row>
    <row r="538" spans="1:9" x14ac:dyDescent="0.45">
      <c r="A538" t="s">
        <v>1133</v>
      </c>
      <c r="B538" s="2">
        <v>45696</v>
      </c>
      <c r="C538" t="s">
        <v>16</v>
      </c>
      <c r="D538" t="s">
        <v>1134</v>
      </c>
      <c r="E538" t="s">
        <v>42</v>
      </c>
      <c r="F538">
        <v>2</v>
      </c>
      <c r="G538" t="s">
        <v>35</v>
      </c>
      <c r="H538" t="s">
        <v>25</v>
      </c>
      <c r="I538" t="s">
        <v>26</v>
      </c>
    </row>
    <row r="539" spans="1:9" x14ac:dyDescent="0.45">
      <c r="A539" t="s">
        <v>1135</v>
      </c>
      <c r="B539" s="2">
        <v>45781</v>
      </c>
      <c r="C539" t="s">
        <v>16</v>
      </c>
      <c r="D539" t="s">
        <v>1136</v>
      </c>
      <c r="E539" t="s">
        <v>34</v>
      </c>
      <c r="F539">
        <v>1</v>
      </c>
      <c r="G539" t="s">
        <v>13</v>
      </c>
      <c r="H539" t="s">
        <v>14</v>
      </c>
      <c r="I539" t="s">
        <v>47</v>
      </c>
    </row>
    <row r="540" spans="1:9" x14ac:dyDescent="0.45">
      <c r="A540" t="s">
        <v>1137</v>
      </c>
      <c r="B540" s="2">
        <v>45808</v>
      </c>
      <c r="C540" t="s">
        <v>66</v>
      </c>
      <c r="D540" t="s">
        <v>1138</v>
      </c>
      <c r="E540" t="s">
        <v>23</v>
      </c>
      <c r="F540">
        <v>5</v>
      </c>
      <c r="G540" t="s">
        <v>43</v>
      </c>
      <c r="H540" t="s">
        <v>14</v>
      </c>
      <c r="I540" t="s">
        <v>39</v>
      </c>
    </row>
    <row r="541" spans="1:9" x14ac:dyDescent="0.45">
      <c r="A541" t="s">
        <v>1139</v>
      </c>
      <c r="B541" s="2">
        <v>45728</v>
      </c>
      <c r="C541" t="s">
        <v>16</v>
      </c>
      <c r="D541" t="s">
        <v>1140</v>
      </c>
      <c r="E541" t="s">
        <v>75</v>
      </c>
      <c r="F541">
        <v>3</v>
      </c>
      <c r="G541" t="s">
        <v>59</v>
      </c>
      <c r="H541" t="s">
        <v>14</v>
      </c>
      <c r="I541" t="s">
        <v>19</v>
      </c>
    </row>
    <row r="542" spans="1:9" x14ac:dyDescent="0.45">
      <c r="A542" t="s">
        <v>1141</v>
      </c>
      <c r="B542" s="2">
        <v>45868</v>
      </c>
      <c r="C542" t="s">
        <v>66</v>
      </c>
      <c r="D542" t="s">
        <v>1142</v>
      </c>
      <c r="E542" t="s">
        <v>7973</v>
      </c>
      <c r="F542">
        <v>3</v>
      </c>
      <c r="G542" t="s">
        <v>24</v>
      </c>
      <c r="H542" t="s">
        <v>25</v>
      </c>
      <c r="I542" t="s">
        <v>47</v>
      </c>
    </row>
    <row r="543" spans="1:9" x14ac:dyDescent="0.45">
      <c r="A543" t="s">
        <v>1143</v>
      </c>
      <c r="B543" s="2">
        <v>45776</v>
      </c>
      <c r="C543" t="s">
        <v>49</v>
      </c>
      <c r="D543" t="s">
        <v>1144</v>
      </c>
      <c r="E543" t="s">
        <v>54</v>
      </c>
      <c r="F543">
        <v>7</v>
      </c>
      <c r="G543" t="s">
        <v>68</v>
      </c>
      <c r="H543" t="s">
        <v>25</v>
      </c>
      <c r="I543" t="s">
        <v>60</v>
      </c>
    </row>
    <row r="544" spans="1:9" x14ac:dyDescent="0.45">
      <c r="A544" t="s">
        <v>1145</v>
      </c>
      <c r="B544" s="2">
        <v>45719</v>
      </c>
      <c r="C544" t="s">
        <v>10</v>
      </c>
      <c r="D544" t="s">
        <v>1146</v>
      </c>
      <c r="E544" t="s">
        <v>38</v>
      </c>
      <c r="F544">
        <v>11</v>
      </c>
      <c r="G544" t="s">
        <v>43</v>
      </c>
      <c r="H544" t="s">
        <v>14</v>
      </c>
      <c r="I544" t="s">
        <v>60</v>
      </c>
    </row>
    <row r="545" spans="1:9" x14ac:dyDescent="0.45">
      <c r="A545" t="s">
        <v>1147</v>
      </c>
      <c r="B545" s="2">
        <v>45835</v>
      </c>
      <c r="C545" t="s">
        <v>28</v>
      </c>
      <c r="D545" t="s">
        <v>1148</v>
      </c>
      <c r="E545" t="s">
        <v>71</v>
      </c>
      <c r="F545">
        <v>2</v>
      </c>
      <c r="G545" t="s">
        <v>68</v>
      </c>
      <c r="H545" t="s">
        <v>25</v>
      </c>
      <c r="I545" t="s">
        <v>31</v>
      </c>
    </row>
    <row r="546" spans="1:9" x14ac:dyDescent="0.45">
      <c r="A546" t="s">
        <v>1149</v>
      </c>
      <c r="B546" s="2">
        <v>45679</v>
      </c>
      <c r="C546" t="s">
        <v>28</v>
      </c>
      <c r="D546" t="s">
        <v>1150</v>
      </c>
      <c r="E546" t="s">
        <v>58</v>
      </c>
      <c r="F546">
        <v>4</v>
      </c>
      <c r="G546" t="s">
        <v>43</v>
      </c>
      <c r="H546" t="s">
        <v>14</v>
      </c>
      <c r="I546" t="s">
        <v>26</v>
      </c>
    </row>
    <row r="547" spans="1:9" x14ac:dyDescent="0.45">
      <c r="A547" t="s">
        <v>1151</v>
      </c>
      <c r="B547" s="2">
        <v>45791</v>
      </c>
      <c r="C547" t="s">
        <v>21</v>
      </c>
      <c r="D547" t="s">
        <v>1152</v>
      </c>
      <c r="E547" t="s">
        <v>46</v>
      </c>
      <c r="F547">
        <v>6</v>
      </c>
      <c r="G547" t="s">
        <v>59</v>
      </c>
      <c r="H547" t="s">
        <v>14</v>
      </c>
      <c r="I547" t="s">
        <v>60</v>
      </c>
    </row>
    <row r="548" spans="1:9" x14ac:dyDescent="0.45">
      <c r="A548" t="s">
        <v>1153</v>
      </c>
      <c r="B548" s="2">
        <v>45805</v>
      </c>
      <c r="C548" t="s">
        <v>28</v>
      </c>
      <c r="D548" t="s">
        <v>1154</v>
      </c>
      <c r="E548" t="s">
        <v>75</v>
      </c>
      <c r="F548">
        <v>1</v>
      </c>
      <c r="G548" t="s">
        <v>68</v>
      </c>
      <c r="H548" t="s">
        <v>25</v>
      </c>
      <c r="I548" t="s">
        <v>19</v>
      </c>
    </row>
    <row r="549" spans="1:9" x14ac:dyDescent="0.45">
      <c r="A549" t="s">
        <v>1155</v>
      </c>
      <c r="B549" s="2">
        <v>45876</v>
      </c>
      <c r="C549" t="s">
        <v>16</v>
      </c>
      <c r="D549" t="s">
        <v>1156</v>
      </c>
      <c r="E549" t="s">
        <v>42</v>
      </c>
      <c r="F549">
        <v>2</v>
      </c>
      <c r="G549" t="s">
        <v>24</v>
      </c>
      <c r="H549" t="s">
        <v>25</v>
      </c>
      <c r="I549" t="s">
        <v>39</v>
      </c>
    </row>
    <row r="550" spans="1:9" x14ac:dyDescent="0.45">
      <c r="A550" t="s">
        <v>1157</v>
      </c>
      <c r="B550" s="2">
        <v>45773</v>
      </c>
      <c r="C550" t="s">
        <v>10</v>
      </c>
      <c r="D550" t="s">
        <v>1158</v>
      </c>
      <c r="E550" t="s">
        <v>34</v>
      </c>
      <c r="F550">
        <v>7</v>
      </c>
      <c r="G550" t="s">
        <v>59</v>
      </c>
      <c r="H550" t="s">
        <v>14</v>
      </c>
      <c r="I550" t="s">
        <v>39</v>
      </c>
    </row>
    <row r="551" spans="1:9" x14ac:dyDescent="0.45">
      <c r="A551" t="s">
        <v>1159</v>
      </c>
      <c r="B551" s="2">
        <v>45902</v>
      </c>
      <c r="C551" t="s">
        <v>66</v>
      </c>
      <c r="D551" t="s">
        <v>1160</v>
      </c>
      <c r="E551" t="s">
        <v>75</v>
      </c>
      <c r="F551">
        <v>1</v>
      </c>
      <c r="G551" t="s">
        <v>24</v>
      </c>
      <c r="H551" t="s">
        <v>25</v>
      </c>
      <c r="I551" t="s">
        <v>47</v>
      </c>
    </row>
    <row r="552" spans="1:9" x14ac:dyDescent="0.45">
      <c r="A552" t="s">
        <v>1161</v>
      </c>
      <c r="B552" s="2">
        <v>45792</v>
      </c>
      <c r="C552" t="s">
        <v>21</v>
      </c>
      <c r="D552" t="s">
        <v>1162</v>
      </c>
      <c r="E552" t="s">
        <v>58</v>
      </c>
      <c r="F552">
        <v>9</v>
      </c>
      <c r="G552" t="s">
        <v>55</v>
      </c>
      <c r="H552" t="s">
        <v>72</v>
      </c>
      <c r="I552" t="s">
        <v>19</v>
      </c>
    </row>
    <row r="553" spans="1:9" x14ac:dyDescent="0.45">
      <c r="A553" t="s">
        <v>1163</v>
      </c>
      <c r="B553" s="2">
        <v>45822</v>
      </c>
      <c r="C553" t="s">
        <v>52</v>
      </c>
      <c r="D553" t="s">
        <v>1164</v>
      </c>
      <c r="E553" t="s">
        <v>54</v>
      </c>
      <c r="F553">
        <v>10</v>
      </c>
      <c r="G553" t="s">
        <v>24</v>
      </c>
      <c r="H553" t="s">
        <v>25</v>
      </c>
      <c r="I553" t="s">
        <v>47</v>
      </c>
    </row>
    <row r="554" spans="1:9" x14ac:dyDescent="0.45">
      <c r="A554" t="s">
        <v>1165</v>
      </c>
      <c r="B554" s="2">
        <v>45902</v>
      </c>
      <c r="C554" t="s">
        <v>16</v>
      </c>
      <c r="D554" t="s">
        <v>1166</v>
      </c>
      <c r="E554" t="s">
        <v>75</v>
      </c>
      <c r="F554">
        <v>2</v>
      </c>
      <c r="G554" t="s">
        <v>55</v>
      </c>
      <c r="H554" t="s">
        <v>72</v>
      </c>
      <c r="I554" t="s">
        <v>39</v>
      </c>
    </row>
    <row r="555" spans="1:9" x14ac:dyDescent="0.45">
      <c r="A555" t="s">
        <v>1167</v>
      </c>
      <c r="B555" s="2">
        <v>45871</v>
      </c>
      <c r="C555" t="s">
        <v>16</v>
      </c>
      <c r="D555" t="s">
        <v>1168</v>
      </c>
      <c r="E555" t="s">
        <v>34</v>
      </c>
      <c r="F555">
        <v>7</v>
      </c>
      <c r="G555" t="s">
        <v>35</v>
      </c>
      <c r="H555" t="s">
        <v>25</v>
      </c>
      <c r="I555" t="s">
        <v>39</v>
      </c>
    </row>
    <row r="556" spans="1:9" x14ac:dyDescent="0.45">
      <c r="A556" t="s">
        <v>1169</v>
      </c>
      <c r="B556" s="2">
        <v>45825</v>
      </c>
      <c r="C556" t="s">
        <v>16</v>
      </c>
      <c r="D556" t="s">
        <v>1170</v>
      </c>
      <c r="E556" t="s">
        <v>7973</v>
      </c>
      <c r="F556">
        <v>12</v>
      </c>
      <c r="G556" t="s">
        <v>59</v>
      </c>
      <c r="H556" t="s">
        <v>14</v>
      </c>
      <c r="I556" t="s">
        <v>19</v>
      </c>
    </row>
    <row r="557" spans="1:9" x14ac:dyDescent="0.45">
      <c r="A557" t="s">
        <v>1171</v>
      </c>
      <c r="B557" s="2">
        <v>45789</v>
      </c>
      <c r="C557" t="s">
        <v>52</v>
      </c>
      <c r="D557" t="s">
        <v>1172</v>
      </c>
      <c r="E557" t="s">
        <v>7974</v>
      </c>
      <c r="F557">
        <v>8</v>
      </c>
      <c r="G557" t="s">
        <v>59</v>
      </c>
      <c r="H557" t="s">
        <v>14</v>
      </c>
      <c r="I557" t="s">
        <v>7967</v>
      </c>
    </row>
    <row r="558" spans="1:9" x14ac:dyDescent="0.45">
      <c r="A558" t="s">
        <v>1173</v>
      </c>
      <c r="B558" s="2">
        <v>45787</v>
      </c>
      <c r="C558" t="s">
        <v>99</v>
      </c>
      <c r="D558" t="s">
        <v>1174</v>
      </c>
      <c r="E558" t="s">
        <v>38</v>
      </c>
      <c r="F558">
        <v>8</v>
      </c>
      <c r="G558" t="s">
        <v>59</v>
      </c>
      <c r="H558" t="s">
        <v>14</v>
      </c>
      <c r="I558" t="s">
        <v>60</v>
      </c>
    </row>
    <row r="559" spans="1:9" x14ac:dyDescent="0.45">
      <c r="A559" t="s">
        <v>1175</v>
      </c>
      <c r="B559" s="2">
        <v>45703</v>
      </c>
      <c r="C559" t="s">
        <v>28</v>
      </c>
      <c r="D559" t="s">
        <v>1176</v>
      </c>
      <c r="E559" t="s">
        <v>54</v>
      </c>
      <c r="F559">
        <v>1</v>
      </c>
      <c r="G559" t="s">
        <v>35</v>
      </c>
      <c r="H559" t="s">
        <v>25</v>
      </c>
      <c r="I559" t="s">
        <v>47</v>
      </c>
    </row>
    <row r="560" spans="1:9" x14ac:dyDescent="0.45">
      <c r="A560" t="s">
        <v>1177</v>
      </c>
      <c r="B560" s="2">
        <v>45770</v>
      </c>
      <c r="C560" t="s">
        <v>52</v>
      </c>
      <c r="D560" t="s">
        <v>1178</v>
      </c>
      <c r="E560" t="s">
        <v>30</v>
      </c>
      <c r="F560">
        <v>5</v>
      </c>
      <c r="G560" t="s">
        <v>68</v>
      </c>
      <c r="H560" t="s">
        <v>25</v>
      </c>
      <c r="I560" t="s">
        <v>26</v>
      </c>
    </row>
    <row r="561" spans="1:9" x14ac:dyDescent="0.45">
      <c r="A561" t="s">
        <v>1179</v>
      </c>
      <c r="B561" s="2">
        <v>45855</v>
      </c>
      <c r="C561" t="s">
        <v>99</v>
      </c>
      <c r="D561" t="s">
        <v>1180</v>
      </c>
      <c r="E561" t="s">
        <v>23</v>
      </c>
      <c r="F561">
        <v>3</v>
      </c>
      <c r="G561" t="s">
        <v>55</v>
      </c>
      <c r="H561" t="s">
        <v>72</v>
      </c>
      <c r="I561" t="s">
        <v>26</v>
      </c>
    </row>
    <row r="562" spans="1:9" x14ac:dyDescent="0.45">
      <c r="A562" t="s">
        <v>1181</v>
      </c>
      <c r="B562" s="2">
        <v>45703</v>
      </c>
      <c r="C562" t="s">
        <v>16</v>
      </c>
      <c r="D562" t="s">
        <v>1182</v>
      </c>
      <c r="E562" t="s">
        <v>7974</v>
      </c>
      <c r="F562">
        <v>8</v>
      </c>
      <c r="G562" t="s">
        <v>59</v>
      </c>
      <c r="H562" t="s">
        <v>14</v>
      </c>
      <c r="I562" t="s">
        <v>19</v>
      </c>
    </row>
    <row r="563" spans="1:9" x14ac:dyDescent="0.45">
      <c r="A563" t="s">
        <v>1183</v>
      </c>
      <c r="B563" s="2">
        <v>45719</v>
      </c>
      <c r="C563" t="s">
        <v>21</v>
      </c>
      <c r="D563" t="s">
        <v>1184</v>
      </c>
      <c r="E563" t="s">
        <v>38</v>
      </c>
      <c r="F563">
        <v>2</v>
      </c>
      <c r="G563" t="s">
        <v>18</v>
      </c>
      <c r="H563" t="s">
        <v>14</v>
      </c>
      <c r="I563" t="s">
        <v>26</v>
      </c>
    </row>
    <row r="564" spans="1:9" x14ac:dyDescent="0.45">
      <c r="A564" t="s">
        <v>1185</v>
      </c>
      <c r="B564" s="2">
        <v>45850</v>
      </c>
      <c r="C564" t="s">
        <v>66</v>
      </c>
      <c r="D564" t="s">
        <v>1186</v>
      </c>
      <c r="E564" t="s">
        <v>34</v>
      </c>
      <c r="F564">
        <v>5</v>
      </c>
      <c r="G564" t="s">
        <v>13</v>
      </c>
      <c r="H564" t="s">
        <v>14</v>
      </c>
      <c r="I564" t="s">
        <v>47</v>
      </c>
    </row>
    <row r="565" spans="1:9" x14ac:dyDescent="0.45">
      <c r="A565" t="s">
        <v>1187</v>
      </c>
      <c r="B565" s="2">
        <v>45803</v>
      </c>
      <c r="C565" t="s">
        <v>10</v>
      </c>
      <c r="D565" t="s">
        <v>1188</v>
      </c>
      <c r="E565" t="s">
        <v>46</v>
      </c>
      <c r="F565">
        <v>2</v>
      </c>
      <c r="G565" t="s">
        <v>55</v>
      </c>
      <c r="H565" t="s">
        <v>72</v>
      </c>
      <c r="I565" t="s">
        <v>39</v>
      </c>
    </row>
    <row r="566" spans="1:9" x14ac:dyDescent="0.45">
      <c r="A566" t="s">
        <v>1189</v>
      </c>
      <c r="B566" s="2">
        <v>45863</v>
      </c>
      <c r="C566" t="s">
        <v>10</v>
      </c>
      <c r="D566" t="s">
        <v>1190</v>
      </c>
      <c r="E566" t="s">
        <v>34</v>
      </c>
      <c r="F566">
        <v>8</v>
      </c>
      <c r="G566" t="s">
        <v>24</v>
      </c>
      <c r="H566" t="s">
        <v>25</v>
      </c>
      <c r="I566" t="s">
        <v>47</v>
      </c>
    </row>
    <row r="567" spans="1:9" x14ac:dyDescent="0.45">
      <c r="A567" t="s">
        <v>1191</v>
      </c>
      <c r="B567" s="2">
        <v>45850</v>
      </c>
      <c r="C567" t="s">
        <v>52</v>
      </c>
      <c r="D567" t="s">
        <v>1192</v>
      </c>
      <c r="E567" t="s">
        <v>58</v>
      </c>
      <c r="F567">
        <v>2</v>
      </c>
      <c r="G567" t="s">
        <v>55</v>
      </c>
      <c r="H567" t="s">
        <v>72</v>
      </c>
      <c r="I567" t="s">
        <v>39</v>
      </c>
    </row>
    <row r="568" spans="1:9" x14ac:dyDescent="0.45">
      <c r="A568" t="s">
        <v>1193</v>
      </c>
      <c r="B568" s="2">
        <v>45807</v>
      </c>
      <c r="C568" t="s">
        <v>16</v>
      </c>
      <c r="D568" t="s">
        <v>1194</v>
      </c>
      <c r="E568" t="s">
        <v>7974</v>
      </c>
      <c r="F568">
        <v>7</v>
      </c>
      <c r="G568" t="s">
        <v>55</v>
      </c>
      <c r="H568" t="s">
        <v>72</v>
      </c>
      <c r="I568" t="s">
        <v>31</v>
      </c>
    </row>
    <row r="569" spans="1:9" x14ac:dyDescent="0.45">
      <c r="A569" t="s">
        <v>1195</v>
      </c>
      <c r="B569" s="2">
        <v>45669</v>
      </c>
      <c r="C569" t="s">
        <v>10</v>
      </c>
      <c r="D569" t="s">
        <v>1196</v>
      </c>
      <c r="E569" t="s">
        <v>38</v>
      </c>
      <c r="F569">
        <v>1</v>
      </c>
      <c r="G569" t="s">
        <v>24</v>
      </c>
      <c r="H569" t="s">
        <v>25</v>
      </c>
      <c r="I569" t="s">
        <v>19</v>
      </c>
    </row>
    <row r="570" spans="1:9" x14ac:dyDescent="0.45">
      <c r="A570" t="s">
        <v>1197</v>
      </c>
      <c r="B570" s="2">
        <v>45850</v>
      </c>
      <c r="C570" t="s">
        <v>16</v>
      </c>
      <c r="D570" t="s">
        <v>1198</v>
      </c>
      <c r="E570" t="s">
        <v>71</v>
      </c>
      <c r="F570">
        <v>7</v>
      </c>
      <c r="G570" t="s">
        <v>13</v>
      </c>
      <c r="H570" t="s">
        <v>14</v>
      </c>
      <c r="I570" t="s">
        <v>26</v>
      </c>
    </row>
    <row r="571" spans="1:9" x14ac:dyDescent="0.45">
      <c r="A571" t="s">
        <v>1199</v>
      </c>
      <c r="B571" s="2">
        <v>45684</v>
      </c>
      <c r="C571" t="s">
        <v>16</v>
      </c>
      <c r="D571" t="s">
        <v>1200</v>
      </c>
      <c r="E571" t="s">
        <v>54</v>
      </c>
      <c r="F571">
        <v>7</v>
      </c>
      <c r="G571" t="s">
        <v>24</v>
      </c>
      <c r="H571" t="s">
        <v>25</v>
      </c>
      <c r="I571" t="s">
        <v>31</v>
      </c>
    </row>
    <row r="572" spans="1:9" x14ac:dyDescent="0.45">
      <c r="A572" t="s">
        <v>1202</v>
      </c>
      <c r="B572" s="2">
        <v>45771</v>
      </c>
      <c r="C572" t="s">
        <v>66</v>
      </c>
      <c r="D572" t="s">
        <v>1203</v>
      </c>
      <c r="E572" t="s">
        <v>54</v>
      </c>
      <c r="F572">
        <v>7</v>
      </c>
      <c r="G572" t="s">
        <v>35</v>
      </c>
      <c r="H572" t="s">
        <v>25</v>
      </c>
      <c r="I572" t="s">
        <v>19</v>
      </c>
    </row>
    <row r="573" spans="1:9" x14ac:dyDescent="0.45">
      <c r="A573" t="s">
        <v>1204</v>
      </c>
      <c r="B573" s="2">
        <v>45735</v>
      </c>
      <c r="C573" t="s">
        <v>99</v>
      </c>
      <c r="D573" t="s">
        <v>1205</v>
      </c>
      <c r="E573" t="s">
        <v>38</v>
      </c>
      <c r="F573">
        <v>9</v>
      </c>
      <c r="G573" t="s">
        <v>35</v>
      </c>
      <c r="H573" t="s">
        <v>25</v>
      </c>
      <c r="I573" t="s">
        <v>60</v>
      </c>
    </row>
    <row r="574" spans="1:9" x14ac:dyDescent="0.45">
      <c r="A574" t="s">
        <v>1206</v>
      </c>
      <c r="B574" s="2">
        <v>45877</v>
      </c>
      <c r="C574" t="s">
        <v>28</v>
      </c>
      <c r="D574" t="s">
        <v>1207</v>
      </c>
      <c r="E574" t="s">
        <v>71</v>
      </c>
      <c r="F574">
        <v>10</v>
      </c>
      <c r="G574" t="s">
        <v>59</v>
      </c>
      <c r="H574" t="s">
        <v>14</v>
      </c>
      <c r="I574" t="s">
        <v>7967</v>
      </c>
    </row>
    <row r="575" spans="1:9" x14ac:dyDescent="0.45">
      <c r="A575" t="s">
        <v>1208</v>
      </c>
      <c r="B575" s="2">
        <v>45862</v>
      </c>
      <c r="C575" t="s">
        <v>16</v>
      </c>
      <c r="D575" t="s">
        <v>1209</v>
      </c>
      <c r="E575" t="s">
        <v>54</v>
      </c>
      <c r="F575">
        <v>3</v>
      </c>
      <c r="G575" t="s">
        <v>43</v>
      </c>
      <c r="H575" t="s">
        <v>14</v>
      </c>
      <c r="I575" t="s">
        <v>60</v>
      </c>
    </row>
    <row r="576" spans="1:9" x14ac:dyDescent="0.45">
      <c r="A576" t="s">
        <v>1210</v>
      </c>
      <c r="B576" s="2">
        <v>45879</v>
      </c>
      <c r="C576" t="s">
        <v>21</v>
      </c>
      <c r="D576" t="s">
        <v>1211</v>
      </c>
      <c r="E576" t="s">
        <v>23</v>
      </c>
      <c r="F576">
        <v>1</v>
      </c>
      <c r="G576" t="s">
        <v>55</v>
      </c>
      <c r="H576" t="s">
        <v>72</v>
      </c>
      <c r="I576" t="s">
        <v>47</v>
      </c>
    </row>
    <row r="577" spans="1:9" x14ac:dyDescent="0.45">
      <c r="A577" t="s">
        <v>1212</v>
      </c>
      <c r="B577" s="2">
        <v>45674</v>
      </c>
      <c r="C577" t="s">
        <v>10</v>
      </c>
      <c r="D577" t="s">
        <v>1213</v>
      </c>
      <c r="E577" t="s">
        <v>75</v>
      </c>
      <c r="F577">
        <v>10</v>
      </c>
      <c r="G577" t="s">
        <v>13</v>
      </c>
      <c r="H577" t="s">
        <v>14</v>
      </c>
      <c r="I577" t="s">
        <v>47</v>
      </c>
    </row>
    <row r="578" spans="1:9" x14ac:dyDescent="0.45">
      <c r="A578" t="s">
        <v>1214</v>
      </c>
      <c r="B578" s="2">
        <v>45827</v>
      </c>
      <c r="C578" t="s">
        <v>99</v>
      </c>
      <c r="D578" t="s">
        <v>1215</v>
      </c>
      <c r="E578" t="s">
        <v>23</v>
      </c>
      <c r="F578">
        <v>10</v>
      </c>
      <c r="G578" t="s">
        <v>13</v>
      </c>
      <c r="H578" t="s">
        <v>14</v>
      </c>
      <c r="I578" t="s">
        <v>39</v>
      </c>
    </row>
    <row r="579" spans="1:9" x14ac:dyDescent="0.45">
      <c r="A579" t="s">
        <v>1216</v>
      </c>
      <c r="B579" s="2">
        <v>45774</v>
      </c>
      <c r="C579" t="s">
        <v>49</v>
      </c>
      <c r="D579" t="s">
        <v>1217</v>
      </c>
      <c r="E579" t="s">
        <v>54</v>
      </c>
      <c r="F579">
        <v>7</v>
      </c>
      <c r="G579" t="s">
        <v>43</v>
      </c>
      <c r="H579" t="s">
        <v>14</v>
      </c>
      <c r="I579" t="s">
        <v>19</v>
      </c>
    </row>
    <row r="580" spans="1:9" x14ac:dyDescent="0.45">
      <c r="A580" t="s">
        <v>1218</v>
      </c>
      <c r="B580" s="2">
        <v>45855</v>
      </c>
      <c r="C580" t="s">
        <v>16</v>
      </c>
      <c r="D580" t="s">
        <v>1219</v>
      </c>
      <c r="E580" t="s">
        <v>7973</v>
      </c>
      <c r="F580">
        <v>3</v>
      </c>
      <c r="G580" t="s">
        <v>35</v>
      </c>
      <c r="H580" t="s">
        <v>25</v>
      </c>
      <c r="I580" t="s">
        <v>60</v>
      </c>
    </row>
    <row r="581" spans="1:9" x14ac:dyDescent="0.45">
      <c r="A581" t="s">
        <v>1220</v>
      </c>
      <c r="B581" s="2">
        <v>45775</v>
      </c>
      <c r="C581" t="s">
        <v>49</v>
      </c>
      <c r="D581" t="s">
        <v>1221</v>
      </c>
      <c r="E581" t="s">
        <v>42</v>
      </c>
      <c r="F581">
        <v>7</v>
      </c>
      <c r="G581" t="s">
        <v>18</v>
      </c>
      <c r="H581" t="s">
        <v>14</v>
      </c>
      <c r="I581" t="s">
        <v>31</v>
      </c>
    </row>
    <row r="582" spans="1:9" x14ac:dyDescent="0.45">
      <c r="A582" t="s">
        <v>1222</v>
      </c>
      <c r="B582" s="2">
        <v>45813</v>
      </c>
      <c r="C582" t="s">
        <v>49</v>
      </c>
      <c r="D582" t="s">
        <v>1223</v>
      </c>
      <c r="E582" t="s">
        <v>7973</v>
      </c>
      <c r="F582">
        <v>5</v>
      </c>
      <c r="G582" t="s">
        <v>24</v>
      </c>
      <c r="H582" t="s">
        <v>25</v>
      </c>
      <c r="I582" t="s">
        <v>39</v>
      </c>
    </row>
    <row r="583" spans="1:9" x14ac:dyDescent="0.45">
      <c r="A583" t="s">
        <v>1224</v>
      </c>
      <c r="B583" s="2">
        <v>45880</v>
      </c>
      <c r="C583" t="s">
        <v>49</v>
      </c>
      <c r="D583" t="s">
        <v>1225</v>
      </c>
      <c r="E583" t="s">
        <v>7973</v>
      </c>
      <c r="F583">
        <v>2</v>
      </c>
      <c r="G583" t="s">
        <v>55</v>
      </c>
      <c r="H583" t="s">
        <v>72</v>
      </c>
      <c r="I583" t="s">
        <v>60</v>
      </c>
    </row>
    <row r="584" spans="1:9" x14ac:dyDescent="0.45">
      <c r="A584" t="s">
        <v>1226</v>
      </c>
      <c r="B584" s="2">
        <v>45864</v>
      </c>
      <c r="C584" t="s">
        <v>52</v>
      </c>
      <c r="D584" t="s">
        <v>1227</v>
      </c>
      <c r="E584" t="s">
        <v>54</v>
      </c>
      <c r="F584">
        <v>6</v>
      </c>
      <c r="G584" t="s">
        <v>35</v>
      </c>
      <c r="H584" t="s">
        <v>25</v>
      </c>
      <c r="I584" t="s">
        <v>19</v>
      </c>
    </row>
    <row r="585" spans="1:9" x14ac:dyDescent="0.45">
      <c r="A585" t="s">
        <v>1228</v>
      </c>
      <c r="B585" s="2">
        <v>45816</v>
      </c>
      <c r="C585" t="s">
        <v>21</v>
      </c>
      <c r="D585" t="s">
        <v>1229</v>
      </c>
      <c r="E585" t="s">
        <v>23</v>
      </c>
      <c r="F585">
        <v>8</v>
      </c>
      <c r="G585" t="s">
        <v>55</v>
      </c>
      <c r="H585" t="s">
        <v>72</v>
      </c>
      <c r="I585" t="s">
        <v>19</v>
      </c>
    </row>
    <row r="586" spans="1:9" x14ac:dyDescent="0.45">
      <c r="A586" t="s">
        <v>1230</v>
      </c>
      <c r="B586" s="2">
        <v>45718</v>
      </c>
      <c r="C586" t="s">
        <v>10</v>
      </c>
      <c r="D586" t="s">
        <v>1231</v>
      </c>
      <c r="E586" t="s">
        <v>7974</v>
      </c>
      <c r="F586">
        <v>9</v>
      </c>
      <c r="G586" t="s">
        <v>59</v>
      </c>
      <c r="H586" t="s">
        <v>14</v>
      </c>
      <c r="I586" t="s">
        <v>19</v>
      </c>
    </row>
    <row r="587" spans="1:9" x14ac:dyDescent="0.45">
      <c r="A587" t="s">
        <v>1232</v>
      </c>
      <c r="B587" s="2">
        <v>45887</v>
      </c>
      <c r="C587" t="s">
        <v>52</v>
      </c>
      <c r="D587" t="s">
        <v>1233</v>
      </c>
      <c r="E587" t="s">
        <v>75</v>
      </c>
      <c r="F587">
        <v>12</v>
      </c>
      <c r="G587" t="s">
        <v>24</v>
      </c>
      <c r="H587" t="s">
        <v>25</v>
      </c>
      <c r="I587" t="s">
        <v>60</v>
      </c>
    </row>
    <row r="588" spans="1:9" x14ac:dyDescent="0.45">
      <c r="A588" t="s">
        <v>1234</v>
      </c>
      <c r="B588" s="2">
        <v>45785</v>
      </c>
      <c r="C588" t="s">
        <v>99</v>
      </c>
      <c r="D588" t="s">
        <v>1235</v>
      </c>
      <c r="E588" t="s">
        <v>7974</v>
      </c>
      <c r="F588">
        <v>2</v>
      </c>
      <c r="G588" t="s">
        <v>55</v>
      </c>
      <c r="H588" t="s">
        <v>72</v>
      </c>
      <c r="I588" t="s">
        <v>19</v>
      </c>
    </row>
    <row r="589" spans="1:9" x14ac:dyDescent="0.45">
      <c r="A589" t="s">
        <v>1236</v>
      </c>
      <c r="B589" s="2">
        <v>45886</v>
      </c>
      <c r="C589" t="s">
        <v>16</v>
      </c>
      <c r="D589" t="s">
        <v>1237</v>
      </c>
      <c r="E589" t="s">
        <v>54</v>
      </c>
      <c r="F589">
        <v>5</v>
      </c>
      <c r="G589" t="s">
        <v>35</v>
      </c>
      <c r="H589" t="s">
        <v>25</v>
      </c>
      <c r="I589" t="s">
        <v>60</v>
      </c>
    </row>
    <row r="590" spans="1:9" x14ac:dyDescent="0.45">
      <c r="A590" t="s">
        <v>1238</v>
      </c>
      <c r="B590" s="2">
        <v>45862</v>
      </c>
      <c r="C590" t="s">
        <v>99</v>
      </c>
      <c r="D590" t="s">
        <v>1239</v>
      </c>
      <c r="E590" t="s">
        <v>30</v>
      </c>
      <c r="F590">
        <v>11</v>
      </c>
      <c r="G590" t="s">
        <v>43</v>
      </c>
      <c r="H590" t="s">
        <v>14</v>
      </c>
      <c r="I590" t="s">
        <v>19</v>
      </c>
    </row>
    <row r="591" spans="1:9" x14ac:dyDescent="0.45">
      <c r="A591" t="s">
        <v>1240</v>
      </c>
      <c r="B591" s="2">
        <v>45844</v>
      </c>
      <c r="C591" t="s">
        <v>21</v>
      </c>
      <c r="D591" t="s">
        <v>1241</v>
      </c>
      <c r="E591" t="s">
        <v>7973</v>
      </c>
      <c r="F591">
        <v>4</v>
      </c>
      <c r="G591" t="s">
        <v>59</v>
      </c>
      <c r="H591" t="s">
        <v>14</v>
      </c>
      <c r="I591" t="s">
        <v>60</v>
      </c>
    </row>
    <row r="592" spans="1:9" x14ac:dyDescent="0.45">
      <c r="A592" t="s">
        <v>1242</v>
      </c>
      <c r="B592" s="2">
        <v>45860</v>
      </c>
      <c r="C592" t="s">
        <v>10</v>
      </c>
      <c r="D592" t="s">
        <v>1243</v>
      </c>
      <c r="E592" t="s">
        <v>58</v>
      </c>
      <c r="F592">
        <v>4</v>
      </c>
      <c r="G592" t="s">
        <v>35</v>
      </c>
      <c r="H592" t="s">
        <v>25</v>
      </c>
      <c r="I592" t="s">
        <v>26</v>
      </c>
    </row>
    <row r="593" spans="1:9" x14ac:dyDescent="0.45">
      <c r="A593" t="s">
        <v>1244</v>
      </c>
      <c r="B593" s="2">
        <v>45672</v>
      </c>
      <c r="C593" t="s">
        <v>10</v>
      </c>
      <c r="D593" t="s">
        <v>1245</v>
      </c>
      <c r="E593" t="s">
        <v>58</v>
      </c>
      <c r="F593">
        <v>5</v>
      </c>
      <c r="G593" t="s">
        <v>43</v>
      </c>
      <c r="H593" t="s">
        <v>14</v>
      </c>
      <c r="I593" t="s">
        <v>39</v>
      </c>
    </row>
    <row r="594" spans="1:9" x14ac:dyDescent="0.45">
      <c r="A594" t="s">
        <v>1246</v>
      </c>
      <c r="B594" s="2">
        <v>45676</v>
      </c>
      <c r="C594" t="s">
        <v>21</v>
      </c>
      <c r="D594" t="s">
        <v>1247</v>
      </c>
      <c r="E594" t="s">
        <v>38</v>
      </c>
      <c r="F594">
        <v>2</v>
      </c>
      <c r="G594" t="s">
        <v>24</v>
      </c>
      <c r="H594" t="s">
        <v>25</v>
      </c>
      <c r="I594" t="s">
        <v>26</v>
      </c>
    </row>
    <row r="595" spans="1:9" x14ac:dyDescent="0.45">
      <c r="A595" t="s">
        <v>1248</v>
      </c>
      <c r="B595" s="2">
        <v>45807</v>
      </c>
      <c r="C595" t="s">
        <v>66</v>
      </c>
      <c r="D595" t="s">
        <v>1249</v>
      </c>
      <c r="E595" t="s">
        <v>75</v>
      </c>
      <c r="F595">
        <v>3</v>
      </c>
      <c r="G595" t="s">
        <v>59</v>
      </c>
      <c r="H595" t="s">
        <v>14</v>
      </c>
      <c r="I595" t="s">
        <v>47</v>
      </c>
    </row>
    <row r="596" spans="1:9" x14ac:dyDescent="0.45">
      <c r="A596" t="s">
        <v>1250</v>
      </c>
      <c r="B596" s="2">
        <v>45831</v>
      </c>
      <c r="C596" t="s">
        <v>49</v>
      </c>
      <c r="D596" t="s">
        <v>1251</v>
      </c>
      <c r="E596" t="s">
        <v>7973</v>
      </c>
      <c r="F596">
        <v>7</v>
      </c>
      <c r="G596" t="s">
        <v>55</v>
      </c>
      <c r="H596" t="s">
        <v>72</v>
      </c>
      <c r="I596" t="s">
        <v>47</v>
      </c>
    </row>
    <row r="597" spans="1:9" x14ac:dyDescent="0.45">
      <c r="A597" t="s">
        <v>1252</v>
      </c>
      <c r="B597" s="2">
        <v>45724</v>
      </c>
      <c r="C597" t="s">
        <v>16</v>
      </c>
      <c r="D597" t="s">
        <v>1253</v>
      </c>
      <c r="E597" t="s">
        <v>7974</v>
      </c>
      <c r="F597">
        <v>10</v>
      </c>
      <c r="G597" t="s">
        <v>35</v>
      </c>
      <c r="H597" t="s">
        <v>25</v>
      </c>
      <c r="I597" t="s">
        <v>60</v>
      </c>
    </row>
    <row r="598" spans="1:9" x14ac:dyDescent="0.45">
      <c r="A598" t="s">
        <v>1254</v>
      </c>
      <c r="B598" s="2">
        <v>45790</v>
      </c>
      <c r="C598" t="s">
        <v>10</v>
      </c>
      <c r="D598" t="s">
        <v>1255</v>
      </c>
      <c r="E598" t="s">
        <v>71</v>
      </c>
      <c r="F598">
        <v>12</v>
      </c>
      <c r="G598" t="s">
        <v>18</v>
      </c>
      <c r="H598" t="s">
        <v>14</v>
      </c>
      <c r="I598" t="s">
        <v>26</v>
      </c>
    </row>
    <row r="599" spans="1:9" x14ac:dyDescent="0.45">
      <c r="A599" t="s">
        <v>1256</v>
      </c>
      <c r="B599" s="2">
        <v>45729</v>
      </c>
      <c r="C599" t="s">
        <v>28</v>
      </c>
      <c r="D599" t="s">
        <v>1257</v>
      </c>
      <c r="E599" t="s">
        <v>54</v>
      </c>
      <c r="F599">
        <v>8</v>
      </c>
      <c r="G599" t="s">
        <v>68</v>
      </c>
      <c r="H599" t="s">
        <v>25</v>
      </c>
      <c r="I599" t="s">
        <v>60</v>
      </c>
    </row>
    <row r="600" spans="1:9" x14ac:dyDescent="0.45">
      <c r="A600" t="s">
        <v>1258</v>
      </c>
      <c r="B600" s="2">
        <v>45875</v>
      </c>
      <c r="C600" t="s">
        <v>10</v>
      </c>
      <c r="D600" t="s">
        <v>1259</v>
      </c>
      <c r="E600" t="s">
        <v>7973</v>
      </c>
      <c r="F600">
        <v>10</v>
      </c>
      <c r="G600" t="s">
        <v>59</v>
      </c>
      <c r="H600" t="s">
        <v>14</v>
      </c>
      <c r="I600" t="s">
        <v>39</v>
      </c>
    </row>
    <row r="601" spans="1:9" x14ac:dyDescent="0.45">
      <c r="A601" t="s">
        <v>1260</v>
      </c>
      <c r="B601" s="2">
        <v>45883</v>
      </c>
      <c r="C601" t="s">
        <v>10</v>
      </c>
      <c r="D601" t="s">
        <v>1261</v>
      </c>
      <c r="E601" t="s">
        <v>54</v>
      </c>
      <c r="F601">
        <v>3</v>
      </c>
      <c r="G601" t="s">
        <v>43</v>
      </c>
      <c r="H601" t="s">
        <v>14</v>
      </c>
      <c r="I601" t="s">
        <v>47</v>
      </c>
    </row>
    <row r="602" spans="1:9" x14ac:dyDescent="0.45">
      <c r="A602" t="s">
        <v>1262</v>
      </c>
      <c r="B602" s="2">
        <v>45835</v>
      </c>
      <c r="C602" t="s">
        <v>16</v>
      </c>
      <c r="D602" t="s">
        <v>1263</v>
      </c>
      <c r="E602" t="s">
        <v>34</v>
      </c>
      <c r="F602">
        <v>3</v>
      </c>
      <c r="G602" t="s">
        <v>59</v>
      </c>
      <c r="H602" t="s">
        <v>14</v>
      </c>
      <c r="I602" t="s">
        <v>26</v>
      </c>
    </row>
    <row r="603" spans="1:9" x14ac:dyDescent="0.45">
      <c r="A603" t="s">
        <v>1264</v>
      </c>
      <c r="B603" s="2">
        <v>45889</v>
      </c>
      <c r="C603" t="s">
        <v>28</v>
      </c>
      <c r="D603" t="s">
        <v>1265</v>
      </c>
      <c r="E603" t="s">
        <v>75</v>
      </c>
      <c r="F603">
        <v>8</v>
      </c>
      <c r="G603" t="s">
        <v>43</v>
      </c>
      <c r="H603" t="s">
        <v>14</v>
      </c>
      <c r="I603" t="s">
        <v>60</v>
      </c>
    </row>
    <row r="604" spans="1:9" x14ac:dyDescent="0.45">
      <c r="A604" t="s">
        <v>1266</v>
      </c>
      <c r="B604" s="2">
        <v>45747</v>
      </c>
      <c r="C604" t="s">
        <v>66</v>
      </c>
      <c r="D604" t="s">
        <v>1267</v>
      </c>
      <c r="E604" t="s">
        <v>30</v>
      </c>
      <c r="F604">
        <v>12</v>
      </c>
      <c r="G604" t="s">
        <v>24</v>
      </c>
      <c r="H604" t="s">
        <v>25</v>
      </c>
      <c r="I604" t="s">
        <v>26</v>
      </c>
    </row>
    <row r="605" spans="1:9" x14ac:dyDescent="0.45">
      <c r="A605" t="s">
        <v>1268</v>
      </c>
      <c r="B605" s="2">
        <v>45885</v>
      </c>
      <c r="C605" t="s">
        <v>28</v>
      </c>
      <c r="D605" t="s">
        <v>1269</v>
      </c>
      <c r="E605" t="s">
        <v>71</v>
      </c>
      <c r="F605">
        <v>6</v>
      </c>
      <c r="G605" t="s">
        <v>59</v>
      </c>
      <c r="H605" t="s">
        <v>14</v>
      </c>
      <c r="I605" t="s">
        <v>47</v>
      </c>
    </row>
    <row r="606" spans="1:9" x14ac:dyDescent="0.45">
      <c r="A606" t="s">
        <v>1270</v>
      </c>
      <c r="B606" s="2">
        <v>45799</v>
      </c>
      <c r="C606" t="s">
        <v>28</v>
      </c>
      <c r="D606" t="s">
        <v>1271</v>
      </c>
      <c r="E606" t="s">
        <v>71</v>
      </c>
      <c r="F606">
        <v>11</v>
      </c>
      <c r="G606" t="s">
        <v>43</v>
      </c>
      <c r="H606" t="s">
        <v>14</v>
      </c>
      <c r="I606" t="s">
        <v>39</v>
      </c>
    </row>
    <row r="607" spans="1:9" x14ac:dyDescent="0.45">
      <c r="A607" t="s">
        <v>1272</v>
      </c>
      <c r="B607" s="2">
        <v>45759</v>
      </c>
      <c r="C607" t="s">
        <v>99</v>
      </c>
      <c r="D607" t="s">
        <v>1273</v>
      </c>
      <c r="E607" t="s">
        <v>38</v>
      </c>
      <c r="F607">
        <v>9</v>
      </c>
      <c r="G607" t="s">
        <v>68</v>
      </c>
      <c r="H607" t="s">
        <v>25</v>
      </c>
      <c r="I607" t="s">
        <v>19</v>
      </c>
    </row>
    <row r="608" spans="1:9" x14ac:dyDescent="0.45">
      <c r="A608" t="s">
        <v>1274</v>
      </c>
      <c r="B608" s="2">
        <v>45855</v>
      </c>
      <c r="C608" t="s">
        <v>16</v>
      </c>
      <c r="D608" t="s">
        <v>1275</v>
      </c>
      <c r="E608" t="s">
        <v>38</v>
      </c>
      <c r="F608">
        <v>11</v>
      </c>
      <c r="G608" t="s">
        <v>13</v>
      </c>
      <c r="H608" t="s">
        <v>14</v>
      </c>
      <c r="I608" t="s">
        <v>26</v>
      </c>
    </row>
    <row r="609" spans="1:9" x14ac:dyDescent="0.45">
      <c r="A609" t="s">
        <v>1276</v>
      </c>
      <c r="B609" s="2">
        <v>45848</v>
      </c>
      <c r="C609" t="s">
        <v>66</v>
      </c>
      <c r="D609" t="s">
        <v>1277</v>
      </c>
      <c r="E609" t="s">
        <v>23</v>
      </c>
      <c r="F609">
        <v>9</v>
      </c>
      <c r="G609" t="s">
        <v>18</v>
      </c>
      <c r="H609" t="s">
        <v>14</v>
      </c>
      <c r="I609" t="s">
        <v>60</v>
      </c>
    </row>
    <row r="610" spans="1:9" x14ac:dyDescent="0.45">
      <c r="A610" t="s">
        <v>1278</v>
      </c>
      <c r="B610" s="2">
        <v>45768</v>
      </c>
      <c r="C610" t="s">
        <v>16</v>
      </c>
      <c r="D610" t="s">
        <v>1279</v>
      </c>
      <c r="E610" t="s">
        <v>30</v>
      </c>
      <c r="F610">
        <v>1</v>
      </c>
      <c r="G610" t="s">
        <v>43</v>
      </c>
      <c r="H610" t="s">
        <v>14</v>
      </c>
      <c r="I610" t="s">
        <v>19</v>
      </c>
    </row>
    <row r="611" spans="1:9" x14ac:dyDescent="0.45">
      <c r="A611" t="s">
        <v>1280</v>
      </c>
      <c r="B611" s="2">
        <v>45850</v>
      </c>
      <c r="C611" t="s">
        <v>66</v>
      </c>
      <c r="D611" t="s">
        <v>1281</v>
      </c>
      <c r="E611" t="s">
        <v>30</v>
      </c>
      <c r="F611">
        <v>7</v>
      </c>
      <c r="G611" t="s">
        <v>68</v>
      </c>
      <c r="H611" t="s">
        <v>25</v>
      </c>
      <c r="I611" t="s">
        <v>60</v>
      </c>
    </row>
    <row r="612" spans="1:9" x14ac:dyDescent="0.45">
      <c r="A612" t="s">
        <v>1282</v>
      </c>
      <c r="B612" s="2">
        <v>45892</v>
      </c>
      <c r="C612" t="s">
        <v>66</v>
      </c>
      <c r="D612" t="s">
        <v>1283</v>
      </c>
      <c r="E612" t="s">
        <v>46</v>
      </c>
      <c r="F612">
        <v>3</v>
      </c>
      <c r="G612" t="s">
        <v>43</v>
      </c>
      <c r="H612" t="s">
        <v>14</v>
      </c>
      <c r="I612" t="s">
        <v>39</v>
      </c>
    </row>
    <row r="613" spans="1:9" x14ac:dyDescent="0.45">
      <c r="A613" t="s">
        <v>1284</v>
      </c>
      <c r="B613" s="2">
        <v>45694</v>
      </c>
      <c r="C613" t="s">
        <v>52</v>
      </c>
      <c r="D613" t="s">
        <v>1285</v>
      </c>
      <c r="E613" t="s">
        <v>54</v>
      </c>
      <c r="F613">
        <v>3</v>
      </c>
      <c r="G613" t="s">
        <v>35</v>
      </c>
      <c r="H613" t="s">
        <v>25</v>
      </c>
      <c r="I613" t="s">
        <v>60</v>
      </c>
    </row>
    <row r="614" spans="1:9" x14ac:dyDescent="0.45">
      <c r="A614" t="s">
        <v>1286</v>
      </c>
      <c r="B614" s="2">
        <v>45786</v>
      </c>
      <c r="C614" t="s">
        <v>49</v>
      </c>
      <c r="D614" t="s">
        <v>1287</v>
      </c>
      <c r="E614" t="s">
        <v>7974</v>
      </c>
      <c r="F614">
        <v>1</v>
      </c>
      <c r="G614" t="s">
        <v>55</v>
      </c>
      <c r="H614" t="s">
        <v>72</v>
      </c>
      <c r="I614" t="s">
        <v>60</v>
      </c>
    </row>
    <row r="615" spans="1:9" x14ac:dyDescent="0.45">
      <c r="A615" t="s">
        <v>1288</v>
      </c>
      <c r="B615" s="2">
        <v>45697</v>
      </c>
      <c r="C615" t="s">
        <v>52</v>
      </c>
      <c r="D615" t="s">
        <v>1289</v>
      </c>
      <c r="E615" t="s">
        <v>71</v>
      </c>
      <c r="F615">
        <v>4</v>
      </c>
      <c r="G615" t="s">
        <v>24</v>
      </c>
      <c r="H615" t="s">
        <v>25</v>
      </c>
      <c r="I615" t="s">
        <v>31</v>
      </c>
    </row>
    <row r="616" spans="1:9" x14ac:dyDescent="0.45">
      <c r="A616" t="s">
        <v>1290</v>
      </c>
      <c r="B616" s="2">
        <v>45853</v>
      </c>
      <c r="C616" t="s">
        <v>49</v>
      </c>
      <c r="D616" t="s">
        <v>1291</v>
      </c>
      <c r="E616" t="s">
        <v>71</v>
      </c>
      <c r="F616">
        <v>2</v>
      </c>
      <c r="G616" t="s">
        <v>13</v>
      </c>
      <c r="H616" t="s">
        <v>14</v>
      </c>
      <c r="I616" t="s">
        <v>31</v>
      </c>
    </row>
    <row r="617" spans="1:9" x14ac:dyDescent="0.45">
      <c r="A617" t="s">
        <v>1292</v>
      </c>
      <c r="B617" s="2">
        <v>45753</v>
      </c>
      <c r="C617" t="s">
        <v>21</v>
      </c>
      <c r="D617" t="s">
        <v>1293</v>
      </c>
      <c r="E617" t="s">
        <v>23</v>
      </c>
      <c r="F617">
        <v>2</v>
      </c>
      <c r="G617" t="s">
        <v>13</v>
      </c>
      <c r="H617" t="s">
        <v>14</v>
      </c>
      <c r="I617" t="s">
        <v>60</v>
      </c>
    </row>
    <row r="618" spans="1:9" x14ac:dyDescent="0.45">
      <c r="A618" t="s">
        <v>1294</v>
      </c>
      <c r="B618" s="2">
        <v>45676</v>
      </c>
      <c r="C618" t="s">
        <v>49</v>
      </c>
      <c r="D618" t="s">
        <v>1295</v>
      </c>
      <c r="E618" t="s">
        <v>42</v>
      </c>
      <c r="F618">
        <v>2</v>
      </c>
      <c r="G618" t="s">
        <v>43</v>
      </c>
      <c r="H618" t="s">
        <v>14</v>
      </c>
      <c r="I618" t="s">
        <v>60</v>
      </c>
    </row>
    <row r="619" spans="1:9" x14ac:dyDescent="0.45">
      <c r="A619" t="s">
        <v>1296</v>
      </c>
      <c r="B619" s="2">
        <v>45674</v>
      </c>
      <c r="C619" t="s">
        <v>28</v>
      </c>
      <c r="D619" t="s">
        <v>1297</v>
      </c>
      <c r="E619" t="s">
        <v>46</v>
      </c>
      <c r="F619">
        <v>3</v>
      </c>
      <c r="G619" t="s">
        <v>18</v>
      </c>
      <c r="H619" t="s">
        <v>14</v>
      </c>
      <c r="I619" t="s">
        <v>19</v>
      </c>
    </row>
    <row r="620" spans="1:9" x14ac:dyDescent="0.45">
      <c r="A620" t="s">
        <v>1298</v>
      </c>
      <c r="B620" s="2">
        <v>45802</v>
      </c>
      <c r="C620" t="s">
        <v>28</v>
      </c>
      <c r="D620" t="s">
        <v>1299</v>
      </c>
      <c r="E620" t="s">
        <v>54</v>
      </c>
      <c r="F620">
        <v>8</v>
      </c>
      <c r="G620" t="s">
        <v>68</v>
      </c>
      <c r="H620" t="s">
        <v>25</v>
      </c>
      <c r="I620" t="s">
        <v>19</v>
      </c>
    </row>
    <row r="621" spans="1:9" x14ac:dyDescent="0.45">
      <c r="A621" t="s">
        <v>1300</v>
      </c>
      <c r="B621" s="2">
        <v>45751</v>
      </c>
      <c r="C621" t="s">
        <v>49</v>
      </c>
      <c r="D621" t="s">
        <v>1301</v>
      </c>
      <c r="E621" t="s">
        <v>46</v>
      </c>
      <c r="F621">
        <v>8</v>
      </c>
      <c r="G621" t="s">
        <v>13</v>
      </c>
      <c r="H621" t="s">
        <v>14</v>
      </c>
      <c r="I621" t="s">
        <v>39</v>
      </c>
    </row>
    <row r="622" spans="1:9" x14ac:dyDescent="0.45">
      <c r="A622" t="s">
        <v>1302</v>
      </c>
      <c r="B622" s="2">
        <v>45688</v>
      </c>
      <c r="C622" t="s">
        <v>49</v>
      </c>
      <c r="D622" t="s">
        <v>1303</v>
      </c>
      <c r="E622" t="s">
        <v>71</v>
      </c>
      <c r="F622">
        <v>11</v>
      </c>
      <c r="G622" t="s">
        <v>24</v>
      </c>
      <c r="H622" t="s">
        <v>25</v>
      </c>
      <c r="I622" t="s">
        <v>47</v>
      </c>
    </row>
    <row r="623" spans="1:9" x14ac:dyDescent="0.45">
      <c r="A623" t="s">
        <v>1304</v>
      </c>
      <c r="B623" s="2">
        <v>45895</v>
      </c>
      <c r="C623" t="s">
        <v>21</v>
      </c>
      <c r="D623" t="s">
        <v>1305</v>
      </c>
      <c r="E623" t="s">
        <v>7974</v>
      </c>
      <c r="F623">
        <v>10</v>
      </c>
      <c r="G623" t="s">
        <v>59</v>
      </c>
      <c r="H623" t="s">
        <v>14</v>
      </c>
      <c r="I623" t="s">
        <v>60</v>
      </c>
    </row>
    <row r="624" spans="1:9" x14ac:dyDescent="0.45">
      <c r="A624" t="s">
        <v>1306</v>
      </c>
      <c r="B624" s="2">
        <v>45817</v>
      </c>
      <c r="C624" t="s">
        <v>52</v>
      </c>
      <c r="D624" t="s">
        <v>1307</v>
      </c>
      <c r="E624" t="s">
        <v>46</v>
      </c>
      <c r="F624">
        <v>2</v>
      </c>
      <c r="G624" t="s">
        <v>59</v>
      </c>
      <c r="H624" t="s">
        <v>14</v>
      </c>
      <c r="I624" t="s">
        <v>39</v>
      </c>
    </row>
    <row r="625" spans="1:9" x14ac:dyDescent="0.45">
      <c r="A625" t="s">
        <v>1308</v>
      </c>
      <c r="B625" s="2">
        <v>45696</v>
      </c>
      <c r="C625" t="s">
        <v>28</v>
      </c>
      <c r="D625" t="s">
        <v>1309</v>
      </c>
      <c r="E625" t="s">
        <v>58</v>
      </c>
      <c r="F625">
        <v>7</v>
      </c>
      <c r="G625" t="s">
        <v>13</v>
      </c>
      <c r="H625" t="s">
        <v>14</v>
      </c>
      <c r="I625" t="s">
        <v>39</v>
      </c>
    </row>
    <row r="626" spans="1:9" x14ac:dyDescent="0.45">
      <c r="A626" t="s">
        <v>1310</v>
      </c>
      <c r="B626" s="2">
        <v>45677</v>
      </c>
      <c r="C626" t="s">
        <v>99</v>
      </c>
      <c r="D626" t="s">
        <v>1311</v>
      </c>
      <c r="E626" t="s">
        <v>23</v>
      </c>
      <c r="F626">
        <v>9</v>
      </c>
      <c r="G626" t="s">
        <v>7967</v>
      </c>
      <c r="H626" t="s">
        <v>72</v>
      </c>
      <c r="I626" t="s">
        <v>26</v>
      </c>
    </row>
    <row r="627" spans="1:9" x14ac:dyDescent="0.45">
      <c r="A627" t="s">
        <v>1312</v>
      </c>
      <c r="B627" s="2">
        <v>45815</v>
      </c>
      <c r="C627" t="s">
        <v>10</v>
      </c>
      <c r="D627" t="s">
        <v>1313</v>
      </c>
      <c r="E627" t="s">
        <v>34</v>
      </c>
      <c r="F627">
        <v>2</v>
      </c>
      <c r="G627" t="s">
        <v>59</v>
      </c>
      <c r="H627" t="s">
        <v>14</v>
      </c>
      <c r="I627" t="s">
        <v>19</v>
      </c>
    </row>
    <row r="628" spans="1:9" x14ac:dyDescent="0.45">
      <c r="A628" t="s">
        <v>1314</v>
      </c>
      <c r="B628" s="2">
        <v>45759</v>
      </c>
      <c r="C628" t="s">
        <v>52</v>
      </c>
      <c r="D628" t="s">
        <v>1315</v>
      </c>
      <c r="E628" t="s">
        <v>71</v>
      </c>
      <c r="F628">
        <v>12</v>
      </c>
      <c r="G628" t="s">
        <v>59</v>
      </c>
      <c r="H628" t="s">
        <v>14</v>
      </c>
      <c r="I628" t="s">
        <v>19</v>
      </c>
    </row>
    <row r="629" spans="1:9" x14ac:dyDescent="0.45">
      <c r="A629" t="s">
        <v>1316</v>
      </c>
      <c r="B629" s="2">
        <v>45836</v>
      </c>
      <c r="C629" t="s">
        <v>28</v>
      </c>
      <c r="D629" t="s">
        <v>1317</v>
      </c>
      <c r="E629" t="s">
        <v>71</v>
      </c>
      <c r="F629">
        <v>4</v>
      </c>
      <c r="G629" t="s">
        <v>59</v>
      </c>
      <c r="H629" t="s">
        <v>14</v>
      </c>
      <c r="I629" t="s">
        <v>39</v>
      </c>
    </row>
    <row r="630" spans="1:9" x14ac:dyDescent="0.45">
      <c r="A630" t="s">
        <v>1318</v>
      </c>
      <c r="B630" s="2">
        <v>45688</v>
      </c>
      <c r="C630" t="s">
        <v>21</v>
      </c>
      <c r="D630" t="s">
        <v>1319</v>
      </c>
      <c r="E630" t="s">
        <v>23</v>
      </c>
      <c r="F630">
        <v>5</v>
      </c>
      <c r="G630" t="s">
        <v>24</v>
      </c>
      <c r="H630" t="s">
        <v>25</v>
      </c>
      <c r="I630" t="s">
        <v>26</v>
      </c>
    </row>
    <row r="631" spans="1:9" x14ac:dyDescent="0.45">
      <c r="A631" t="s">
        <v>1320</v>
      </c>
      <c r="B631" s="2">
        <v>45894</v>
      </c>
      <c r="C631" t="s">
        <v>52</v>
      </c>
      <c r="D631" t="s">
        <v>1321</v>
      </c>
      <c r="E631" t="s">
        <v>54</v>
      </c>
      <c r="F631">
        <v>6</v>
      </c>
      <c r="G631" t="s">
        <v>59</v>
      </c>
      <c r="H631" t="s">
        <v>14</v>
      </c>
      <c r="I631" t="s">
        <v>26</v>
      </c>
    </row>
    <row r="632" spans="1:9" x14ac:dyDescent="0.45">
      <c r="A632" t="s">
        <v>1322</v>
      </c>
      <c r="B632" s="2">
        <v>45694</v>
      </c>
      <c r="C632" t="s">
        <v>10</v>
      </c>
      <c r="D632" t="s">
        <v>1323</v>
      </c>
      <c r="E632" t="s">
        <v>54</v>
      </c>
      <c r="F632">
        <v>2</v>
      </c>
      <c r="G632" t="s">
        <v>68</v>
      </c>
      <c r="H632" t="s">
        <v>25</v>
      </c>
      <c r="I632" t="s">
        <v>19</v>
      </c>
    </row>
    <row r="633" spans="1:9" x14ac:dyDescent="0.45">
      <c r="A633" t="s">
        <v>1324</v>
      </c>
      <c r="B633" s="2">
        <v>45719</v>
      </c>
      <c r="C633" t="s">
        <v>52</v>
      </c>
      <c r="D633" t="s">
        <v>1325</v>
      </c>
      <c r="E633" t="s">
        <v>23</v>
      </c>
      <c r="F633">
        <v>5</v>
      </c>
      <c r="G633" t="s">
        <v>55</v>
      </c>
      <c r="H633" t="s">
        <v>72</v>
      </c>
      <c r="I633" t="s">
        <v>7967</v>
      </c>
    </row>
    <row r="634" spans="1:9" x14ac:dyDescent="0.45">
      <c r="A634" t="s">
        <v>1326</v>
      </c>
      <c r="B634" s="2">
        <v>45780</v>
      </c>
      <c r="C634" t="s">
        <v>16</v>
      </c>
      <c r="D634" t="s">
        <v>1327</v>
      </c>
      <c r="E634" t="s">
        <v>42</v>
      </c>
      <c r="F634">
        <v>3</v>
      </c>
      <c r="G634" t="s">
        <v>13</v>
      </c>
      <c r="H634" t="s">
        <v>14</v>
      </c>
      <c r="I634" t="s">
        <v>19</v>
      </c>
    </row>
    <row r="635" spans="1:9" x14ac:dyDescent="0.45">
      <c r="A635" t="s">
        <v>1328</v>
      </c>
      <c r="B635" s="2">
        <v>45714</v>
      </c>
      <c r="C635" t="s">
        <v>28</v>
      </c>
      <c r="D635" t="s">
        <v>1329</v>
      </c>
      <c r="E635" t="s">
        <v>7973</v>
      </c>
      <c r="F635">
        <v>2</v>
      </c>
      <c r="G635" t="s">
        <v>43</v>
      </c>
      <c r="H635" t="s">
        <v>14</v>
      </c>
      <c r="I635" t="s">
        <v>26</v>
      </c>
    </row>
    <row r="636" spans="1:9" x14ac:dyDescent="0.45">
      <c r="A636" t="s">
        <v>1330</v>
      </c>
      <c r="B636" s="2">
        <v>45678</v>
      </c>
      <c r="C636" t="s">
        <v>16</v>
      </c>
      <c r="D636" t="s">
        <v>1331</v>
      </c>
      <c r="E636" t="s">
        <v>42</v>
      </c>
      <c r="F636">
        <v>11</v>
      </c>
      <c r="G636" t="s">
        <v>13</v>
      </c>
      <c r="H636" t="s">
        <v>14</v>
      </c>
      <c r="I636" t="s">
        <v>26</v>
      </c>
    </row>
    <row r="637" spans="1:9" x14ac:dyDescent="0.45">
      <c r="A637" t="s">
        <v>1332</v>
      </c>
      <c r="B637" s="2">
        <v>45698</v>
      </c>
      <c r="C637" t="s">
        <v>21</v>
      </c>
      <c r="D637" t="s">
        <v>1333</v>
      </c>
      <c r="E637" t="s">
        <v>30</v>
      </c>
      <c r="F637">
        <v>4</v>
      </c>
      <c r="G637" t="s">
        <v>68</v>
      </c>
      <c r="H637" t="s">
        <v>25</v>
      </c>
      <c r="I637" t="s">
        <v>47</v>
      </c>
    </row>
    <row r="638" spans="1:9" x14ac:dyDescent="0.45">
      <c r="A638" t="s">
        <v>1334</v>
      </c>
      <c r="B638" s="2">
        <v>45895</v>
      </c>
      <c r="C638" t="s">
        <v>49</v>
      </c>
      <c r="D638" t="s">
        <v>1335</v>
      </c>
      <c r="E638" t="s">
        <v>58</v>
      </c>
      <c r="F638">
        <v>7</v>
      </c>
      <c r="G638" t="s">
        <v>35</v>
      </c>
      <c r="H638" t="s">
        <v>25</v>
      </c>
      <c r="I638" t="s">
        <v>19</v>
      </c>
    </row>
    <row r="639" spans="1:9" x14ac:dyDescent="0.45">
      <c r="A639" t="s">
        <v>1336</v>
      </c>
      <c r="B639" s="2">
        <v>45900</v>
      </c>
      <c r="C639" t="s">
        <v>28</v>
      </c>
      <c r="D639" t="s">
        <v>1337</v>
      </c>
      <c r="E639" t="s">
        <v>23</v>
      </c>
      <c r="F639">
        <v>9</v>
      </c>
      <c r="G639" t="s">
        <v>43</v>
      </c>
      <c r="H639" t="s">
        <v>14</v>
      </c>
      <c r="I639" t="s">
        <v>19</v>
      </c>
    </row>
    <row r="640" spans="1:9" x14ac:dyDescent="0.45">
      <c r="A640" t="s">
        <v>1338</v>
      </c>
      <c r="B640" s="2">
        <v>45764</v>
      </c>
      <c r="C640" t="s">
        <v>99</v>
      </c>
      <c r="D640" t="s">
        <v>1339</v>
      </c>
      <c r="E640" t="s">
        <v>42</v>
      </c>
      <c r="F640">
        <v>5</v>
      </c>
      <c r="G640" t="s">
        <v>18</v>
      </c>
      <c r="H640" t="s">
        <v>14</v>
      </c>
      <c r="I640" t="s">
        <v>19</v>
      </c>
    </row>
    <row r="641" spans="1:9" x14ac:dyDescent="0.45">
      <c r="A641" t="s">
        <v>1340</v>
      </c>
      <c r="B641" s="2">
        <v>45878</v>
      </c>
      <c r="C641" t="s">
        <v>49</v>
      </c>
      <c r="D641" t="s">
        <v>1341</v>
      </c>
      <c r="E641" t="s">
        <v>7974</v>
      </c>
      <c r="F641">
        <v>5</v>
      </c>
      <c r="G641" t="s">
        <v>35</v>
      </c>
      <c r="H641" t="s">
        <v>25</v>
      </c>
      <c r="I641" t="s">
        <v>31</v>
      </c>
    </row>
    <row r="642" spans="1:9" x14ac:dyDescent="0.45">
      <c r="A642" t="s">
        <v>1342</v>
      </c>
      <c r="B642" s="2">
        <v>45661</v>
      </c>
      <c r="C642" t="s">
        <v>49</v>
      </c>
      <c r="D642" t="s">
        <v>1343</v>
      </c>
      <c r="E642" t="s">
        <v>30</v>
      </c>
      <c r="F642">
        <v>6</v>
      </c>
      <c r="G642" t="s">
        <v>24</v>
      </c>
      <c r="H642" t="s">
        <v>25</v>
      </c>
      <c r="I642" t="s">
        <v>19</v>
      </c>
    </row>
    <row r="643" spans="1:9" x14ac:dyDescent="0.45">
      <c r="A643" t="s">
        <v>1344</v>
      </c>
      <c r="B643" s="2">
        <v>45889</v>
      </c>
      <c r="C643" t="s">
        <v>52</v>
      </c>
      <c r="D643" t="s">
        <v>1345</v>
      </c>
      <c r="E643" t="s">
        <v>71</v>
      </c>
      <c r="F643">
        <v>10</v>
      </c>
      <c r="G643" t="s">
        <v>13</v>
      </c>
      <c r="H643" t="s">
        <v>14</v>
      </c>
      <c r="I643" t="s">
        <v>26</v>
      </c>
    </row>
    <row r="644" spans="1:9" x14ac:dyDescent="0.45">
      <c r="A644" t="s">
        <v>1346</v>
      </c>
      <c r="B644" s="2">
        <v>45804</v>
      </c>
      <c r="C644" t="s">
        <v>99</v>
      </c>
      <c r="D644" t="s">
        <v>1347</v>
      </c>
      <c r="E644" t="s">
        <v>38</v>
      </c>
      <c r="F644">
        <v>9</v>
      </c>
      <c r="G644" t="s">
        <v>24</v>
      </c>
      <c r="H644" t="s">
        <v>25</v>
      </c>
      <c r="I644" t="s">
        <v>26</v>
      </c>
    </row>
    <row r="645" spans="1:9" x14ac:dyDescent="0.45">
      <c r="A645" t="s">
        <v>1348</v>
      </c>
      <c r="B645" s="2">
        <v>45842</v>
      </c>
      <c r="C645" t="s">
        <v>99</v>
      </c>
      <c r="D645" t="s">
        <v>1349</v>
      </c>
      <c r="E645" t="s">
        <v>54</v>
      </c>
      <c r="F645">
        <v>11</v>
      </c>
      <c r="G645" t="s">
        <v>43</v>
      </c>
      <c r="H645" t="s">
        <v>14</v>
      </c>
      <c r="I645" t="s">
        <v>47</v>
      </c>
    </row>
    <row r="646" spans="1:9" x14ac:dyDescent="0.45">
      <c r="A646" t="s">
        <v>1350</v>
      </c>
      <c r="B646" s="2">
        <v>45701</v>
      </c>
      <c r="C646" t="s">
        <v>28</v>
      </c>
      <c r="D646" t="s">
        <v>1351</v>
      </c>
      <c r="E646" t="s">
        <v>75</v>
      </c>
      <c r="F646">
        <v>9</v>
      </c>
      <c r="G646" t="s">
        <v>68</v>
      </c>
      <c r="H646" t="s">
        <v>25</v>
      </c>
      <c r="I646" t="s">
        <v>26</v>
      </c>
    </row>
    <row r="647" spans="1:9" x14ac:dyDescent="0.45">
      <c r="A647" t="s">
        <v>1352</v>
      </c>
      <c r="B647" s="2">
        <v>45766</v>
      </c>
      <c r="C647" t="s">
        <v>52</v>
      </c>
      <c r="D647" t="s">
        <v>1353</v>
      </c>
      <c r="E647" t="s">
        <v>42</v>
      </c>
      <c r="F647">
        <v>1</v>
      </c>
      <c r="G647" t="s">
        <v>24</v>
      </c>
      <c r="H647" t="s">
        <v>25</v>
      </c>
      <c r="I647" t="s">
        <v>31</v>
      </c>
    </row>
    <row r="648" spans="1:9" x14ac:dyDescent="0.45">
      <c r="A648" t="s">
        <v>1354</v>
      </c>
      <c r="B648" s="2">
        <v>45790</v>
      </c>
      <c r="C648" t="s">
        <v>21</v>
      </c>
      <c r="D648" t="s">
        <v>1355</v>
      </c>
      <c r="E648" t="s">
        <v>71</v>
      </c>
      <c r="F648">
        <v>5</v>
      </c>
      <c r="G648" t="s">
        <v>59</v>
      </c>
      <c r="H648" t="s">
        <v>14</v>
      </c>
      <c r="I648" t="s">
        <v>39</v>
      </c>
    </row>
    <row r="649" spans="1:9" x14ac:dyDescent="0.45">
      <c r="A649" t="s">
        <v>1356</v>
      </c>
      <c r="B649" s="2">
        <v>45850</v>
      </c>
      <c r="C649" t="s">
        <v>49</v>
      </c>
      <c r="D649" t="s">
        <v>1357</v>
      </c>
      <c r="E649" t="s">
        <v>34</v>
      </c>
      <c r="F649">
        <v>2</v>
      </c>
      <c r="G649" t="s">
        <v>18</v>
      </c>
      <c r="H649" t="s">
        <v>14</v>
      </c>
      <c r="I649" t="s">
        <v>47</v>
      </c>
    </row>
    <row r="650" spans="1:9" x14ac:dyDescent="0.45">
      <c r="A650" t="s">
        <v>1358</v>
      </c>
      <c r="B650" s="2">
        <v>45709</v>
      </c>
      <c r="C650" t="s">
        <v>99</v>
      </c>
      <c r="D650" t="s">
        <v>1359</v>
      </c>
      <c r="E650" t="s">
        <v>23</v>
      </c>
      <c r="F650">
        <v>5</v>
      </c>
      <c r="G650" t="s">
        <v>43</v>
      </c>
      <c r="H650" t="s">
        <v>14</v>
      </c>
      <c r="I650" t="s">
        <v>26</v>
      </c>
    </row>
    <row r="651" spans="1:9" x14ac:dyDescent="0.45">
      <c r="A651" t="s">
        <v>1360</v>
      </c>
      <c r="B651" s="2">
        <v>45806</v>
      </c>
      <c r="C651" t="s">
        <v>99</v>
      </c>
      <c r="D651" t="s">
        <v>1361</v>
      </c>
      <c r="E651" t="s">
        <v>46</v>
      </c>
      <c r="F651">
        <v>8</v>
      </c>
      <c r="G651" t="s">
        <v>59</v>
      </c>
      <c r="H651" t="s">
        <v>14</v>
      </c>
      <c r="I651" t="s">
        <v>19</v>
      </c>
    </row>
    <row r="652" spans="1:9" x14ac:dyDescent="0.45">
      <c r="A652" t="s">
        <v>1362</v>
      </c>
      <c r="B652" s="2">
        <v>45684</v>
      </c>
      <c r="C652" t="s">
        <v>21</v>
      </c>
      <c r="D652" t="s">
        <v>1363</v>
      </c>
      <c r="E652" t="s">
        <v>23</v>
      </c>
      <c r="F652">
        <v>4</v>
      </c>
      <c r="G652" t="s">
        <v>13</v>
      </c>
      <c r="H652" t="s">
        <v>14</v>
      </c>
      <c r="I652" t="s">
        <v>60</v>
      </c>
    </row>
    <row r="653" spans="1:9" x14ac:dyDescent="0.45">
      <c r="A653" t="s">
        <v>1364</v>
      </c>
      <c r="B653" s="2">
        <v>45845</v>
      </c>
      <c r="C653" t="s">
        <v>10</v>
      </c>
      <c r="D653" t="s">
        <v>1365</v>
      </c>
      <c r="E653" t="s">
        <v>71</v>
      </c>
      <c r="F653">
        <v>3</v>
      </c>
      <c r="G653" t="s">
        <v>59</v>
      </c>
      <c r="H653" t="s">
        <v>14</v>
      </c>
      <c r="I653" t="s">
        <v>60</v>
      </c>
    </row>
    <row r="654" spans="1:9" x14ac:dyDescent="0.45">
      <c r="A654" t="s">
        <v>1366</v>
      </c>
      <c r="B654" s="2">
        <v>45686</v>
      </c>
      <c r="C654" t="s">
        <v>28</v>
      </c>
      <c r="D654" t="s">
        <v>1367</v>
      </c>
      <c r="E654" t="s">
        <v>42</v>
      </c>
      <c r="F654">
        <v>5</v>
      </c>
      <c r="G654" t="s">
        <v>68</v>
      </c>
      <c r="H654" t="s">
        <v>25</v>
      </c>
      <c r="I654" t="s">
        <v>19</v>
      </c>
    </row>
    <row r="655" spans="1:9" x14ac:dyDescent="0.45">
      <c r="A655" t="s">
        <v>1368</v>
      </c>
      <c r="B655" s="2">
        <v>45836</v>
      </c>
      <c r="C655" t="s">
        <v>66</v>
      </c>
      <c r="D655" t="s">
        <v>1369</v>
      </c>
      <c r="E655" t="s">
        <v>46</v>
      </c>
      <c r="F655">
        <v>1</v>
      </c>
      <c r="G655" t="s">
        <v>13</v>
      </c>
      <c r="H655" t="s">
        <v>14</v>
      </c>
      <c r="I655" t="s">
        <v>19</v>
      </c>
    </row>
    <row r="656" spans="1:9" x14ac:dyDescent="0.45">
      <c r="A656" t="s">
        <v>1371</v>
      </c>
      <c r="B656" s="2">
        <v>45836</v>
      </c>
      <c r="C656" t="s">
        <v>10</v>
      </c>
      <c r="D656" t="s">
        <v>1372</v>
      </c>
      <c r="E656" t="s">
        <v>7974</v>
      </c>
      <c r="F656">
        <v>6</v>
      </c>
      <c r="G656" t="s">
        <v>59</v>
      </c>
      <c r="H656" t="s">
        <v>14</v>
      </c>
      <c r="I656" t="s">
        <v>39</v>
      </c>
    </row>
    <row r="657" spans="1:9" x14ac:dyDescent="0.45">
      <c r="A657" t="s">
        <v>1373</v>
      </c>
      <c r="B657" s="2">
        <v>45782</v>
      </c>
      <c r="C657" t="s">
        <v>28</v>
      </c>
      <c r="D657" t="s">
        <v>1374</v>
      </c>
      <c r="E657" t="s">
        <v>7974</v>
      </c>
      <c r="F657">
        <v>10</v>
      </c>
      <c r="G657" t="s">
        <v>55</v>
      </c>
      <c r="H657" t="s">
        <v>72</v>
      </c>
      <c r="I657" t="s">
        <v>19</v>
      </c>
    </row>
    <row r="658" spans="1:9" x14ac:dyDescent="0.45">
      <c r="A658" t="s">
        <v>1375</v>
      </c>
      <c r="B658" s="2">
        <v>45688</v>
      </c>
      <c r="C658" t="s">
        <v>16</v>
      </c>
      <c r="D658" t="s">
        <v>1376</v>
      </c>
      <c r="E658" t="s">
        <v>46</v>
      </c>
      <c r="F658">
        <v>7</v>
      </c>
      <c r="G658" t="s">
        <v>18</v>
      </c>
      <c r="H658" t="s">
        <v>14</v>
      </c>
      <c r="I658" t="s">
        <v>60</v>
      </c>
    </row>
    <row r="659" spans="1:9" x14ac:dyDescent="0.45">
      <c r="A659" t="s">
        <v>1377</v>
      </c>
      <c r="B659" s="2">
        <v>45715</v>
      </c>
      <c r="C659" t="s">
        <v>16</v>
      </c>
      <c r="D659" t="s">
        <v>1378</v>
      </c>
      <c r="E659" t="s">
        <v>38</v>
      </c>
      <c r="F659">
        <v>3</v>
      </c>
      <c r="G659" t="s">
        <v>55</v>
      </c>
      <c r="H659" t="s">
        <v>72</v>
      </c>
      <c r="I659" t="s">
        <v>39</v>
      </c>
    </row>
    <row r="660" spans="1:9" x14ac:dyDescent="0.45">
      <c r="A660" t="s">
        <v>1379</v>
      </c>
      <c r="B660" s="2">
        <v>45853</v>
      </c>
      <c r="C660" t="s">
        <v>52</v>
      </c>
      <c r="D660" t="s">
        <v>1380</v>
      </c>
      <c r="E660" t="s">
        <v>58</v>
      </c>
      <c r="F660">
        <v>5</v>
      </c>
      <c r="G660" t="s">
        <v>35</v>
      </c>
      <c r="H660" t="s">
        <v>25</v>
      </c>
      <c r="I660" t="s">
        <v>60</v>
      </c>
    </row>
    <row r="661" spans="1:9" x14ac:dyDescent="0.45">
      <c r="A661" t="s">
        <v>1381</v>
      </c>
      <c r="B661" s="2">
        <v>45878</v>
      </c>
      <c r="C661" t="s">
        <v>10</v>
      </c>
      <c r="D661" t="s">
        <v>1382</v>
      </c>
      <c r="E661" t="s">
        <v>54</v>
      </c>
      <c r="F661">
        <v>4</v>
      </c>
      <c r="G661" t="s">
        <v>59</v>
      </c>
      <c r="H661" t="s">
        <v>14</v>
      </c>
      <c r="I661" t="s">
        <v>19</v>
      </c>
    </row>
    <row r="662" spans="1:9" x14ac:dyDescent="0.45">
      <c r="A662" t="s">
        <v>1383</v>
      </c>
      <c r="B662" s="2">
        <v>45729</v>
      </c>
      <c r="C662" t="s">
        <v>28</v>
      </c>
      <c r="D662" t="s">
        <v>1384</v>
      </c>
      <c r="E662" t="s">
        <v>58</v>
      </c>
      <c r="F662">
        <v>4</v>
      </c>
      <c r="G662" t="s">
        <v>35</v>
      </c>
      <c r="H662" t="s">
        <v>25</v>
      </c>
      <c r="I662" t="s">
        <v>60</v>
      </c>
    </row>
    <row r="663" spans="1:9" x14ac:dyDescent="0.45">
      <c r="A663" t="s">
        <v>1385</v>
      </c>
      <c r="B663" s="2">
        <v>45770</v>
      </c>
      <c r="C663" t="s">
        <v>16</v>
      </c>
      <c r="D663" t="s">
        <v>1386</v>
      </c>
      <c r="E663" t="s">
        <v>7973</v>
      </c>
      <c r="F663">
        <v>5</v>
      </c>
      <c r="G663" t="s">
        <v>55</v>
      </c>
      <c r="H663" t="s">
        <v>72</v>
      </c>
      <c r="I663" t="s">
        <v>26</v>
      </c>
    </row>
    <row r="664" spans="1:9" x14ac:dyDescent="0.45">
      <c r="A664" t="s">
        <v>1387</v>
      </c>
      <c r="B664" s="2">
        <v>45903</v>
      </c>
      <c r="C664" t="s">
        <v>16</v>
      </c>
      <c r="D664" t="s">
        <v>1388</v>
      </c>
      <c r="E664" t="s">
        <v>30</v>
      </c>
      <c r="F664">
        <v>7</v>
      </c>
      <c r="G664" t="s">
        <v>13</v>
      </c>
      <c r="H664" t="s">
        <v>14</v>
      </c>
      <c r="I664" t="s">
        <v>19</v>
      </c>
    </row>
    <row r="665" spans="1:9" x14ac:dyDescent="0.45">
      <c r="A665" t="s">
        <v>1389</v>
      </c>
      <c r="B665" s="2">
        <v>45687</v>
      </c>
      <c r="C665" t="s">
        <v>66</v>
      </c>
      <c r="D665" t="s">
        <v>1390</v>
      </c>
      <c r="E665" t="s">
        <v>58</v>
      </c>
      <c r="F665">
        <v>6</v>
      </c>
      <c r="G665" t="s">
        <v>24</v>
      </c>
      <c r="H665" t="s">
        <v>25</v>
      </c>
      <c r="I665" t="s">
        <v>60</v>
      </c>
    </row>
    <row r="666" spans="1:9" x14ac:dyDescent="0.45">
      <c r="A666" t="s">
        <v>1391</v>
      </c>
      <c r="B666" s="2">
        <v>45783</v>
      </c>
      <c r="C666" t="s">
        <v>52</v>
      </c>
      <c r="D666" t="s">
        <v>1392</v>
      </c>
      <c r="E666" t="s">
        <v>71</v>
      </c>
      <c r="F666">
        <v>3</v>
      </c>
      <c r="G666" t="s">
        <v>13</v>
      </c>
      <c r="H666" t="s">
        <v>14</v>
      </c>
      <c r="I666" t="s">
        <v>60</v>
      </c>
    </row>
    <row r="667" spans="1:9" x14ac:dyDescent="0.45">
      <c r="A667" t="s">
        <v>1393</v>
      </c>
      <c r="B667" s="2">
        <v>45718</v>
      </c>
      <c r="C667" t="s">
        <v>10</v>
      </c>
      <c r="D667" t="s">
        <v>1394</v>
      </c>
      <c r="E667" t="s">
        <v>23</v>
      </c>
      <c r="F667">
        <v>8</v>
      </c>
      <c r="G667" t="s">
        <v>43</v>
      </c>
      <c r="H667" t="s">
        <v>14</v>
      </c>
      <c r="I667" t="s">
        <v>26</v>
      </c>
    </row>
    <row r="668" spans="1:9" x14ac:dyDescent="0.45">
      <c r="A668" t="s">
        <v>1395</v>
      </c>
      <c r="B668" s="2">
        <v>45781</v>
      </c>
      <c r="C668" t="s">
        <v>52</v>
      </c>
      <c r="D668" t="s">
        <v>1396</v>
      </c>
      <c r="E668" t="s">
        <v>38</v>
      </c>
      <c r="F668">
        <v>5</v>
      </c>
      <c r="G668" t="s">
        <v>13</v>
      </c>
      <c r="H668" t="s">
        <v>14</v>
      </c>
      <c r="I668" t="s">
        <v>19</v>
      </c>
    </row>
    <row r="669" spans="1:9" x14ac:dyDescent="0.45">
      <c r="A669" t="s">
        <v>1397</v>
      </c>
      <c r="B669" s="2">
        <v>45771</v>
      </c>
      <c r="C669" t="s">
        <v>99</v>
      </c>
      <c r="D669" t="s">
        <v>1398</v>
      </c>
      <c r="E669" t="s">
        <v>71</v>
      </c>
      <c r="F669">
        <v>3</v>
      </c>
      <c r="G669" t="s">
        <v>59</v>
      </c>
      <c r="H669" t="s">
        <v>14</v>
      </c>
      <c r="I669" t="s">
        <v>60</v>
      </c>
    </row>
    <row r="670" spans="1:9" x14ac:dyDescent="0.45">
      <c r="A670" t="s">
        <v>1399</v>
      </c>
      <c r="B670" s="2">
        <v>45705</v>
      </c>
      <c r="C670" t="s">
        <v>66</v>
      </c>
      <c r="D670" t="s">
        <v>1400</v>
      </c>
      <c r="E670" t="s">
        <v>38</v>
      </c>
      <c r="F670">
        <v>10</v>
      </c>
      <c r="G670" t="s">
        <v>35</v>
      </c>
      <c r="H670" t="s">
        <v>25</v>
      </c>
      <c r="I670" t="s">
        <v>26</v>
      </c>
    </row>
    <row r="671" spans="1:9" x14ac:dyDescent="0.45">
      <c r="A671" t="s">
        <v>1401</v>
      </c>
      <c r="B671" s="2">
        <v>45752</v>
      </c>
      <c r="C671" t="s">
        <v>16</v>
      </c>
      <c r="D671" t="s">
        <v>1402</v>
      </c>
      <c r="E671" t="s">
        <v>54</v>
      </c>
      <c r="F671">
        <v>2</v>
      </c>
      <c r="G671" t="s">
        <v>59</v>
      </c>
      <c r="H671" t="s">
        <v>14</v>
      </c>
      <c r="I671" t="s">
        <v>39</v>
      </c>
    </row>
    <row r="672" spans="1:9" x14ac:dyDescent="0.45">
      <c r="A672" t="s">
        <v>1403</v>
      </c>
      <c r="B672" s="2">
        <v>45851</v>
      </c>
      <c r="C672" t="s">
        <v>28</v>
      </c>
      <c r="D672" t="s">
        <v>1404</v>
      </c>
      <c r="E672" t="s">
        <v>34</v>
      </c>
      <c r="F672">
        <v>3</v>
      </c>
      <c r="G672" t="s">
        <v>18</v>
      </c>
      <c r="H672" t="s">
        <v>14</v>
      </c>
      <c r="I672" t="s">
        <v>60</v>
      </c>
    </row>
    <row r="673" spans="1:9" x14ac:dyDescent="0.45">
      <c r="A673" t="s">
        <v>1405</v>
      </c>
      <c r="B673" s="2">
        <v>45810</v>
      </c>
      <c r="C673" t="s">
        <v>21</v>
      </c>
      <c r="D673" t="s">
        <v>1406</v>
      </c>
      <c r="E673" t="s">
        <v>75</v>
      </c>
      <c r="F673">
        <v>2</v>
      </c>
      <c r="G673" t="s">
        <v>13</v>
      </c>
      <c r="H673" t="s">
        <v>14</v>
      </c>
      <c r="I673" t="s">
        <v>19</v>
      </c>
    </row>
    <row r="674" spans="1:9" x14ac:dyDescent="0.45">
      <c r="A674" t="s">
        <v>1407</v>
      </c>
      <c r="B674" s="2">
        <v>45899</v>
      </c>
      <c r="C674" t="s">
        <v>28</v>
      </c>
      <c r="D674" t="s">
        <v>1408</v>
      </c>
      <c r="E674" t="s">
        <v>75</v>
      </c>
      <c r="F674">
        <v>4</v>
      </c>
      <c r="G674" t="s">
        <v>55</v>
      </c>
      <c r="H674" t="s">
        <v>72</v>
      </c>
      <c r="I674" t="s">
        <v>60</v>
      </c>
    </row>
    <row r="675" spans="1:9" x14ac:dyDescent="0.45">
      <c r="A675" t="s">
        <v>1409</v>
      </c>
      <c r="B675" s="2">
        <v>45863</v>
      </c>
      <c r="C675" t="s">
        <v>52</v>
      </c>
      <c r="D675" t="s">
        <v>1410</v>
      </c>
      <c r="E675" t="s">
        <v>38</v>
      </c>
      <c r="F675">
        <v>12</v>
      </c>
      <c r="G675" t="s">
        <v>68</v>
      </c>
      <c r="H675" t="s">
        <v>25</v>
      </c>
      <c r="I675" t="s">
        <v>31</v>
      </c>
    </row>
    <row r="676" spans="1:9" x14ac:dyDescent="0.45">
      <c r="A676" t="s">
        <v>1411</v>
      </c>
      <c r="B676" s="2">
        <v>45872</v>
      </c>
      <c r="C676" t="s">
        <v>52</v>
      </c>
      <c r="D676" t="s">
        <v>1412</v>
      </c>
      <c r="E676" t="s">
        <v>46</v>
      </c>
      <c r="F676">
        <v>6</v>
      </c>
      <c r="G676" t="s">
        <v>18</v>
      </c>
      <c r="H676" t="s">
        <v>14</v>
      </c>
      <c r="I676" t="s">
        <v>47</v>
      </c>
    </row>
    <row r="677" spans="1:9" x14ac:dyDescent="0.45">
      <c r="A677" t="s">
        <v>1413</v>
      </c>
      <c r="B677" s="2">
        <v>45740</v>
      </c>
      <c r="C677" t="s">
        <v>66</v>
      </c>
      <c r="D677" t="s">
        <v>1414</v>
      </c>
      <c r="E677" t="s">
        <v>46</v>
      </c>
      <c r="F677">
        <v>5</v>
      </c>
      <c r="G677" t="s">
        <v>13</v>
      </c>
      <c r="H677" t="s">
        <v>14</v>
      </c>
      <c r="I677" t="s">
        <v>19</v>
      </c>
    </row>
    <row r="678" spans="1:9" x14ac:dyDescent="0.45">
      <c r="A678" t="s">
        <v>1415</v>
      </c>
      <c r="B678" s="2">
        <v>45781</v>
      </c>
      <c r="C678" t="s">
        <v>49</v>
      </c>
      <c r="D678" t="s">
        <v>1416</v>
      </c>
      <c r="E678" t="s">
        <v>7967</v>
      </c>
      <c r="F678">
        <v>8</v>
      </c>
      <c r="G678" t="s">
        <v>68</v>
      </c>
      <c r="H678" t="s">
        <v>25</v>
      </c>
      <c r="I678" t="s">
        <v>39</v>
      </c>
    </row>
    <row r="679" spans="1:9" x14ac:dyDescent="0.45">
      <c r="A679" t="s">
        <v>1417</v>
      </c>
      <c r="B679" s="2">
        <v>45678</v>
      </c>
      <c r="C679" t="s">
        <v>21</v>
      </c>
      <c r="D679" t="s">
        <v>1418</v>
      </c>
      <c r="E679" t="s">
        <v>54</v>
      </c>
      <c r="F679">
        <v>7</v>
      </c>
      <c r="G679" t="s">
        <v>35</v>
      </c>
      <c r="H679" t="s">
        <v>25</v>
      </c>
      <c r="I679" t="s">
        <v>47</v>
      </c>
    </row>
    <row r="680" spans="1:9" x14ac:dyDescent="0.45">
      <c r="A680" t="s">
        <v>1419</v>
      </c>
      <c r="B680" s="2">
        <v>45700</v>
      </c>
      <c r="C680" t="s">
        <v>66</v>
      </c>
      <c r="D680" t="s">
        <v>1420</v>
      </c>
      <c r="E680" t="s">
        <v>23</v>
      </c>
      <c r="F680">
        <v>3</v>
      </c>
      <c r="G680" t="s">
        <v>68</v>
      </c>
      <c r="H680" t="s">
        <v>25</v>
      </c>
      <c r="I680" t="s">
        <v>19</v>
      </c>
    </row>
    <row r="681" spans="1:9" x14ac:dyDescent="0.45">
      <c r="A681" t="s">
        <v>1421</v>
      </c>
      <c r="B681" s="2">
        <v>45707</v>
      </c>
      <c r="C681" t="s">
        <v>52</v>
      </c>
      <c r="D681" t="s">
        <v>1422</v>
      </c>
      <c r="E681" t="s">
        <v>34</v>
      </c>
      <c r="F681">
        <v>10</v>
      </c>
      <c r="G681" t="s">
        <v>55</v>
      </c>
      <c r="H681" t="s">
        <v>72</v>
      </c>
      <c r="I681" t="s">
        <v>60</v>
      </c>
    </row>
    <row r="682" spans="1:9" x14ac:dyDescent="0.45">
      <c r="A682" t="s">
        <v>1423</v>
      </c>
      <c r="B682" s="2">
        <v>45898</v>
      </c>
      <c r="C682" t="s">
        <v>52</v>
      </c>
      <c r="D682" t="s">
        <v>1424</v>
      </c>
      <c r="E682" t="s">
        <v>34</v>
      </c>
      <c r="F682">
        <v>2</v>
      </c>
      <c r="G682" t="s">
        <v>18</v>
      </c>
      <c r="H682" t="s">
        <v>14</v>
      </c>
      <c r="I682" t="s">
        <v>19</v>
      </c>
    </row>
    <row r="683" spans="1:9" x14ac:dyDescent="0.45">
      <c r="A683" t="s">
        <v>1425</v>
      </c>
      <c r="B683" s="2">
        <v>45809</v>
      </c>
      <c r="C683" t="s">
        <v>49</v>
      </c>
      <c r="D683" t="s">
        <v>1426</v>
      </c>
      <c r="E683" t="s">
        <v>46</v>
      </c>
      <c r="F683">
        <v>8</v>
      </c>
      <c r="G683" t="s">
        <v>43</v>
      </c>
      <c r="H683" t="s">
        <v>14</v>
      </c>
      <c r="I683" t="s">
        <v>31</v>
      </c>
    </row>
    <row r="684" spans="1:9" x14ac:dyDescent="0.45">
      <c r="A684" t="s">
        <v>1427</v>
      </c>
      <c r="B684" s="2">
        <v>45803</v>
      </c>
      <c r="C684" t="s">
        <v>49</v>
      </c>
      <c r="D684" t="s">
        <v>1428</v>
      </c>
      <c r="E684" t="s">
        <v>71</v>
      </c>
      <c r="F684">
        <v>7</v>
      </c>
      <c r="G684" t="s">
        <v>35</v>
      </c>
      <c r="H684" t="s">
        <v>25</v>
      </c>
      <c r="I684" t="s">
        <v>39</v>
      </c>
    </row>
    <row r="685" spans="1:9" x14ac:dyDescent="0.45">
      <c r="A685" t="s">
        <v>1429</v>
      </c>
      <c r="B685" s="2">
        <v>45862</v>
      </c>
      <c r="C685" t="s">
        <v>16</v>
      </c>
      <c r="D685" t="s">
        <v>1430</v>
      </c>
      <c r="E685" t="s">
        <v>7973</v>
      </c>
      <c r="F685">
        <v>5</v>
      </c>
      <c r="G685" t="s">
        <v>43</v>
      </c>
      <c r="H685" t="s">
        <v>14</v>
      </c>
      <c r="I685" t="s">
        <v>19</v>
      </c>
    </row>
    <row r="686" spans="1:9" x14ac:dyDescent="0.45">
      <c r="A686" t="s">
        <v>1431</v>
      </c>
      <c r="B686" s="2">
        <v>45678</v>
      </c>
      <c r="C686" t="s">
        <v>16</v>
      </c>
      <c r="D686" t="s">
        <v>1432</v>
      </c>
      <c r="E686" t="s">
        <v>71</v>
      </c>
      <c r="F686">
        <v>8</v>
      </c>
      <c r="G686" t="s">
        <v>13</v>
      </c>
      <c r="H686" t="s">
        <v>14</v>
      </c>
      <c r="I686" t="s">
        <v>60</v>
      </c>
    </row>
    <row r="687" spans="1:9" x14ac:dyDescent="0.45">
      <c r="A687" t="s">
        <v>1433</v>
      </c>
      <c r="B687" s="2">
        <v>45761</v>
      </c>
      <c r="C687" t="s">
        <v>49</v>
      </c>
      <c r="D687" t="s">
        <v>1434</v>
      </c>
      <c r="E687" t="s">
        <v>7973</v>
      </c>
      <c r="F687">
        <v>9</v>
      </c>
      <c r="G687" t="s">
        <v>35</v>
      </c>
      <c r="H687" t="s">
        <v>25</v>
      </c>
      <c r="I687" t="s">
        <v>60</v>
      </c>
    </row>
    <row r="688" spans="1:9" x14ac:dyDescent="0.45">
      <c r="A688" t="s">
        <v>1435</v>
      </c>
      <c r="B688" s="2">
        <v>45741</v>
      </c>
      <c r="C688" t="s">
        <v>10</v>
      </c>
      <c r="D688" t="s">
        <v>1436</v>
      </c>
      <c r="E688" t="s">
        <v>7974</v>
      </c>
      <c r="F688">
        <v>4</v>
      </c>
      <c r="G688" t="s">
        <v>24</v>
      </c>
      <c r="H688" t="s">
        <v>25</v>
      </c>
      <c r="I688" t="s">
        <v>19</v>
      </c>
    </row>
    <row r="689" spans="1:9" x14ac:dyDescent="0.45">
      <c r="A689" t="s">
        <v>1437</v>
      </c>
      <c r="B689" s="2">
        <v>45820</v>
      </c>
      <c r="C689" t="s">
        <v>28</v>
      </c>
      <c r="D689" t="s">
        <v>1438</v>
      </c>
      <c r="E689" t="s">
        <v>42</v>
      </c>
      <c r="F689">
        <v>3</v>
      </c>
      <c r="G689" t="s">
        <v>55</v>
      </c>
      <c r="H689" t="s">
        <v>72</v>
      </c>
      <c r="I689" t="s">
        <v>47</v>
      </c>
    </row>
    <row r="690" spans="1:9" x14ac:dyDescent="0.45">
      <c r="A690" t="s">
        <v>1439</v>
      </c>
      <c r="B690" s="2">
        <v>45772</v>
      </c>
      <c r="C690" t="s">
        <v>16</v>
      </c>
      <c r="D690" t="s">
        <v>1440</v>
      </c>
      <c r="E690" t="s">
        <v>23</v>
      </c>
      <c r="F690">
        <v>8</v>
      </c>
      <c r="G690" t="s">
        <v>24</v>
      </c>
      <c r="H690" t="s">
        <v>25</v>
      </c>
      <c r="I690" t="s">
        <v>39</v>
      </c>
    </row>
    <row r="691" spans="1:9" x14ac:dyDescent="0.45">
      <c r="A691" t="s">
        <v>1441</v>
      </c>
      <c r="B691" s="2">
        <v>45695</v>
      </c>
      <c r="C691" t="s">
        <v>21</v>
      </c>
      <c r="D691" t="s">
        <v>1442</v>
      </c>
      <c r="E691" t="s">
        <v>23</v>
      </c>
      <c r="F691">
        <v>3</v>
      </c>
      <c r="G691" t="s">
        <v>7967</v>
      </c>
      <c r="H691" t="s">
        <v>14</v>
      </c>
      <c r="I691" t="s">
        <v>60</v>
      </c>
    </row>
    <row r="692" spans="1:9" x14ac:dyDescent="0.45">
      <c r="A692" t="s">
        <v>1443</v>
      </c>
      <c r="B692" s="2">
        <v>45680</v>
      </c>
      <c r="C692" t="s">
        <v>10</v>
      </c>
      <c r="D692" t="s">
        <v>1444</v>
      </c>
      <c r="E692" t="s">
        <v>23</v>
      </c>
      <c r="F692">
        <v>7</v>
      </c>
      <c r="G692" t="s">
        <v>43</v>
      </c>
      <c r="H692" t="s">
        <v>14</v>
      </c>
      <c r="I692" t="s">
        <v>39</v>
      </c>
    </row>
    <row r="693" spans="1:9" x14ac:dyDescent="0.45">
      <c r="A693" t="s">
        <v>1445</v>
      </c>
      <c r="B693" s="2">
        <v>45725</v>
      </c>
      <c r="C693" t="s">
        <v>10</v>
      </c>
      <c r="D693" t="s">
        <v>1446</v>
      </c>
      <c r="E693" t="s">
        <v>58</v>
      </c>
      <c r="F693">
        <v>4</v>
      </c>
      <c r="G693" t="s">
        <v>13</v>
      </c>
      <c r="H693" t="s">
        <v>14</v>
      </c>
      <c r="I693" t="s">
        <v>31</v>
      </c>
    </row>
    <row r="694" spans="1:9" x14ac:dyDescent="0.45">
      <c r="A694" t="s">
        <v>1447</v>
      </c>
      <c r="B694" s="2">
        <v>45867</v>
      </c>
      <c r="C694" t="s">
        <v>66</v>
      </c>
      <c r="D694" t="s">
        <v>1448</v>
      </c>
      <c r="E694" t="s">
        <v>34</v>
      </c>
      <c r="F694">
        <v>12</v>
      </c>
      <c r="G694" t="s">
        <v>24</v>
      </c>
      <c r="H694" t="s">
        <v>25</v>
      </c>
      <c r="I694" t="s">
        <v>47</v>
      </c>
    </row>
    <row r="695" spans="1:9" x14ac:dyDescent="0.45">
      <c r="A695" t="s">
        <v>1449</v>
      </c>
      <c r="B695" s="2">
        <v>45664</v>
      </c>
      <c r="C695" t="s">
        <v>16</v>
      </c>
      <c r="D695" t="s">
        <v>1450</v>
      </c>
      <c r="E695" t="s">
        <v>7974</v>
      </c>
      <c r="F695">
        <v>4</v>
      </c>
      <c r="G695" t="s">
        <v>43</v>
      </c>
      <c r="H695" t="s">
        <v>14</v>
      </c>
      <c r="I695" t="s">
        <v>26</v>
      </c>
    </row>
    <row r="696" spans="1:9" x14ac:dyDescent="0.45">
      <c r="A696" t="s">
        <v>1451</v>
      </c>
      <c r="B696" s="2">
        <v>45737</v>
      </c>
      <c r="C696" t="s">
        <v>49</v>
      </c>
      <c r="D696" t="s">
        <v>1452</v>
      </c>
      <c r="E696" t="s">
        <v>7973</v>
      </c>
      <c r="F696">
        <v>6</v>
      </c>
      <c r="G696" t="s">
        <v>18</v>
      </c>
      <c r="H696" t="s">
        <v>14</v>
      </c>
      <c r="I696" t="s">
        <v>26</v>
      </c>
    </row>
    <row r="697" spans="1:9" x14ac:dyDescent="0.45">
      <c r="A697" t="s">
        <v>1453</v>
      </c>
      <c r="B697" s="2">
        <v>45819</v>
      </c>
      <c r="C697" t="s">
        <v>28</v>
      </c>
      <c r="D697" t="s">
        <v>1454</v>
      </c>
      <c r="E697" t="s">
        <v>42</v>
      </c>
      <c r="F697">
        <v>3</v>
      </c>
      <c r="G697" t="s">
        <v>43</v>
      </c>
      <c r="H697" t="s">
        <v>14</v>
      </c>
      <c r="I697" t="s">
        <v>19</v>
      </c>
    </row>
    <row r="698" spans="1:9" x14ac:dyDescent="0.45">
      <c r="A698" t="s">
        <v>1455</v>
      </c>
      <c r="B698" s="2">
        <v>45878</v>
      </c>
      <c r="C698" t="s">
        <v>99</v>
      </c>
      <c r="D698" t="s">
        <v>1456</v>
      </c>
      <c r="E698" t="s">
        <v>42</v>
      </c>
      <c r="F698">
        <v>2</v>
      </c>
      <c r="G698" t="s">
        <v>35</v>
      </c>
      <c r="H698" t="s">
        <v>25</v>
      </c>
      <c r="I698" t="s">
        <v>39</v>
      </c>
    </row>
    <row r="699" spans="1:9" x14ac:dyDescent="0.45">
      <c r="A699" t="s">
        <v>1457</v>
      </c>
      <c r="B699" s="2">
        <v>45824</v>
      </c>
      <c r="C699" t="s">
        <v>52</v>
      </c>
      <c r="D699" t="s">
        <v>1458</v>
      </c>
      <c r="E699" t="s">
        <v>58</v>
      </c>
      <c r="F699">
        <v>12</v>
      </c>
      <c r="G699" t="s">
        <v>43</v>
      </c>
      <c r="H699" t="s">
        <v>14</v>
      </c>
      <c r="I699" t="s">
        <v>26</v>
      </c>
    </row>
    <row r="700" spans="1:9" x14ac:dyDescent="0.45">
      <c r="A700" t="s">
        <v>1459</v>
      </c>
      <c r="B700" s="2">
        <v>45705</v>
      </c>
      <c r="C700" t="s">
        <v>16</v>
      </c>
      <c r="D700" t="s">
        <v>1460</v>
      </c>
      <c r="E700" t="s">
        <v>7974</v>
      </c>
      <c r="F700">
        <v>12</v>
      </c>
      <c r="G700" t="s">
        <v>35</v>
      </c>
      <c r="H700" t="s">
        <v>25</v>
      </c>
      <c r="I700" t="s">
        <v>47</v>
      </c>
    </row>
    <row r="701" spans="1:9" x14ac:dyDescent="0.45">
      <c r="A701" t="s">
        <v>1461</v>
      </c>
      <c r="B701" s="2">
        <v>45878</v>
      </c>
      <c r="C701" t="s">
        <v>52</v>
      </c>
      <c r="D701" t="s">
        <v>1462</v>
      </c>
      <c r="E701" t="s">
        <v>58</v>
      </c>
      <c r="F701">
        <v>1</v>
      </c>
      <c r="G701" t="s">
        <v>24</v>
      </c>
      <c r="H701" t="s">
        <v>25</v>
      </c>
      <c r="I701" t="s">
        <v>31</v>
      </c>
    </row>
    <row r="702" spans="1:9" x14ac:dyDescent="0.45">
      <c r="A702" t="s">
        <v>1463</v>
      </c>
      <c r="B702" s="2">
        <v>45787</v>
      </c>
      <c r="C702" t="s">
        <v>66</v>
      </c>
      <c r="D702" t="s">
        <v>1464</v>
      </c>
      <c r="E702" t="s">
        <v>23</v>
      </c>
      <c r="F702">
        <v>6</v>
      </c>
      <c r="G702" t="s">
        <v>55</v>
      </c>
      <c r="H702" t="s">
        <v>72</v>
      </c>
      <c r="I702" t="s">
        <v>60</v>
      </c>
    </row>
    <row r="703" spans="1:9" x14ac:dyDescent="0.45">
      <c r="A703" t="s">
        <v>1465</v>
      </c>
      <c r="B703" s="2">
        <v>45701</v>
      </c>
      <c r="C703" t="s">
        <v>28</v>
      </c>
      <c r="D703" t="s">
        <v>1466</v>
      </c>
      <c r="E703" t="s">
        <v>23</v>
      </c>
      <c r="F703">
        <v>2</v>
      </c>
      <c r="G703" t="s">
        <v>24</v>
      </c>
      <c r="H703" t="s">
        <v>25</v>
      </c>
      <c r="I703" t="s">
        <v>31</v>
      </c>
    </row>
    <row r="704" spans="1:9" x14ac:dyDescent="0.45">
      <c r="A704" t="s">
        <v>1467</v>
      </c>
      <c r="B704" s="2">
        <v>45888</v>
      </c>
      <c r="C704" t="s">
        <v>28</v>
      </c>
      <c r="D704" t="s">
        <v>1468</v>
      </c>
      <c r="E704" t="s">
        <v>38</v>
      </c>
      <c r="F704">
        <v>2</v>
      </c>
      <c r="G704" t="s">
        <v>35</v>
      </c>
      <c r="H704" t="s">
        <v>25</v>
      </c>
      <c r="I704" t="s">
        <v>26</v>
      </c>
    </row>
    <row r="705" spans="1:9" x14ac:dyDescent="0.45">
      <c r="A705" t="s">
        <v>1469</v>
      </c>
      <c r="B705" s="2">
        <v>45827</v>
      </c>
      <c r="C705" t="s">
        <v>10</v>
      </c>
      <c r="D705" t="s">
        <v>1470</v>
      </c>
      <c r="E705" t="s">
        <v>23</v>
      </c>
      <c r="F705">
        <v>7</v>
      </c>
      <c r="G705" t="s">
        <v>24</v>
      </c>
      <c r="H705" t="s">
        <v>25</v>
      </c>
      <c r="I705" t="s">
        <v>39</v>
      </c>
    </row>
    <row r="706" spans="1:9" x14ac:dyDescent="0.45">
      <c r="A706" t="s">
        <v>1471</v>
      </c>
      <c r="B706" s="2">
        <v>45794</v>
      </c>
      <c r="C706" t="s">
        <v>16</v>
      </c>
      <c r="D706" t="s">
        <v>1472</v>
      </c>
      <c r="E706" t="s">
        <v>75</v>
      </c>
      <c r="F706">
        <v>8</v>
      </c>
      <c r="G706" t="s">
        <v>24</v>
      </c>
      <c r="H706" t="s">
        <v>25</v>
      </c>
      <c r="I706" t="s">
        <v>39</v>
      </c>
    </row>
    <row r="707" spans="1:9" x14ac:dyDescent="0.45">
      <c r="A707" t="s">
        <v>1473</v>
      </c>
      <c r="B707" s="2">
        <v>45775</v>
      </c>
      <c r="C707" t="s">
        <v>99</v>
      </c>
      <c r="D707" t="s">
        <v>1474</v>
      </c>
      <c r="E707" t="s">
        <v>46</v>
      </c>
      <c r="F707">
        <v>4</v>
      </c>
      <c r="G707" t="s">
        <v>59</v>
      </c>
      <c r="H707" t="s">
        <v>14</v>
      </c>
      <c r="I707" t="s">
        <v>19</v>
      </c>
    </row>
    <row r="708" spans="1:9" x14ac:dyDescent="0.45">
      <c r="A708" t="s">
        <v>1475</v>
      </c>
      <c r="B708" s="2">
        <v>45837</v>
      </c>
      <c r="C708" t="s">
        <v>52</v>
      </c>
      <c r="D708" t="s">
        <v>1476</v>
      </c>
      <c r="E708" t="s">
        <v>7974</v>
      </c>
      <c r="F708">
        <v>1</v>
      </c>
      <c r="G708" t="s">
        <v>68</v>
      </c>
      <c r="H708" t="s">
        <v>25</v>
      </c>
      <c r="I708" t="s">
        <v>19</v>
      </c>
    </row>
    <row r="709" spans="1:9" x14ac:dyDescent="0.45">
      <c r="A709" t="s">
        <v>1477</v>
      </c>
      <c r="B709" s="2">
        <v>45900</v>
      </c>
      <c r="C709" t="s">
        <v>66</v>
      </c>
      <c r="D709" t="s">
        <v>1478</v>
      </c>
      <c r="E709" t="s">
        <v>71</v>
      </c>
      <c r="F709">
        <v>7</v>
      </c>
      <c r="G709" t="s">
        <v>24</v>
      </c>
      <c r="H709" t="s">
        <v>25</v>
      </c>
      <c r="I709" t="s">
        <v>60</v>
      </c>
    </row>
    <row r="710" spans="1:9" x14ac:dyDescent="0.45">
      <c r="A710" t="s">
        <v>1479</v>
      </c>
      <c r="B710" s="2">
        <v>45798</v>
      </c>
      <c r="C710" t="s">
        <v>10</v>
      </c>
      <c r="D710" t="s">
        <v>1480</v>
      </c>
      <c r="E710" t="s">
        <v>34</v>
      </c>
      <c r="F710">
        <v>4</v>
      </c>
      <c r="G710" t="s">
        <v>24</v>
      </c>
      <c r="H710" t="s">
        <v>25</v>
      </c>
      <c r="I710" t="s">
        <v>39</v>
      </c>
    </row>
    <row r="711" spans="1:9" x14ac:dyDescent="0.45">
      <c r="A711" t="s">
        <v>1481</v>
      </c>
      <c r="B711" s="2">
        <v>45727</v>
      </c>
      <c r="C711" t="s">
        <v>28</v>
      </c>
      <c r="D711" t="s">
        <v>1482</v>
      </c>
      <c r="E711" t="s">
        <v>54</v>
      </c>
      <c r="F711">
        <v>7</v>
      </c>
      <c r="G711" t="s">
        <v>59</v>
      </c>
      <c r="H711" t="s">
        <v>14</v>
      </c>
      <c r="I711" t="s">
        <v>39</v>
      </c>
    </row>
    <row r="712" spans="1:9" x14ac:dyDescent="0.45">
      <c r="A712" t="s">
        <v>1483</v>
      </c>
      <c r="B712" s="2">
        <v>45840</v>
      </c>
      <c r="C712" t="s">
        <v>52</v>
      </c>
      <c r="D712" t="s">
        <v>1484</v>
      </c>
      <c r="E712" t="s">
        <v>42</v>
      </c>
      <c r="F712">
        <v>3</v>
      </c>
      <c r="G712" t="s">
        <v>35</v>
      </c>
      <c r="H712" t="s">
        <v>25</v>
      </c>
      <c r="I712" t="s">
        <v>47</v>
      </c>
    </row>
    <row r="713" spans="1:9" x14ac:dyDescent="0.45">
      <c r="A713" t="s">
        <v>1485</v>
      </c>
      <c r="B713" s="2">
        <v>45663</v>
      </c>
      <c r="C713" t="s">
        <v>49</v>
      </c>
      <c r="D713" t="s">
        <v>1486</v>
      </c>
      <c r="E713" t="s">
        <v>30</v>
      </c>
      <c r="F713">
        <v>6</v>
      </c>
      <c r="G713" t="s">
        <v>35</v>
      </c>
      <c r="H713" t="s">
        <v>25</v>
      </c>
      <c r="I713" t="s">
        <v>47</v>
      </c>
    </row>
    <row r="714" spans="1:9" x14ac:dyDescent="0.45">
      <c r="A714" t="s">
        <v>1487</v>
      </c>
      <c r="B714" s="2">
        <v>45707</v>
      </c>
      <c r="C714" t="s">
        <v>16</v>
      </c>
      <c r="D714" t="s">
        <v>1488</v>
      </c>
      <c r="E714" t="s">
        <v>75</v>
      </c>
      <c r="F714">
        <v>1</v>
      </c>
      <c r="G714" t="s">
        <v>68</v>
      </c>
      <c r="H714" t="s">
        <v>25</v>
      </c>
      <c r="I714" t="s">
        <v>39</v>
      </c>
    </row>
    <row r="715" spans="1:9" x14ac:dyDescent="0.45">
      <c r="A715" t="s">
        <v>1489</v>
      </c>
      <c r="B715" s="2">
        <v>45730</v>
      </c>
      <c r="C715" t="s">
        <v>28</v>
      </c>
      <c r="D715" t="s">
        <v>1490</v>
      </c>
      <c r="E715" t="s">
        <v>54</v>
      </c>
      <c r="F715">
        <v>11</v>
      </c>
      <c r="G715" t="s">
        <v>68</v>
      </c>
      <c r="H715" t="s">
        <v>25</v>
      </c>
      <c r="I715" t="s">
        <v>31</v>
      </c>
    </row>
    <row r="716" spans="1:9" x14ac:dyDescent="0.45">
      <c r="A716" t="s">
        <v>1491</v>
      </c>
      <c r="B716" s="2">
        <v>45727</v>
      </c>
      <c r="C716" t="s">
        <v>66</v>
      </c>
      <c r="D716" t="s">
        <v>1492</v>
      </c>
      <c r="E716" t="s">
        <v>34</v>
      </c>
      <c r="F716">
        <v>11</v>
      </c>
      <c r="G716" t="s">
        <v>7967</v>
      </c>
      <c r="H716" t="s">
        <v>14</v>
      </c>
      <c r="I716" t="s">
        <v>47</v>
      </c>
    </row>
    <row r="717" spans="1:9" x14ac:dyDescent="0.45">
      <c r="A717" t="s">
        <v>1493</v>
      </c>
      <c r="B717" s="2">
        <v>45776</v>
      </c>
      <c r="C717" t="s">
        <v>52</v>
      </c>
      <c r="D717" t="s">
        <v>1494</v>
      </c>
      <c r="E717" t="s">
        <v>42</v>
      </c>
      <c r="F717">
        <v>5</v>
      </c>
      <c r="G717" t="s">
        <v>55</v>
      </c>
      <c r="H717" t="s">
        <v>72</v>
      </c>
      <c r="I717" t="s">
        <v>31</v>
      </c>
    </row>
    <row r="718" spans="1:9" x14ac:dyDescent="0.45">
      <c r="A718" t="s">
        <v>1496</v>
      </c>
      <c r="B718" s="2">
        <v>45866</v>
      </c>
      <c r="C718" t="s">
        <v>99</v>
      </c>
      <c r="D718" t="s">
        <v>1497</v>
      </c>
      <c r="E718" t="s">
        <v>58</v>
      </c>
      <c r="F718">
        <v>10</v>
      </c>
      <c r="G718" t="s">
        <v>24</v>
      </c>
      <c r="H718" t="s">
        <v>25</v>
      </c>
      <c r="I718" t="s">
        <v>26</v>
      </c>
    </row>
    <row r="719" spans="1:9" x14ac:dyDescent="0.45">
      <c r="A719" t="s">
        <v>1498</v>
      </c>
      <c r="B719" s="2">
        <v>45663</v>
      </c>
      <c r="C719" t="s">
        <v>99</v>
      </c>
      <c r="D719" t="s">
        <v>1499</v>
      </c>
      <c r="E719" t="s">
        <v>30</v>
      </c>
      <c r="F719">
        <v>10</v>
      </c>
      <c r="G719" t="s">
        <v>68</v>
      </c>
      <c r="H719" t="s">
        <v>25</v>
      </c>
      <c r="I719" t="s">
        <v>26</v>
      </c>
    </row>
    <row r="720" spans="1:9" x14ac:dyDescent="0.45">
      <c r="A720" t="s">
        <v>1500</v>
      </c>
      <c r="B720" s="2">
        <v>45670</v>
      </c>
      <c r="C720" t="s">
        <v>49</v>
      </c>
      <c r="D720" t="s">
        <v>1501</v>
      </c>
      <c r="E720" t="s">
        <v>7974</v>
      </c>
      <c r="F720">
        <v>4</v>
      </c>
      <c r="G720" t="s">
        <v>35</v>
      </c>
      <c r="H720" t="s">
        <v>25</v>
      </c>
      <c r="I720" t="s">
        <v>39</v>
      </c>
    </row>
    <row r="721" spans="1:9" x14ac:dyDescent="0.45">
      <c r="A721" t="s">
        <v>1502</v>
      </c>
      <c r="B721" s="2">
        <v>45789</v>
      </c>
      <c r="C721" t="s">
        <v>52</v>
      </c>
      <c r="D721" t="s">
        <v>1503</v>
      </c>
      <c r="E721" t="s">
        <v>7974</v>
      </c>
      <c r="F721">
        <v>6</v>
      </c>
      <c r="G721" t="s">
        <v>35</v>
      </c>
      <c r="H721" t="s">
        <v>25</v>
      </c>
      <c r="I721" t="s">
        <v>39</v>
      </c>
    </row>
    <row r="722" spans="1:9" x14ac:dyDescent="0.45">
      <c r="A722" t="s">
        <v>1504</v>
      </c>
      <c r="B722" s="2">
        <v>45659</v>
      </c>
      <c r="C722" t="s">
        <v>99</v>
      </c>
      <c r="D722" t="s">
        <v>1505</v>
      </c>
      <c r="E722" t="s">
        <v>30</v>
      </c>
      <c r="F722">
        <v>5</v>
      </c>
      <c r="G722" t="s">
        <v>24</v>
      </c>
      <c r="H722" t="s">
        <v>25</v>
      </c>
      <c r="I722" t="s">
        <v>26</v>
      </c>
    </row>
    <row r="723" spans="1:9" x14ac:dyDescent="0.45">
      <c r="A723" t="s">
        <v>1506</v>
      </c>
      <c r="B723" s="2">
        <v>45846</v>
      </c>
      <c r="C723" t="s">
        <v>28</v>
      </c>
      <c r="D723" t="s">
        <v>1507</v>
      </c>
      <c r="E723" t="s">
        <v>30</v>
      </c>
      <c r="F723">
        <v>7</v>
      </c>
      <c r="G723" t="s">
        <v>24</v>
      </c>
      <c r="H723" t="s">
        <v>25</v>
      </c>
      <c r="I723" t="s">
        <v>31</v>
      </c>
    </row>
    <row r="724" spans="1:9" x14ac:dyDescent="0.45">
      <c r="A724" t="s">
        <v>1508</v>
      </c>
      <c r="B724" s="2">
        <v>45830</v>
      </c>
      <c r="C724" t="s">
        <v>49</v>
      </c>
      <c r="D724" t="s">
        <v>1509</v>
      </c>
      <c r="E724" t="s">
        <v>58</v>
      </c>
      <c r="F724">
        <v>7</v>
      </c>
      <c r="G724" t="s">
        <v>24</v>
      </c>
      <c r="H724" t="s">
        <v>25</v>
      </c>
      <c r="I724" t="s">
        <v>31</v>
      </c>
    </row>
    <row r="725" spans="1:9" x14ac:dyDescent="0.45">
      <c r="A725" t="s">
        <v>1510</v>
      </c>
      <c r="B725" s="2">
        <v>45712</v>
      </c>
      <c r="C725" t="s">
        <v>16</v>
      </c>
      <c r="D725" t="s">
        <v>1511</v>
      </c>
      <c r="E725" t="s">
        <v>38</v>
      </c>
      <c r="F725">
        <v>1</v>
      </c>
      <c r="G725" t="s">
        <v>13</v>
      </c>
      <c r="H725" t="s">
        <v>14</v>
      </c>
      <c r="I725" t="s">
        <v>60</v>
      </c>
    </row>
    <row r="726" spans="1:9" x14ac:dyDescent="0.45">
      <c r="A726" t="s">
        <v>1512</v>
      </c>
      <c r="B726" s="2">
        <v>45689</v>
      </c>
      <c r="C726" t="s">
        <v>16</v>
      </c>
      <c r="D726" t="s">
        <v>1513</v>
      </c>
      <c r="E726" t="s">
        <v>54</v>
      </c>
      <c r="F726">
        <v>6</v>
      </c>
      <c r="G726" t="s">
        <v>55</v>
      </c>
      <c r="H726" t="s">
        <v>72</v>
      </c>
      <c r="I726" t="s">
        <v>31</v>
      </c>
    </row>
    <row r="727" spans="1:9" x14ac:dyDescent="0.45">
      <c r="A727" t="s">
        <v>1514</v>
      </c>
      <c r="B727" s="2">
        <v>45781</v>
      </c>
      <c r="C727" t="s">
        <v>28</v>
      </c>
      <c r="D727" t="s">
        <v>1515</v>
      </c>
      <c r="E727" t="s">
        <v>58</v>
      </c>
      <c r="F727">
        <v>11</v>
      </c>
      <c r="G727" t="s">
        <v>35</v>
      </c>
      <c r="H727" t="s">
        <v>25</v>
      </c>
      <c r="I727" t="s">
        <v>19</v>
      </c>
    </row>
    <row r="728" spans="1:9" x14ac:dyDescent="0.45">
      <c r="A728" t="s">
        <v>1516</v>
      </c>
      <c r="B728" s="2">
        <v>45778</v>
      </c>
      <c r="C728" t="s">
        <v>66</v>
      </c>
      <c r="D728" t="s">
        <v>1517</v>
      </c>
      <c r="E728" t="s">
        <v>54</v>
      </c>
      <c r="F728">
        <v>10</v>
      </c>
      <c r="G728" t="s">
        <v>68</v>
      </c>
      <c r="H728" t="s">
        <v>25</v>
      </c>
      <c r="I728" t="s">
        <v>60</v>
      </c>
    </row>
    <row r="729" spans="1:9" x14ac:dyDescent="0.45">
      <c r="A729" t="s">
        <v>1518</v>
      </c>
      <c r="B729" s="2">
        <v>45785</v>
      </c>
      <c r="C729" t="s">
        <v>16</v>
      </c>
      <c r="D729" t="s">
        <v>1519</v>
      </c>
      <c r="E729" t="s">
        <v>7974</v>
      </c>
      <c r="F729">
        <v>6</v>
      </c>
      <c r="G729" t="s">
        <v>68</v>
      </c>
      <c r="H729" t="s">
        <v>25</v>
      </c>
      <c r="I729" t="s">
        <v>26</v>
      </c>
    </row>
    <row r="730" spans="1:9" x14ac:dyDescent="0.45">
      <c r="A730" t="s">
        <v>1520</v>
      </c>
      <c r="B730" s="2">
        <v>45765</v>
      </c>
      <c r="C730" t="s">
        <v>66</v>
      </c>
      <c r="D730" t="s">
        <v>1521</v>
      </c>
      <c r="E730" t="s">
        <v>7973</v>
      </c>
      <c r="F730">
        <v>9</v>
      </c>
      <c r="G730" t="s">
        <v>24</v>
      </c>
      <c r="H730" t="s">
        <v>25</v>
      </c>
      <c r="I730" t="s">
        <v>31</v>
      </c>
    </row>
    <row r="731" spans="1:9" x14ac:dyDescent="0.45">
      <c r="A731" t="s">
        <v>1522</v>
      </c>
      <c r="B731" s="2">
        <v>45680</v>
      </c>
      <c r="C731" t="s">
        <v>16</v>
      </c>
      <c r="D731" t="s">
        <v>1523</v>
      </c>
      <c r="E731" t="s">
        <v>38</v>
      </c>
      <c r="F731">
        <v>4</v>
      </c>
      <c r="G731" t="s">
        <v>59</v>
      </c>
      <c r="H731" t="s">
        <v>14</v>
      </c>
      <c r="I731" t="s">
        <v>26</v>
      </c>
    </row>
    <row r="732" spans="1:9" x14ac:dyDescent="0.45">
      <c r="A732" t="s">
        <v>1524</v>
      </c>
      <c r="B732" s="2">
        <v>45849</v>
      </c>
      <c r="C732" t="s">
        <v>49</v>
      </c>
      <c r="D732" t="s">
        <v>1525</v>
      </c>
      <c r="E732" t="s">
        <v>46</v>
      </c>
      <c r="F732">
        <v>11</v>
      </c>
      <c r="G732" t="s">
        <v>13</v>
      </c>
      <c r="H732" t="s">
        <v>14</v>
      </c>
      <c r="I732" t="s">
        <v>47</v>
      </c>
    </row>
    <row r="733" spans="1:9" x14ac:dyDescent="0.45">
      <c r="A733" t="s">
        <v>1526</v>
      </c>
      <c r="B733" s="2">
        <v>45818</v>
      </c>
      <c r="C733" t="s">
        <v>66</v>
      </c>
      <c r="D733" t="s">
        <v>1527</v>
      </c>
      <c r="E733" t="s">
        <v>75</v>
      </c>
      <c r="F733">
        <v>10</v>
      </c>
      <c r="G733" t="s">
        <v>24</v>
      </c>
      <c r="H733" t="s">
        <v>25</v>
      </c>
      <c r="I733" t="s">
        <v>31</v>
      </c>
    </row>
    <row r="734" spans="1:9" x14ac:dyDescent="0.45">
      <c r="A734" t="s">
        <v>1528</v>
      </c>
      <c r="B734" s="2">
        <v>45787</v>
      </c>
      <c r="C734" t="s">
        <v>21</v>
      </c>
      <c r="D734" t="s">
        <v>1529</v>
      </c>
      <c r="E734" t="s">
        <v>30</v>
      </c>
      <c r="F734">
        <v>5</v>
      </c>
      <c r="G734" t="s">
        <v>18</v>
      </c>
      <c r="H734" t="s">
        <v>14</v>
      </c>
      <c r="I734" t="s">
        <v>60</v>
      </c>
    </row>
    <row r="735" spans="1:9" x14ac:dyDescent="0.45">
      <c r="A735" t="s">
        <v>1530</v>
      </c>
      <c r="B735" s="2">
        <v>45883</v>
      </c>
      <c r="C735" t="s">
        <v>16</v>
      </c>
      <c r="D735" t="s">
        <v>1531</v>
      </c>
      <c r="E735" t="s">
        <v>30</v>
      </c>
      <c r="F735">
        <v>7</v>
      </c>
      <c r="G735" t="s">
        <v>18</v>
      </c>
      <c r="H735" t="s">
        <v>14</v>
      </c>
      <c r="I735" t="s">
        <v>39</v>
      </c>
    </row>
    <row r="736" spans="1:9" x14ac:dyDescent="0.45">
      <c r="A736" t="s">
        <v>1532</v>
      </c>
      <c r="B736" s="2">
        <v>45766</v>
      </c>
      <c r="C736" t="s">
        <v>49</v>
      </c>
      <c r="D736" t="s">
        <v>1533</v>
      </c>
      <c r="E736" t="s">
        <v>34</v>
      </c>
      <c r="F736">
        <v>3</v>
      </c>
      <c r="G736" t="s">
        <v>43</v>
      </c>
      <c r="H736" t="s">
        <v>14</v>
      </c>
      <c r="I736" t="s">
        <v>60</v>
      </c>
    </row>
    <row r="737" spans="1:9" x14ac:dyDescent="0.45">
      <c r="A737" t="s">
        <v>1534</v>
      </c>
      <c r="B737" s="2">
        <v>45795</v>
      </c>
      <c r="C737" t="s">
        <v>10</v>
      </c>
      <c r="D737" t="s">
        <v>1535</v>
      </c>
      <c r="E737" t="s">
        <v>38</v>
      </c>
      <c r="F737">
        <v>5</v>
      </c>
      <c r="G737" t="s">
        <v>24</v>
      </c>
      <c r="H737" t="s">
        <v>25</v>
      </c>
      <c r="I737" t="s">
        <v>31</v>
      </c>
    </row>
    <row r="738" spans="1:9" x14ac:dyDescent="0.45">
      <c r="A738" t="s">
        <v>1536</v>
      </c>
      <c r="B738" s="2">
        <v>45850</v>
      </c>
      <c r="C738" t="s">
        <v>52</v>
      </c>
      <c r="D738" t="s">
        <v>1537</v>
      </c>
      <c r="E738" t="s">
        <v>23</v>
      </c>
      <c r="F738">
        <v>7</v>
      </c>
      <c r="G738" t="s">
        <v>43</v>
      </c>
      <c r="H738" t="s">
        <v>14</v>
      </c>
      <c r="I738" t="s">
        <v>19</v>
      </c>
    </row>
    <row r="739" spans="1:9" x14ac:dyDescent="0.45">
      <c r="A739" t="s">
        <v>1538</v>
      </c>
      <c r="B739" s="2">
        <v>45659</v>
      </c>
      <c r="C739" t="s">
        <v>66</v>
      </c>
      <c r="D739" t="s">
        <v>1539</v>
      </c>
      <c r="E739" t="s">
        <v>75</v>
      </c>
      <c r="F739">
        <v>5</v>
      </c>
      <c r="G739" t="s">
        <v>18</v>
      </c>
      <c r="H739" t="s">
        <v>14</v>
      </c>
      <c r="I739" t="s">
        <v>39</v>
      </c>
    </row>
    <row r="740" spans="1:9" x14ac:dyDescent="0.45">
      <c r="A740" t="s">
        <v>1540</v>
      </c>
      <c r="B740" s="2">
        <v>45765</v>
      </c>
      <c r="C740" t="s">
        <v>10</v>
      </c>
      <c r="D740" t="s">
        <v>1541</v>
      </c>
      <c r="E740" t="s">
        <v>54</v>
      </c>
      <c r="F740">
        <v>5</v>
      </c>
      <c r="G740" t="s">
        <v>13</v>
      </c>
      <c r="H740" t="s">
        <v>14</v>
      </c>
      <c r="I740" t="s">
        <v>60</v>
      </c>
    </row>
    <row r="741" spans="1:9" x14ac:dyDescent="0.45">
      <c r="A741" t="s">
        <v>1542</v>
      </c>
      <c r="B741" s="2">
        <v>45768</v>
      </c>
      <c r="C741" t="s">
        <v>99</v>
      </c>
      <c r="D741" t="s">
        <v>1543</v>
      </c>
      <c r="E741" t="s">
        <v>71</v>
      </c>
      <c r="F741">
        <v>2</v>
      </c>
      <c r="G741" t="s">
        <v>43</v>
      </c>
      <c r="H741" t="s">
        <v>14</v>
      </c>
      <c r="I741" t="s">
        <v>39</v>
      </c>
    </row>
    <row r="742" spans="1:9" x14ac:dyDescent="0.45">
      <c r="A742" t="s">
        <v>1544</v>
      </c>
      <c r="B742" s="2">
        <v>45696</v>
      </c>
      <c r="C742" t="s">
        <v>10</v>
      </c>
      <c r="D742" t="s">
        <v>1545</v>
      </c>
      <c r="E742" t="s">
        <v>34</v>
      </c>
      <c r="F742">
        <v>4</v>
      </c>
      <c r="G742" t="s">
        <v>43</v>
      </c>
      <c r="H742" t="s">
        <v>14</v>
      </c>
      <c r="I742" t="s">
        <v>26</v>
      </c>
    </row>
    <row r="743" spans="1:9" x14ac:dyDescent="0.45">
      <c r="A743" t="s">
        <v>1546</v>
      </c>
      <c r="B743" s="2">
        <v>45879</v>
      </c>
      <c r="C743" t="s">
        <v>66</v>
      </c>
      <c r="D743" t="s">
        <v>1547</v>
      </c>
      <c r="E743" t="s">
        <v>7974</v>
      </c>
      <c r="F743">
        <v>2</v>
      </c>
      <c r="G743" t="s">
        <v>68</v>
      </c>
      <c r="H743" t="s">
        <v>25</v>
      </c>
      <c r="I743" t="s">
        <v>47</v>
      </c>
    </row>
    <row r="744" spans="1:9" x14ac:dyDescent="0.45">
      <c r="A744" t="s">
        <v>1548</v>
      </c>
      <c r="B744" s="2">
        <v>45782</v>
      </c>
      <c r="C744" t="s">
        <v>10</v>
      </c>
      <c r="D744" t="s">
        <v>1549</v>
      </c>
      <c r="E744" t="s">
        <v>54</v>
      </c>
      <c r="F744">
        <v>3</v>
      </c>
      <c r="G744" t="s">
        <v>18</v>
      </c>
      <c r="H744" t="s">
        <v>14</v>
      </c>
      <c r="I744" t="s">
        <v>60</v>
      </c>
    </row>
    <row r="745" spans="1:9" x14ac:dyDescent="0.45">
      <c r="A745" t="s">
        <v>1550</v>
      </c>
      <c r="B745" s="2">
        <v>45716</v>
      </c>
      <c r="C745" t="s">
        <v>21</v>
      </c>
      <c r="D745" t="s">
        <v>1551</v>
      </c>
      <c r="E745" t="s">
        <v>46</v>
      </c>
      <c r="F745">
        <v>8</v>
      </c>
      <c r="G745" t="s">
        <v>59</v>
      </c>
      <c r="H745" t="s">
        <v>14</v>
      </c>
      <c r="I745" t="s">
        <v>39</v>
      </c>
    </row>
    <row r="746" spans="1:9" x14ac:dyDescent="0.45">
      <c r="A746" t="s">
        <v>1552</v>
      </c>
      <c r="B746" s="2">
        <v>45717</v>
      </c>
      <c r="C746" t="s">
        <v>66</v>
      </c>
      <c r="D746" t="s">
        <v>1553</v>
      </c>
      <c r="E746" t="s">
        <v>30</v>
      </c>
      <c r="F746">
        <v>6</v>
      </c>
      <c r="G746" t="s">
        <v>68</v>
      </c>
      <c r="H746" t="s">
        <v>25</v>
      </c>
      <c r="I746" t="s">
        <v>60</v>
      </c>
    </row>
    <row r="747" spans="1:9" x14ac:dyDescent="0.45">
      <c r="A747" t="s">
        <v>1554</v>
      </c>
      <c r="B747" s="2">
        <v>45760</v>
      </c>
      <c r="C747" t="s">
        <v>28</v>
      </c>
      <c r="D747" t="s">
        <v>1555</v>
      </c>
      <c r="E747" t="s">
        <v>46</v>
      </c>
      <c r="F747">
        <v>2</v>
      </c>
      <c r="G747" t="s">
        <v>59</v>
      </c>
      <c r="H747" t="s">
        <v>14</v>
      </c>
      <c r="I747" t="s">
        <v>19</v>
      </c>
    </row>
    <row r="748" spans="1:9" x14ac:dyDescent="0.45">
      <c r="A748" t="s">
        <v>1556</v>
      </c>
      <c r="B748" s="2">
        <v>45784</v>
      </c>
      <c r="C748" t="s">
        <v>16</v>
      </c>
      <c r="D748" t="s">
        <v>1557</v>
      </c>
      <c r="E748" t="s">
        <v>58</v>
      </c>
      <c r="F748">
        <v>9</v>
      </c>
      <c r="G748" t="s">
        <v>59</v>
      </c>
      <c r="H748" t="s">
        <v>14</v>
      </c>
      <c r="I748" t="s">
        <v>47</v>
      </c>
    </row>
    <row r="749" spans="1:9" x14ac:dyDescent="0.45">
      <c r="A749" t="s">
        <v>1558</v>
      </c>
      <c r="B749" s="2">
        <v>45666</v>
      </c>
      <c r="C749" t="s">
        <v>99</v>
      </c>
      <c r="D749" t="s">
        <v>1559</v>
      </c>
      <c r="E749" t="s">
        <v>46</v>
      </c>
      <c r="F749">
        <v>6</v>
      </c>
      <c r="G749" t="s">
        <v>55</v>
      </c>
      <c r="H749" t="s">
        <v>72</v>
      </c>
      <c r="I749" t="s">
        <v>26</v>
      </c>
    </row>
    <row r="750" spans="1:9" x14ac:dyDescent="0.45">
      <c r="A750" t="s">
        <v>1560</v>
      </c>
      <c r="B750" s="2">
        <v>45773</v>
      </c>
      <c r="C750" t="s">
        <v>16</v>
      </c>
      <c r="D750" t="s">
        <v>1561</v>
      </c>
      <c r="E750" t="s">
        <v>54</v>
      </c>
      <c r="F750">
        <v>1</v>
      </c>
      <c r="G750" t="s">
        <v>35</v>
      </c>
      <c r="H750" t="s">
        <v>25</v>
      </c>
      <c r="I750" t="s">
        <v>31</v>
      </c>
    </row>
    <row r="751" spans="1:9" x14ac:dyDescent="0.45">
      <c r="A751" t="s">
        <v>1562</v>
      </c>
      <c r="B751" s="2">
        <v>45892</v>
      </c>
      <c r="C751" t="s">
        <v>28</v>
      </c>
      <c r="D751" t="s">
        <v>1563</v>
      </c>
      <c r="E751" t="s">
        <v>75</v>
      </c>
      <c r="F751">
        <v>5</v>
      </c>
      <c r="G751" t="s">
        <v>35</v>
      </c>
      <c r="H751" t="s">
        <v>25</v>
      </c>
      <c r="I751" t="s">
        <v>26</v>
      </c>
    </row>
    <row r="752" spans="1:9" x14ac:dyDescent="0.45">
      <c r="A752" t="s">
        <v>1564</v>
      </c>
      <c r="B752" s="2">
        <v>45722</v>
      </c>
      <c r="C752" t="s">
        <v>16</v>
      </c>
      <c r="D752" t="s">
        <v>1565</v>
      </c>
      <c r="E752" t="s">
        <v>34</v>
      </c>
      <c r="F752">
        <v>7</v>
      </c>
      <c r="G752" t="s">
        <v>35</v>
      </c>
      <c r="H752" t="s">
        <v>25</v>
      </c>
      <c r="I752" t="s">
        <v>47</v>
      </c>
    </row>
    <row r="753" spans="1:9" x14ac:dyDescent="0.45">
      <c r="A753" t="s">
        <v>1566</v>
      </c>
      <c r="B753" s="2">
        <v>45901</v>
      </c>
      <c r="C753" t="s">
        <v>66</v>
      </c>
      <c r="D753" t="s">
        <v>1567</v>
      </c>
      <c r="E753" t="s">
        <v>23</v>
      </c>
      <c r="F753">
        <v>10</v>
      </c>
      <c r="G753" t="s">
        <v>24</v>
      </c>
      <c r="H753" t="s">
        <v>25</v>
      </c>
      <c r="I753" t="s">
        <v>39</v>
      </c>
    </row>
    <row r="754" spans="1:9" x14ac:dyDescent="0.45">
      <c r="A754" t="s">
        <v>1568</v>
      </c>
      <c r="B754" s="2">
        <v>45889</v>
      </c>
      <c r="C754" t="s">
        <v>52</v>
      </c>
      <c r="D754" t="s">
        <v>1569</v>
      </c>
      <c r="E754" t="s">
        <v>54</v>
      </c>
      <c r="F754">
        <v>12</v>
      </c>
      <c r="G754" t="s">
        <v>59</v>
      </c>
      <c r="H754" t="s">
        <v>14</v>
      </c>
      <c r="I754" t="s">
        <v>47</v>
      </c>
    </row>
    <row r="755" spans="1:9" x14ac:dyDescent="0.45">
      <c r="A755" t="s">
        <v>1570</v>
      </c>
      <c r="B755" s="2">
        <v>45738</v>
      </c>
      <c r="C755" t="s">
        <v>16</v>
      </c>
      <c r="D755" t="s">
        <v>1571</v>
      </c>
      <c r="E755" t="s">
        <v>30</v>
      </c>
      <c r="F755">
        <v>6</v>
      </c>
      <c r="G755" t="s">
        <v>35</v>
      </c>
      <c r="H755" t="s">
        <v>25</v>
      </c>
      <c r="I755" t="s">
        <v>47</v>
      </c>
    </row>
    <row r="756" spans="1:9" x14ac:dyDescent="0.45">
      <c r="A756" t="s">
        <v>1572</v>
      </c>
      <c r="B756" s="2">
        <v>45678</v>
      </c>
      <c r="C756" t="s">
        <v>66</v>
      </c>
      <c r="D756" t="s">
        <v>1573</v>
      </c>
      <c r="E756" t="s">
        <v>7973</v>
      </c>
      <c r="F756">
        <v>1</v>
      </c>
      <c r="G756" t="s">
        <v>24</v>
      </c>
      <c r="H756" t="s">
        <v>25</v>
      </c>
      <c r="I756" t="s">
        <v>60</v>
      </c>
    </row>
    <row r="757" spans="1:9" x14ac:dyDescent="0.45">
      <c r="A757" t="s">
        <v>1574</v>
      </c>
      <c r="B757" s="2">
        <v>45861</v>
      </c>
      <c r="C757" t="s">
        <v>28</v>
      </c>
      <c r="D757" t="s">
        <v>1575</v>
      </c>
      <c r="E757" t="s">
        <v>46</v>
      </c>
      <c r="F757">
        <v>11</v>
      </c>
      <c r="G757" t="s">
        <v>13</v>
      </c>
      <c r="H757" t="s">
        <v>14</v>
      </c>
      <c r="I757" t="s">
        <v>39</v>
      </c>
    </row>
    <row r="758" spans="1:9" x14ac:dyDescent="0.45">
      <c r="A758" t="s">
        <v>1576</v>
      </c>
      <c r="B758" s="2">
        <v>45888</v>
      </c>
      <c r="C758" t="s">
        <v>99</v>
      </c>
      <c r="D758" t="s">
        <v>1577</v>
      </c>
      <c r="E758" t="s">
        <v>34</v>
      </c>
      <c r="F758">
        <v>6</v>
      </c>
      <c r="G758" t="s">
        <v>59</v>
      </c>
      <c r="H758" t="s">
        <v>14</v>
      </c>
      <c r="I758" t="s">
        <v>39</v>
      </c>
    </row>
    <row r="759" spans="1:9" x14ac:dyDescent="0.45">
      <c r="A759" t="s">
        <v>1578</v>
      </c>
      <c r="B759" s="2">
        <v>45783</v>
      </c>
      <c r="C759" t="s">
        <v>16</v>
      </c>
      <c r="D759" t="s">
        <v>1579</v>
      </c>
      <c r="E759" t="s">
        <v>54</v>
      </c>
      <c r="F759">
        <v>4</v>
      </c>
      <c r="G759" t="s">
        <v>35</v>
      </c>
      <c r="H759" t="s">
        <v>25</v>
      </c>
      <c r="I759" t="s">
        <v>39</v>
      </c>
    </row>
    <row r="760" spans="1:9" x14ac:dyDescent="0.45">
      <c r="A760" t="s">
        <v>1580</v>
      </c>
      <c r="B760" s="2">
        <v>45785</v>
      </c>
      <c r="C760" t="s">
        <v>28</v>
      </c>
      <c r="D760" t="s">
        <v>1581</v>
      </c>
      <c r="E760" t="s">
        <v>7973</v>
      </c>
      <c r="F760">
        <v>5</v>
      </c>
      <c r="G760" t="s">
        <v>18</v>
      </c>
      <c r="H760" t="s">
        <v>14</v>
      </c>
      <c r="I760" t="s">
        <v>31</v>
      </c>
    </row>
    <row r="761" spans="1:9" x14ac:dyDescent="0.45">
      <c r="A761" t="s">
        <v>1582</v>
      </c>
      <c r="B761" s="2">
        <v>45850</v>
      </c>
      <c r="C761" t="s">
        <v>28</v>
      </c>
      <c r="D761" t="s">
        <v>1583</v>
      </c>
      <c r="E761" t="s">
        <v>23</v>
      </c>
      <c r="F761">
        <v>2</v>
      </c>
      <c r="G761" t="s">
        <v>59</v>
      </c>
      <c r="H761" t="s">
        <v>14</v>
      </c>
      <c r="I761" t="s">
        <v>60</v>
      </c>
    </row>
    <row r="762" spans="1:9" x14ac:dyDescent="0.45">
      <c r="A762" t="s">
        <v>1584</v>
      </c>
      <c r="B762" s="2">
        <v>45768</v>
      </c>
      <c r="C762" t="s">
        <v>66</v>
      </c>
      <c r="D762" t="s">
        <v>1585</v>
      </c>
      <c r="E762" t="s">
        <v>58</v>
      </c>
      <c r="F762">
        <v>4</v>
      </c>
      <c r="G762" t="s">
        <v>18</v>
      </c>
      <c r="H762" t="s">
        <v>14</v>
      </c>
      <c r="I762" t="s">
        <v>60</v>
      </c>
    </row>
    <row r="763" spans="1:9" x14ac:dyDescent="0.45">
      <c r="A763" t="s">
        <v>1586</v>
      </c>
      <c r="B763" s="2">
        <v>45740</v>
      </c>
      <c r="C763" t="s">
        <v>99</v>
      </c>
      <c r="D763" t="s">
        <v>1587</v>
      </c>
      <c r="E763" t="s">
        <v>34</v>
      </c>
      <c r="F763">
        <v>11</v>
      </c>
      <c r="G763" t="s">
        <v>55</v>
      </c>
      <c r="H763" t="s">
        <v>72</v>
      </c>
      <c r="I763" t="s">
        <v>60</v>
      </c>
    </row>
    <row r="764" spans="1:9" x14ac:dyDescent="0.45">
      <c r="A764" t="s">
        <v>1588</v>
      </c>
      <c r="B764" s="2">
        <v>45904</v>
      </c>
      <c r="C764" t="s">
        <v>52</v>
      </c>
      <c r="D764" t="s">
        <v>1589</v>
      </c>
      <c r="E764" t="s">
        <v>75</v>
      </c>
      <c r="F764">
        <v>8</v>
      </c>
      <c r="G764" t="s">
        <v>68</v>
      </c>
      <c r="H764" t="s">
        <v>25</v>
      </c>
      <c r="I764" t="s">
        <v>26</v>
      </c>
    </row>
    <row r="765" spans="1:9" x14ac:dyDescent="0.45">
      <c r="A765" t="s">
        <v>1590</v>
      </c>
      <c r="B765" s="2">
        <v>45816</v>
      </c>
      <c r="C765" t="s">
        <v>49</v>
      </c>
      <c r="D765" t="s">
        <v>1591</v>
      </c>
      <c r="E765" t="s">
        <v>30</v>
      </c>
      <c r="F765">
        <v>2</v>
      </c>
      <c r="G765" t="s">
        <v>68</v>
      </c>
      <c r="H765" t="s">
        <v>25</v>
      </c>
      <c r="I765" t="s">
        <v>19</v>
      </c>
    </row>
    <row r="766" spans="1:9" x14ac:dyDescent="0.45">
      <c r="A766" t="s">
        <v>1592</v>
      </c>
      <c r="B766" s="2">
        <v>45814</v>
      </c>
      <c r="C766" t="s">
        <v>52</v>
      </c>
      <c r="D766" t="s">
        <v>1593</v>
      </c>
      <c r="E766" t="s">
        <v>38</v>
      </c>
      <c r="F766">
        <v>9</v>
      </c>
      <c r="G766" t="s">
        <v>68</v>
      </c>
      <c r="H766" t="s">
        <v>25</v>
      </c>
      <c r="I766" t="s">
        <v>26</v>
      </c>
    </row>
    <row r="767" spans="1:9" x14ac:dyDescent="0.45">
      <c r="A767" t="s">
        <v>1594</v>
      </c>
      <c r="B767" s="2">
        <v>45844</v>
      </c>
      <c r="C767" t="s">
        <v>16</v>
      </c>
      <c r="D767" t="s">
        <v>1595</v>
      </c>
      <c r="E767" t="s">
        <v>7974</v>
      </c>
      <c r="F767">
        <v>5</v>
      </c>
      <c r="G767" t="s">
        <v>59</v>
      </c>
      <c r="H767" t="s">
        <v>14</v>
      </c>
      <c r="I767" t="s">
        <v>47</v>
      </c>
    </row>
    <row r="768" spans="1:9" x14ac:dyDescent="0.45">
      <c r="A768" t="s">
        <v>1596</v>
      </c>
      <c r="B768" s="2">
        <v>45774</v>
      </c>
      <c r="C768" t="s">
        <v>66</v>
      </c>
      <c r="D768" t="s">
        <v>1597</v>
      </c>
      <c r="E768" t="s">
        <v>34</v>
      </c>
      <c r="F768">
        <v>10</v>
      </c>
      <c r="G768" t="s">
        <v>24</v>
      </c>
      <c r="H768" t="s">
        <v>25</v>
      </c>
      <c r="I768" t="s">
        <v>47</v>
      </c>
    </row>
    <row r="769" spans="1:9" x14ac:dyDescent="0.45">
      <c r="A769" t="s">
        <v>1598</v>
      </c>
      <c r="B769" s="2">
        <v>45694</v>
      </c>
      <c r="C769" t="s">
        <v>49</v>
      </c>
      <c r="D769" t="s">
        <v>1599</v>
      </c>
      <c r="E769" t="s">
        <v>42</v>
      </c>
      <c r="F769">
        <v>10</v>
      </c>
      <c r="G769" t="s">
        <v>55</v>
      </c>
      <c r="H769" t="s">
        <v>72</v>
      </c>
      <c r="I769" t="s">
        <v>31</v>
      </c>
    </row>
    <row r="770" spans="1:9" x14ac:dyDescent="0.45">
      <c r="A770" t="s">
        <v>1600</v>
      </c>
      <c r="B770" s="2">
        <v>45660</v>
      </c>
      <c r="C770" t="s">
        <v>28</v>
      </c>
      <c r="D770" t="s">
        <v>1601</v>
      </c>
      <c r="E770" t="s">
        <v>58</v>
      </c>
      <c r="F770">
        <v>1</v>
      </c>
      <c r="G770" t="s">
        <v>55</v>
      </c>
      <c r="H770" t="s">
        <v>72</v>
      </c>
      <c r="I770" t="s">
        <v>39</v>
      </c>
    </row>
    <row r="771" spans="1:9" x14ac:dyDescent="0.45">
      <c r="A771" t="s">
        <v>1602</v>
      </c>
      <c r="B771" s="2">
        <v>45768</v>
      </c>
      <c r="C771" t="s">
        <v>21</v>
      </c>
      <c r="D771" t="s">
        <v>1603</v>
      </c>
      <c r="E771" t="s">
        <v>30</v>
      </c>
      <c r="F771">
        <v>9</v>
      </c>
      <c r="G771" t="s">
        <v>18</v>
      </c>
      <c r="H771" t="s">
        <v>14</v>
      </c>
      <c r="I771" t="s">
        <v>47</v>
      </c>
    </row>
    <row r="772" spans="1:9" x14ac:dyDescent="0.45">
      <c r="A772" t="s">
        <v>1604</v>
      </c>
      <c r="B772" s="2">
        <v>45701</v>
      </c>
      <c r="C772" t="s">
        <v>99</v>
      </c>
      <c r="D772" t="s">
        <v>1605</v>
      </c>
      <c r="E772" t="s">
        <v>58</v>
      </c>
      <c r="F772">
        <v>4</v>
      </c>
      <c r="G772" t="s">
        <v>43</v>
      </c>
      <c r="H772" t="s">
        <v>14</v>
      </c>
      <c r="I772" t="s">
        <v>26</v>
      </c>
    </row>
    <row r="773" spans="1:9" x14ac:dyDescent="0.45">
      <c r="A773" t="s">
        <v>1606</v>
      </c>
      <c r="B773" s="2">
        <v>45801</v>
      </c>
      <c r="C773" t="s">
        <v>21</v>
      </c>
      <c r="D773" t="s">
        <v>1607</v>
      </c>
      <c r="E773" t="s">
        <v>34</v>
      </c>
      <c r="F773">
        <v>10</v>
      </c>
      <c r="G773" t="s">
        <v>13</v>
      </c>
      <c r="H773" t="s">
        <v>14</v>
      </c>
      <c r="I773" t="s">
        <v>39</v>
      </c>
    </row>
    <row r="774" spans="1:9" x14ac:dyDescent="0.45">
      <c r="A774" t="s">
        <v>1608</v>
      </c>
      <c r="B774" s="2">
        <v>45854</v>
      </c>
      <c r="C774" t="s">
        <v>52</v>
      </c>
      <c r="D774" t="s">
        <v>1609</v>
      </c>
      <c r="E774" t="s">
        <v>7974</v>
      </c>
      <c r="F774">
        <v>4</v>
      </c>
      <c r="G774" t="s">
        <v>24</v>
      </c>
      <c r="H774" t="s">
        <v>25</v>
      </c>
      <c r="I774" t="s">
        <v>60</v>
      </c>
    </row>
    <row r="775" spans="1:9" x14ac:dyDescent="0.45">
      <c r="A775" t="s">
        <v>1610</v>
      </c>
      <c r="B775" s="2">
        <v>45707</v>
      </c>
      <c r="C775" t="s">
        <v>52</v>
      </c>
      <c r="D775" t="s">
        <v>1611</v>
      </c>
      <c r="E775" t="s">
        <v>42</v>
      </c>
      <c r="F775">
        <v>11</v>
      </c>
      <c r="G775" t="s">
        <v>13</v>
      </c>
      <c r="H775" t="s">
        <v>14</v>
      </c>
      <c r="I775" t="s">
        <v>31</v>
      </c>
    </row>
    <row r="776" spans="1:9" x14ac:dyDescent="0.45">
      <c r="A776" t="s">
        <v>1612</v>
      </c>
      <c r="B776" s="2">
        <v>45768</v>
      </c>
      <c r="C776" t="s">
        <v>52</v>
      </c>
      <c r="D776" t="s">
        <v>1613</v>
      </c>
      <c r="E776" t="s">
        <v>38</v>
      </c>
      <c r="F776">
        <v>9</v>
      </c>
      <c r="G776" t="s">
        <v>68</v>
      </c>
      <c r="H776" t="s">
        <v>25</v>
      </c>
      <c r="I776" t="s">
        <v>39</v>
      </c>
    </row>
    <row r="777" spans="1:9" x14ac:dyDescent="0.45">
      <c r="A777" t="s">
        <v>1614</v>
      </c>
      <c r="B777" s="2">
        <v>45789</v>
      </c>
      <c r="C777" t="s">
        <v>52</v>
      </c>
      <c r="D777" t="s">
        <v>1615</v>
      </c>
      <c r="E777" t="s">
        <v>71</v>
      </c>
      <c r="F777">
        <v>5</v>
      </c>
      <c r="G777" t="s">
        <v>35</v>
      </c>
      <c r="H777" t="s">
        <v>25</v>
      </c>
      <c r="I777" t="s">
        <v>26</v>
      </c>
    </row>
    <row r="778" spans="1:9" x14ac:dyDescent="0.45">
      <c r="A778" t="s">
        <v>1616</v>
      </c>
      <c r="B778" s="2">
        <v>45885</v>
      </c>
      <c r="C778" t="s">
        <v>28</v>
      </c>
      <c r="D778" t="s">
        <v>1617</v>
      </c>
      <c r="E778" t="s">
        <v>23</v>
      </c>
      <c r="F778">
        <v>1</v>
      </c>
      <c r="G778" t="s">
        <v>35</v>
      </c>
      <c r="H778" t="s">
        <v>25</v>
      </c>
      <c r="I778" t="s">
        <v>39</v>
      </c>
    </row>
    <row r="779" spans="1:9" x14ac:dyDescent="0.45">
      <c r="A779" t="s">
        <v>1618</v>
      </c>
      <c r="B779" s="2">
        <v>45684</v>
      </c>
      <c r="C779" t="s">
        <v>66</v>
      </c>
      <c r="D779" t="s">
        <v>1619</v>
      </c>
      <c r="E779" t="s">
        <v>71</v>
      </c>
      <c r="F779">
        <v>6</v>
      </c>
      <c r="G779" t="s">
        <v>59</v>
      </c>
      <c r="H779" t="s">
        <v>14</v>
      </c>
      <c r="I779" t="s">
        <v>31</v>
      </c>
    </row>
    <row r="780" spans="1:9" x14ac:dyDescent="0.45">
      <c r="A780" t="s">
        <v>1621</v>
      </c>
      <c r="B780" s="2">
        <v>45849</v>
      </c>
      <c r="C780" t="s">
        <v>28</v>
      </c>
      <c r="D780" t="s">
        <v>1622</v>
      </c>
      <c r="E780" t="s">
        <v>54</v>
      </c>
      <c r="F780">
        <v>1</v>
      </c>
      <c r="G780" t="s">
        <v>68</v>
      </c>
      <c r="H780" t="s">
        <v>25</v>
      </c>
      <c r="I780" t="s">
        <v>31</v>
      </c>
    </row>
    <row r="781" spans="1:9" x14ac:dyDescent="0.45">
      <c r="A781" t="s">
        <v>1623</v>
      </c>
      <c r="B781" s="2">
        <v>45694</v>
      </c>
      <c r="C781" t="s">
        <v>99</v>
      </c>
      <c r="D781" t="s">
        <v>1624</v>
      </c>
      <c r="E781" t="s">
        <v>34</v>
      </c>
      <c r="F781">
        <v>3</v>
      </c>
      <c r="G781" t="s">
        <v>13</v>
      </c>
      <c r="H781" t="s">
        <v>14</v>
      </c>
      <c r="I781" t="s">
        <v>47</v>
      </c>
    </row>
    <row r="782" spans="1:9" x14ac:dyDescent="0.45">
      <c r="A782" t="s">
        <v>1625</v>
      </c>
      <c r="B782" s="2">
        <v>45830</v>
      </c>
      <c r="C782" t="s">
        <v>99</v>
      </c>
      <c r="D782" t="s">
        <v>1626</v>
      </c>
      <c r="E782" t="s">
        <v>7974</v>
      </c>
      <c r="F782">
        <v>6</v>
      </c>
      <c r="G782" t="s">
        <v>13</v>
      </c>
      <c r="H782" t="s">
        <v>14</v>
      </c>
      <c r="I782" t="s">
        <v>19</v>
      </c>
    </row>
    <row r="783" spans="1:9" x14ac:dyDescent="0.45">
      <c r="A783" t="s">
        <v>1627</v>
      </c>
      <c r="B783" s="2">
        <v>45689</v>
      </c>
      <c r="C783" t="s">
        <v>16</v>
      </c>
      <c r="D783" t="s">
        <v>1628</v>
      </c>
      <c r="E783" t="s">
        <v>54</v>
      </c>
      <c r="F783">
        <v>1</v>
      </c>
      <c r="G783" t="s">
        <v>35</v>
      </c>
      <c r="H783" t="s">
        <v>25</v>
      </c>
      <c r="I783" t="s">
        <v>39</v>
      </c>
    </row>
    <row r="784" spans="1:9" x14ac:dyDescent="0.45">
      <c r="A784" t="s">
        <v>1629</v>
      </c>
      <c r="B784" s="2">
        <v>45678</v>
      </c>
      <c r="C784" t="s">
        <v>49</v>
      </c>
      <c r="D784" t="s">
        <v>1630</v>
      </c>
      <c r="E784" t="s">
        <v>71</v>
      </c>
      <c r="F784">
        <v>10</v>
      </c>
      <c r="G784" t="s">
        <v>68</v>
      </c>
      <c r="H784" t="s">
        <v>25</v>
      </c>
      <c r="I784" t="s">
        <v>31</v>
      </c>
    </row>
    <row r="785" spans="1:9" x14ac:dyDescent="0.45">
      <c r="A785" t="s">
        <v>1631</v>
      </c>
      <c r="B785" s="2">
        <v>45692</v>
      </c>
      <c r="C785" t="s">
        <v>16</v>
      </c>
      <c r="D785" t="s">
        <v>1632</v>
      </c>
      <c r="E785" t="s">
        <v>75</v>
      </c>
      <c r="F785">
        <v>9</v>
      </c>
      <c r="G785" t="s">
        <v>24</v>
      </c>
      <c r="H785" t="s">
        <v>25</v>
      </c>
      <c r="I785" t="s">
        <v>31</v>
      </c>
    </row>
    <row r="786" spans="1:9" x14ac:dyDescent="0.45">
      <c r="A786" t="s">
        <v>1633</v>
      </c>
      <c r="B786" s="2">
        <v>45764</v>
      </c>
      <c r="C786" t="s">
        <v>99</v>
      </c>
      <c r="D786" t="s">
        <v>1634</v>
      </c>
      <c r="E786" t="s">
        <v>75</v>
      </c>
      <c r="F786">
        <v>5</v>
      </c>
      <c r="G786" t="s">
        <v>35</v>
      </c>
      <c r="H786" t="s">
        <v>25</v>
      </c>
      <c r="I786" t="s">
        <v>19</v>
      </c>
    </row>
    <row r="787" spans="1:9" x14ac:dyDescent="0.45">
      <c r="A787" t="s">
        <v>1635</v>
      </c>
      <c r="B787" s="2">
        <v>45693</v>
      </c>
      <c r="C787" t="s">
        <v>28</v>
      </c>
      <c r="D787" t="s">
        <v>1636</v>
      </c>
      <c r="E787" t="s">
        <v>38</v>
      </c>
      <c r="F787">
        <v>5</v>
      </c>
      <c r="G787" t="s">
        <v>13</v>
      </c>
      <c r="H787" t="s">
        <v>14</v>
      </c>
      <c r="I787" t="s">
        <v>31</v>
      </c>
    </row>
    <row r="788" spans="1:9" x14ac:dyDescent="0.45">
      <c r="A788" t="s">
        <v>1637</v>
      </c>
      <c r="B788" s="2">
        <v>45773</v>
      </c>
      <c r="C788" t="s">
        <v>49</v>
      </c>
      <c r="D788" t="s">
        <v>1638</v>
      </c>
      <c r="E788" t="s">
        <v>46</v>
      </c>
      <c r="F788">
        <v>6</v>
      </c>
      <c r="G788" t="s">
        <v>55</v>
      </c>
      <c r="H788" t="s">
        <v>72</v>
      </c>
      <c r="I788" t="s">
        <v>60</v>
      </c>
    </row>
    <row r="789" spans="1:9" x14ac:dyDescent="0.45">
      <c r="A789" t="s">
        <v>1639</v>
      </c>
      <c r="B789" s="2">
        <v>45864</v>
      </c>
      <c r="C789" t="s">
        <v>52</v>
      </c>
      <c r="D789" t="s">
        <v>1640</v>
      </c>
      <c r="E789" t="s">
        <v>38</v>
      </c>
      <c r="F789">
        <v>9</v>
      </c>
      <c r="G789" t="s">
        <v>55</v>
      </c>
      <c r="H789" t="s">
        <v>72</v>
      </c>
      <c r="I789" t="s">
        <v>60</v>
      </c>
    </row>
    <row r="790" spans="1:9" x14ac:dyDescent="0.45">
      <c r="A790" t="s">
        <v>1641</v>
      </c>
      <c r="B790" s="2">
        <v>45809</v>
      </c>
      <c r="C790" t="s">
        <v>66</v>
      </c>
      <c r="D790" t="s">
        <v>1642</v>
      </c>
      <c r="E790" t="s">
        <v>7973</v>
      </c>
      <c r="F790">
        <v>11</v>
      </c>
      <c r="G790" t="s">
        <v>35</v>
      </c>
      <c r="H790" t="s">
        <v>25</v>
      </c>
      <c r="I790" t="s">
        <v>26</v>
      </c>
    </row>
    <row r="791" spans="1:9" x14ac:dyDescent="0.45">
      <c r="A791" t="s">
        <v>1643</v>
      </c>
      <c r="B791" s="2">
        <v>45790</v>
      </c>
      <c r="C791" t="s">
        <v>66</v>
      </c>
      <c r="D791" t="s">
        <v>1644</v>
      </c>
      <c r="E791" t="s">
        <v>23</v>
      </c>
      <c r="F791">
        <v>6</v>
      </c>
      <c r="G791" t="s">
        <v>59</v>
      </c>
      <c r="H791" t="s">
        <v>14</v>
      </c>
      <c r="I791" t="s">
        <v>19</v>
      </c>
    </row>
    <row r="792" spans="1:9" x14ac:dyDescent="0.45">
      <c r="A792" t="s">
        <v>1645</v>
      </c>
      <c r="B792" s="2">
        <v>45825</v>
      </c>
      <c r="C792" t="s">
        <v>16</v>
      </c>
      <c r="D792" t="s">
        <v>1646</v>
      </c>
      <c r="E792" t="s">
        <v>7973</v>
      </c>
      <c r="F792">
        <v>12</v>
      </c>
      <c r="G792" t="s">
        <v>18</v>
      </c>
      <c r="H792" t="s">
        <v>14</v>
      </c>
      <c r="I792" t="s">
        <v>31</v>
      </c>
    </row>
    <row r="793" spans="1:9" x14ac:dyDescent="0.45">
      <c r="A793" t="s">
        <v>1647</v>
      </c>
      <c r="B793" s="2">
        <v>45755</v>
      </c>
      <c r="C793" t="s">
        <v>49</v>
      </c>
      <c r="D793" t="s">
        <v>1648</v>
      </c>
      <c r="E793" t="s">
        <v>34</v>
      </c>
      <c r="F793">
        <v>3</v>
      </c>
      <c r="G793" t="s">
        <v>35</v>
      </c>
      <c r="H793" t="s">
        <v>25</v>
      </c>
      <c r="I793" t="s">
        <v>26</v>
      </c>
    </row>
    <row r="794" spans="1:9" x14ac:dyDescent="0.45">
      <c r="A794" t="s">
        <v>1649</v>
      </c>
      <c r="B794" s="2">
        <v>45696</v>
      </c>
      <c r="C794" t="s">
        <v>16</v>
      </c>
      <c r="D794" t="s">
        <v>1650</v>
      </c>
      <c r="E794" t="s">
        <v>30</v>
      </c>
      <c r="F794">
        <v>8</v>
      </c>
      <c r="G794" t="s">
        <v>59</v>
      </c>
      <c r="H794" t="s">
        <v>14</v>
      </c>
      <c r="I794" t="s">
        <v>47</v>
      </c>
    </row>
    <row r="795" spans="1:9" x14ac:dyDescent="0.45">
      <c r="A795" t="s">
        <v>1651</v>
      </c>
      <c r="B795" s="2">
        <v>45735</v>
      </c>
      <c r="C795" t="s">
        <v>49</v>
      </c>
      <c r="D795" t="s">
        <v>1652</v>
      </c>
      <c r="E795" t="s">
        <v>71</v>
      </c>
      <c r="F795">
        <v>1</v>
      </c>
      <c r="G795" t="s">
        <v>43</v>
      </c>
      <c r="H795" t="s">
        <v>14</v>
      </c>
      <c r="I795" t="s">
        <v>31</v>
      </c>
    </row>
    <row r="796" spans="1:9" x14ac:dyDescent="0.45">
      <c r="A796" t="s">
        <v>1653</v>
      </c>
      <c r="B796" s="2">
        <v>45715</v>
      </c>
      <c r="C796" t="s">
        <v>16</v>
      </c>
      <c r="D796" t="s">
        <v>1654</v>
      </c>
      <c r="E796" t="s">
        <v>7974</v>
      </c>
      <c r="F796">
        <v>3</v>
      </c>
      <c r="G796" t="s">
        <v>55</v>
      </c>
      <c r="H796" t="s">
        <v>72</v>
      </c>
      <c r="I796" t="s">
        <v>19</v>
      </c>
    </row>
    <row r="797" spans="1:9" x14ac:dyDescent="0.45">
      <c r="A797" t="s">
        <v>1655</v>
      </c>
      <c r="B797" s="2">
        <v>45682</v>
      </c>
      <c r="C797" t="s">
        <v>52</v>
      </c>
      <c r="D797" t="s">
        <v>1656</v>
      </c>
      <c r="E797" t="s">
        <v>7973</v>
      </c>
      <c r="F797">
        <v>11</v>
      </c>
      <c r="G797" t="s">
        <v>24</v>
      </c>
      <c r="H797" t="s">
        <v>25</v>
      </c>
      <c r="I797" t="s">
        <v>26</v>
      </c>
    </row>
    <row r="798" spans="1:9" x14ac:dyDescent="0.45">
      <c r="A798" t="s">
        <v>1657</v>
      </c>
      <c r="B798" s="2">
        <v>45895</v>
      </c>
      <c r="C798" t="s">
        <v>99</v>
      </c>
      <c r="D798" t="s">
        <v>1658</v>
      </c>
      <c r="E798" t="s">
        <v>7974</v>
      </c>
      <c r="F798">
        <v>10</v>
      </c>
      <c r="G798" t="s">
        <v>68</v>
      </c>
      <c r="H798" t="s">
        <v>25</v>
      </c>
      <c r="I798" t="s">
        <v>47</v>
      </c>
    </row>
    <row r="799" spans="1:9" x14ac:dyDescent="0.45">
      <c r="A799" t="s">
        <v>1659</v>
      </c>
      <c r="B799" s="2">
        <v>45674</v>
      </c>
      <c r="C799" t="s">
        <v>66</v>
      </c>
      <c r="D799" t="s">
        <v>1660</v>
      </c>
      <c r="E799" t="s">
        <v>34</v>
      </c>
      <c r="F799">
        <v>10</v>
      </c>
      <c r="G799" t="s">
        <v>43</v>
      </c>
      <c r="H799" t="s">
        <v>14</v>
      </c>
      <c r="I799" t="s">
        <v>19</v>
      </c>
    </row>
    <row r="800" spans="1:9" x14ac:dyDescent="0.45">
      <c r="A800" t="s">
        <v>1661</v>
      </c>
      <c r="B800" s="2">
        <v>45813</v>
      </c>
      <c r="C800" t="s">
        <v>28</v>
      </c>
      <c r="D800" t="s">
        <v>1662</v>
      </c>
      <c r="E800" t="s">
        <v>34</v>
      </c>
      <c r="F800">
        <v>11</v>
      </c>
      <c r="G800" t="s">
        <v>24</v>
      </c>
      <c r="H800" t="s">
        <v>25</v>
      </c>
      <c r="I800" t="s">
        <v>19</v>
      </c>
    </row>
    <row r="801" spans="1:9" x14ac:dyDescent="0.45">
      <c r="A801" t="s">
        <v>1663</v>
      </c>
      <c r="B801" s="2">
        <v>45852</v>
      </c>
      <c r="C801" t="s">
        <v>10</v>
      </c>
      <c r="D801" t="s">
        <v>1664</v>
      </c>
      <c r="E801" t="s">
        <v>58</v>
      </c>
      <c r="F801">
        <v>3</v>
      </c>
      <c r="G801" t="s">
        <v>24</v>
      </c>
      <c r="H801" t="s">
        <v>25</v>
      </c>
      <c r="I801" t="s">
        <v>47</v>
      </c>
    </row>
    <row r="802" spans="1:9" x14ac:dyDescent="0.45">
      <c r="A802" t="s">
        <v>1665</v>
      </c>
      <c r="B802" s="2">
        <v>45759</v>
      </c>
      <c r="C802" t="s">
        <v>66</v>
      </c>
      <c r="D802" t="s">
        <v>1666</v>
      </c>
      <c r="E802" t="s">
        <v>7973</v>
      </c>
      <c r="F802">
        <v>7</v>
      </c>
      <c r="G802" t="s">
        <v>55</v>
      </c>
      <c r="H802" t="s">
        <v>72</v>
      </c>
      <c r="I802" t="s">
        <v>39</v>
      </c>
    </row>
    <row r="803" spans="1:9" x14ac:dyDescent="0.45">
      <c r="A803" t="s">
        <v>1667</v>
      </c>
      <c r="B803" s="2">
        <v>45854</v>
      </c>
      <c r="C803" t="s">
        <v>16</v>
      </c>
      <c r="D803" t="s">
        <v>1668</v>
      </c>
      <c r="E803" t="s">
        <v>23</v>
      </c>
      <c r="F803">
        <v>8</v>
      </c>
      <c r="G803" t="s">
        <v>43</v>
      </c>
      <c r="H803" t="s">
        <v>14</v>
      </c>
      <c r="I803" t="s">
        <v>26</v>
      </c>
    </row>
    <row r="804" spans="1:9" x14ac:dyDescent="0.45">
      <c r="A804" t="s">
        <v>1669</v>
      </c>
      <c r="B804" s="2">
        <v>45681</v>
      </c>
      <c r="C804" t="s">
        <v>52</v>
      </c>
      <c r="D804" t="s">
        <v>1670</v>
      </c>
      <c r="E804" t="s">
        <v>34</v>
      </c>
      <c r="F804">
        <v>4</v>
      </c>
      <c r="G804" t="s">
        <v>35</v>
      </c>
      <c r="H804" t="s">
        <v>25</v>
      </c>
      <c r="I804" t="s">
        <v>31</v>
      </c>
    </row>
    <row r="805" spans="1:9" x14ac:dyDescent="0.45">
      <c r="A805" t="s">
        <v>1671</v>
      </c>
      <c r="B805" s="2">
        <v>45879</v>
      </c>
      <c r="C805" t="s">
        <v>21</v>
      </c>
      <c r="D805" t="s">
        <v>1672</v>
      </c>
      <c r="E805" t="s">
        <v>46</v>
      </c>
      <c r="F805">
        <v>3</v>
      </c>
      <c r="G805" t="s">
        <v>43</v>
      </c>
      <c r="H805" t="s">
        <v>14</v>
      </c>
      <c r="I805" t="s">
        <v>47</v>
      </c>
    </row>
    <row r="806" spans="1:9" x14ac:dyDescent="0.45">
      <c r="A806" t="s">
        <v>1673</v>
      </c>
      <c r="B806" s="2">
        <v>45726</v>
      </c>
      <c r="C806" t="s">
        <v>21</v>
      </c>
      <c r="D806" t="s">
        <v>1674</v>
      </c>
      <c r="E806" t="s">
        <v>71</v>
      </c>
      <c r="F806">
        <v>6</v>
      </c>
      <c r="G806" t="s">
        <v>13</v>
      </c>
      <c r="H806" t="s">
        <v>14</v>
      </c>
      <c r="I806" t="s">
        <v>47</v>
      </c>
    </row>
    <row r="807" spans="1:9" x14ac:dyDescent="0.45">
      <c r="A807" t="s">
        <v>1675</v>
      </c>
      <c r="B807" s="2">
        <v>45677</v>
      </c>
      <c r="C807" t="s">
        <v>49</v>
      </c>
      <c r="D807" t="s">
        <v>1676</v>
      </c>
      <c r="E807" t="s">
        <v>38</v>
      </c>
      <c r="F807">
        <v>3</v>
      </c>
      <c r="G807" t="s">
        <v>13</v>
      </c>
      <c r="H807" t="s">
        <v>14</v>
      </c>
      <c r="I807" t="s">
        <v>19</v>
      </c>
    </row>
    <row r="808" spans="1:9" x14ac:dyDescent="0.45">
      <c r="A808" t="s">
        <v>1677</v>
      </c>
      <c r="B808" s="2">
        <v>45849</v>
      </c>
      <c r="C808" t="s">
        <v>52</v>
      </c>
      <c r="D808" t="s">
        <v>1678</v>
      </c>
      <c r="E808" t="s">
        <v>54</v>
      </c>
      <c r="F808">
        <v>3</v>
      </c>
      <c r="G808" t="s">
        <v>68</v>
      </c>
      <c r="H808" t="s">
        <v>25</v>
      </c>
      <c r="I808" t="s">
        <v>47</v>
      </c>
    </row>
    <row r="809" spans="1:9" x14ac:dyDescent="0.45">
      <c r="A809" t="s">
        <v>1679</v>
      </c>
      <c r="B809" s="2">
        <v>45892</v>
      </c>
      <c r="C809" t="s">
        <v>99</v>
      </c>
      <c r="D809" t="s">
        <v>1680</v>
      </c>
      <c r="E809" t="s">
        <v>7973</v>
      </c>
      <c r="F809">
        <v>1</v>
      </c>
      <c r="G809" t="s">
        <v>24</v>
      </c>
      <c r="H809" t="s">
        <v>25</v>
      </c>
      <c r="I809" t="s">
        <v>31</v>
      </c>
    </row>
    <row r="810" spans="1:9" x14ac:dyDescent="0.45">
      <c r="A810" t="s">
        <v>1681</v>
      </c>
      <c r="B810" s="2">
        <v>45806</v>
      </c>
      <c r="C810" t="s">
        <v>99</v>
      </c>
      <c r="D810" t="s">
        <v>1682</v>
      </c>
      <c r="E810" t="s">
        <v>30</v>
      </c>
      <c r="F810">
        <v>7</v>
      </c>
      <c r="G810" t="s">
        <v>24</v>
      </c>
      <c r="H810" t="s">
        <v>25</v>
      </c>
      <c r="I810" t="s">
        <v>19</v>
      </c>
    </row>
    <row r="811" spans="1:9" x14ac:dyDescent="0.45">
      <c r="A811" t="s">
        <v>1683</v>
      </c>
      <c r="B811" s="2">
        <v>45820</v>
      </c>
      <c r="C811" t="s">
        <v>66</v>
      </c>
      <c r="D811" t="s">
        <v>1684</v>
      </c>
      <c r="E811" t="s">
        <v>75</v>
      </c>
      <c r="F811">
        <v>5</v>
      </c>
      <c r="G811" t="s">
        <v>43</v>
      </c>
      <c r="H811" t="s">
        <v>14</v>
      </c>
      <c r="I811" t="s">
        <v>19</v>
      </c>
    </row>
    <row r="812" spans="1:9" x14ac:dyDescent="0.45">
      <c r="A812" t="s">
        <v>1685</v>
      </c>
      <c r="B812" s="2">
        <v>45729</v>
      </c>
      <c r="C812" t="s">
        <v>49</v>
      </c>
      <c r="D812" t="s">
        <v>1686</v>
      </c>
      <c r="E812" t="s">
        <v>75</v>
      </c>
      <c r="F812">
        <v>12</v>
      </c>
      <c r="G812" t="s">
        <v>13</v>
      </c>
      <c r="H812" t="s">
        <v>14</v>
      </c>
      <c r="I812" t="s">
        <v>47</v>
      </c>
    </row>
    <row r="813" spans="1:9" x14ac:dyDescent="0.45">
      <c r="A813" t="s">
        <v>1687</v>
      </c>
      <c r="B813" s="2">
        <v>45702</v>
      </c>
      <c r="C813" t="s">
        <v>49</v>
      </c>
      <c r="D813" t="s">
        <v>1688</v>
      </c>
      <c r="E813" t="s">
        <v>30</v>
      </c>
      <c r="F813">
        <v>7</v>
      </c>
      <c r="G813" t="s">
        <v>13</v>
      </c>
      <c r="H813" t="s">
        <v>14</v>
      </c>
      <c r="I813" t="s">
        <v>60</v>
      </c>
    </row>
    <row r="814" spans="1:9" x14ac:dyDescent="0.45">
      <c r="A814" t="s">
        <v>1689</v>
      </c>
      <c r="B814" s="2">
        <v>45799</v>
      </c>
      <c r="C814" t="s">
        <v>21</v>
      </c>
      <c r="D814" t="s">
        <v>1690</v>
      </c>
      <c r="E814" t="s">
        <v>58</v>
      </c>
      <c r="F814">
        <v>10</v>
      </c>
      <c r="G814" t="s">
        <v>43</v>
      </c>
      <c r="H814" t="s">
        <v>14</v>
      </c>
      <c r="I814" t="s">
        <v>31</v>
      </c>
    </row>
    <row r="815" spans="1:9" x14ac:dyDescent="0.45">
      <c r="A815" t="s">
        <v>1691</v>
      </c>
      <c r="B815" s="2">
        <v>45856</v>
      </c>
      <c r="C815" t="s">
        <v>16</v>
      </c>
      <c r="D815" t="s">
        <v>1692</v>
      </c>
      <c r="E815" t="s">
        <v>23</v>
      </c>
      <c r="F815">
        <v>1</v>
      </c>
      <c r="G815" t="s">
        <v>43</v>
      </c>
      <c r="H815" t="s">
        <v>14</v>
      </c>
      <c r="I815" t="s">
        <v>31</v>
      </c>
    </row>
    <row r="816" spans="1:9" x14ac:dyDescent="0.45">
      <c r="A816" t="s">
        <v>1693</v>
      </c>
      <c r="B816" s="2">
        <v>45887</v>
      </c>
      <c r="C816" t="s">
        <v>16</v>
      </c>
      <c r="D816" t="s">
        <v>1694</v>
      </c>
      <c r="E816" t="s">
        <v>54</v>
      </c>
      <c r="F816">
        <v>4</v>
      </c>
      <c r="G816" t="s">
        <v>24</v>
      </c>
      <c r="H816" t="s">
        <v>25</v>
      </c>
      <c r="I816" t="s">
        <v>31</v>
      </c>
    </row>
    <row r="817" spans="1:9" x14ac:dyDescent="0.45">
      <c r="A817" t="s">
        <v>1695</v>
      </c>
      <c r="B817" s="2">
        <v>45823</v>
      </c>
      <c r="C817" t="s">
        <v>28</v>
      </c>
      <c r="D817" t="s">
        <v>1696</v>
      </c>
      <c r="E817" t="s">
        <v>71</v>
      </c>
      <c r="F817">
        <v>7</v>
      </c>
      <c r="G817" t="s">
        <v>43</v>
      </c>
      <c r="H817" t="s">
        <v>14</v>
      </c>
      <c r="I817" t="s">
        <v>19</v>
      </c>
    </row>
    <row r="818" spans="1:9" x14ac:dyDescent="0.45">
      <c r="A818" t="s">
        <v>1697</v>
      </c>
      <c r="B818" s="2">
        <v>45736</v>
      </c>
      <c r="C818" t="s">
        <v>52</v>
      </c>
      <c r="D818" t="s">
        <v>1698</v>
      </c>
      <c r="E818" t="s">
        <v>30</v>
      </c>
      <c r="F818">
        <v>11</v>
      </c>
      <c r="G818" t="s">
        <v>55</v>
      </c>
      <c r="H818" t="s">
        <v>72</v>
      </c>
      <c r="I818" t="s">
        <v>26</v>
      </c>
    </row>
    <row r="819" spans="1:9" x14ac:dyDescent="0.45">
      <c r="A819" t="s">
        <v>1699</v>
      </c>
      <c r="B819" s="2">
        <v>45790</v>
      </c>
      <c r="C819" t="s">
        <v>10</v>
      </c>
      <c r="D819" t="s">
        <v>1700</v>
      </c>
      <c r="E819" t="s">
        <v>30</v>
      </c>
      <c r="F819">
        <v>1</v>
      </c>
      <c r="G819" t="s">
        <v>35</v>
      </c>
      <c r="H819" t="s">
        <v>25</v>
      </c>
      <c r="I819" t="s">
        <v>19</v>
      </c>
    </row>
    <row r="820" spans="1:9" x14ac:dyDescent="0.45">
      <c r="A820" t="s">
        <v>1701</v>
      </c>
      <c r="B820" s="2">
        <v>45689</v>
      </c>
      <c r="C820" t="s">
        <v>28</v>
      </c>
      <c r="D820" t="s">
        <v>1702</v>
      </c>
      <c r="E820" t="s">
        <v>23</v>
      </c>
      <c r="F820">
        <v>11</v>
      </c>
      <c r="G820" t="s">
        <v>43</v>
      </c>
      <c r="H820" t="s">
        <v>14</v>
      </c>
      <c r="I820" t="s">
        <v>19</v>
      </c>
    </row>
    <row r="821" spans="1:9" x14ac:dyDescent="0.45">
      <c r="A821" t="s">
        <v>1703</v>
      </c>
      <c r="B821" s="2">
        <v>45718</v>
      </c>
      <c r="C821" t="s">
        <v>49</v>
      </c>
      <c r="D821" t="s">
        <v>1704</v>
      </c>
      <c r="E821" t="s">
        <v>23</v>
      </c>
      <c r="F821">
        <v>1</v>
      </c>
      <c r="G821" t="s">
        <v>59</v>
      </c>
      <c r="H821" t="s">
        <v>14</v>
      </c>
      <c r="I821" t="s">
        <v>39</v>
      </c>
    </row>
    <row r="822" spans="1:9" x14ac:dyDescent="0.45">
      <c r="A822" t="s">
        <v>1705</v>
      </c>
      <c r="B822" s="2">
        <v>45851</v>
      </c>
      <c r="C822" t="s">
        <v>10</v>
      </c>
      <c r="D822" t="s">
        <v>1706</v>
      </c>
      <c r="E822" t="s">
        <v>7973</v>
      </c>
      <c r="F822">
        <v>4</v>
      </c>
      <c r="G822" t="s">
        <v>55</v>
      </c>
      <c r="H822" t="s">
        <v>72</v>
      </c>
      <c r="I822" t="s">
        <v>47</v>
      </c>
    </row>
    <row r="823" spans="1:9" x14ac:dyDescent="0.45">
      <c r="A823" t="s">
        <v>1707</v>
      </c>
      <c r="B823" s="2">
        <v>45672</v>
      </c>
      <c r="C823" t="s">
        <v>52</v>
      </c>
      <c r="D823" t="s">
        <v>1708</v>
      </c>
      <c r="E823" t="s">
        <v>46</v>
      </c>
      <c r="F823">
        <v>10</v>
      </c>
      <c r="G823" t="s">
        <v>13</v>
      </c>
      <c r="H823" t="s">
        <v>14</v>
      </c>
      <c r="I823" t="s">
        <v>60</v>
      </c>
    </row>
    <row r="824" spans="1:9" x14ac:dyDescent="0.45">
      <c r="A824" t="s">
        <v>1709</v>
      </c>
      <c r="B824" s="2">
        <v>45736</v>
      </c>
      <c r="C824" t="s">
        <v>16</v>
      </c>
      <c r="D824" t="s">
        <v>1710</v>
      </c>
      <c r="E824" t="s">
        <v>46</v>
      </c>
      <c r="F824">
        <v>8</v>
      </c>
      <c r="G824" t="s">
        <v>59</v>
      </c>
      <c r="H824" t="s">
        <v>14</v>
      </c>
      <c r="I824" t="s">
        <v>47</v>
      </c>
    </row>
    <row r="825" spans="1:9" x14ac:dyDescent="0.45">
      <c r="A825" t="s">
        <v>1711</v>
      </c>
      <c r="B825" s="2">
        <v>45720</v>
      </c>
      <c r="C825" t="s">
        <v>21</v>
      </c>
      <c r="D825" t="s">
        <v>1712</v>
      </c>
      <c r="E825" t="s">
        <v>34</v>
      </c>
      <c r="F825">
        <v>4</v>
      </c>
      <c r="G825" t="s">
        <v>55</v>
      </c>
      <c r="H825" t="s">
        <v>72</v>
      </c>
      <c r="I825" t="s">
        <v>60</v>
      </c>
    </row>
    <row r="826" spans="1:9" x14ac:dyDescent="0.45">
      <c r="A826" t="s">
        <v>1713</v>
      </c>
      <c r="B826" s="2">
        <v>45666</v>
      </c>
      <c r="C826" t="s">
        <v>16</v>
      </c>
      <c r="D826" t="s">
        <v>1714</v>
      </c>
      <c r="E826" t="s">
        <v>75</v>
      </c>
      <c r="F826">
        <v>10</v>
      </c>
      <c r="G826" t="s">
        <v>18</v>
      </c>
      <c r="H826" t="s">
        <v>14</v>
      </c>
      <c r="I826" t="s">
        <v>26</v>
      </c>
    </row>
    <row r="827" spans="1:9" x14ac:dyDescent="0.45">
      <c r="A827" t="s">
        <v>1715</v>
      </c>
      <c r="B827" s="2">
        <v>45789</v>
      </c>
      <c r="C827" t="s">
        <v>16</v>
      </c>
      <c r="D827" t="s">
        <v>1716</v>
      </c>
      <c r="E827" t="s">
        <v>54</v>
      </c>
      <c r="F827">
        <v>6</v>
      </c>
      <c r="G827" t="s">
        <v>13</v>
      </c>
      <c r="H827" t="s">
        <v>14</v>
      </c>
      <c r="I827" t="s">
        <v>47</v>
      </c>
    </row>
    <row r="828" spans="1:9" x14ac:dyDescent="0.45">
      <c r="A828" t="s">
        <v>1717</v>
      </c>
      <c r="B828" s="2">
        <v>45732</v>
      </c>
      <c r="C828" t="s">
        <v>16</v>
      </c>
      <c r="D828" t="s">
        <v>1718</v>
      </c>
      <c r="E828" t="s">
        <v>58</v>
      </c>
      <c r="F828">
        <v>10</v>
      </c>
      <c r="G828" t="s">
        <v>68</v>
      </c>
      <c r="H828" t="s">
        <v>25</v>
      </c>
      <c r="I828" t="s">
        <v>39</v>
      </c>
    </row>
    <row r="829" spans="1:9" x14ac:dyDescent="0.45">
      <c r="A829" t="s">
        <v>1719</v>
      </c>
      <c r="B829" s="2">
        <v>45795</v>
      </c>
      <c r="C829" t="s">
        <v>10</v>
      </c>
      <c r="D829" t="s">
        <v>1720</v>
      </c>
      <c r="E829" t="s">
        <v>30</v>
      </c>
      <c r="F829">
        <v>9</v>
      </c>
      <c r="G829" t="s">
        <v>24</v>
      </c>
      <c r="H829" t="s">
        <v>25</v>
      </c>
      <c r="I829" t="s">
        <v>26</v>
      </c>
    </row>
    <row r="830" spans="1:9" x14ac:dyDescent="0.45">
      <c r="A830" t="s">
        <v>1721</v>
      </c>
      <c r="B830" s="2">
        <v>45842</v>
      </c>
      <c r="C830" t="s">
        <v>28</v>
      </c>
      <c r="D830" t="s">
        <v>1722</v>
      </c>
      <c r="E830" t="s">
        <v>46</v>
      </c>
      <c r="F830">
        <v>3</v>
      </c>
      <c r="G830" t="s">
        <v>68</v>
      </c>
      <c r="H830" t="s">
        <v>25</v>
      </c>
      <c r="I830" t="s">
        <v>31</v>
      </c>
    </row>
    <row r="831" spans="1:9" x14ac:dyDescent="0.45">
      <c r="A831" t="s">
        <v>1723</v>
      </c>
      <c r="B831" s="2">
        <v>45811</v>
      </c>
      <c r="C831" t="s">
        <v>21</v>
      </c>
      <c r="D831" t="s">
        <v>1724</v>
      </c>
      <c r="E831" t="s">
        <v>7974</v>
      </c>
      <c r="F831">
        <v>11</v>
      </c>
      <c r="G831" t="s">
        <v>55</v>
      </c>
      <c r="H831" t="s">
        <v>72</v>
      </c>
      <c r="I831" t="s">
        <v>47</v>
      </c>
    </row>
    <row r="832" spans="1:9" x14ac:dyDescent="0.45">
      <c r="A832" t="s">
        <v>1725</v>
      </c>
      <c r="B832" s="2">
        <v>45814</v>
      </c>
      <c r="C832" t="s">
        <v>49</v>
      </c>
      <c r="D832" t="s">
        <v>1726</v>
      </c>
      <c r="E832" t="s">
        <v>30</v>
      </c>
      <c r="F832">
        <v>11</v>
      </c>
      <c r="G832" t="s">
        <v>43</v>
      </c>
      <c r="H832" t="s">
        <v>14</v>
      </c>
      <c r="I832" t="s">
        <v>39</v>
      </c>
    </row>
    <row r="833" spans="1:9" x14ac:dyDescent="0.45">
      <c r="A833" t="s">
        <v>1727</v>
      </c>
      <c r="B833" s="2">
        <v>45789</v>
      </c>
      <c r="C833" t="s">
        <v>21</v>
      </c>
      <c r="D833" t="s">
        <v>1728</v>
      </c>
      <c r="E833" t="s">
        <v>54</v>
      </c>
      <c r="F833">
        <v>6</v>
      </c>
      <c r="G833" t="s">
        <v>18</v>
      </c>
      <c r="H833" t="s">
        <v>14</v>
      </c>
      <c r="I833" t="s">
        <v>26</v>
      </c>
    </row>
    <row r="834" spans="1:9" x14ac:dyDescent="0.45">
      <c r="A834" t="s">
        <v>1729</v>
      </c>
      <c r="B834" s="2">
        <v>45725</v>
      </c>
      <c r="C834" t="s">
        <v>66</v>
      </c>
      <c r="D834" t="s">
        <v>1730</v>
      </c>
      <c r="E834" t="s">
        <v>23</v>
      </c>
      <c r="F834">
        <v>10</v>
      </c>
      <c r="G834" t="s">
        <v>43</v>
      </c>
      <c r="H834" t="s">
        <v>14</v>
      </c>
      <c r="I834" t="s">
        <v>60</v>
      </c>
    </row>
    <row r="835" spans="1:9" x14ac:dyDescent="0.45">
      <c r="A835" t="s">
        <v>1731</v>
      </c>
      <c r="B835" s="2">
        <v>45715</v>
      </c>
      <c r="C835" t="s">
        <v>52</v>
      </c>
      <c r="D835" t="s">
        <v>1732</v>
      </c>
      <c r="E835" t="s">
        <v>30</v>
      </c>
      <c r="F835">
        <v>7</v>
      </c>
      <c r="G835" t="s">
        <v>55</v>
      </c>
      <c r="H835" t="s">
        <v>72</v>
      </c>
      <c r="I835" t="s">
        <v>19</v>
      </c>
    </row>
    <row r="836" spans="1:9" x14ac:dyDescent="0.45">
      <c r="A836" t="s">
        <v>1733</v>
      </c>
      <c r="B836" s="2">
        <v>45773</v>
      </c>
      <c r="C836" t="s">
        <v>16</v>
      </c>
      <c r="D836" t="s">
        <v>1734</v>
      </c>
      <c r="E836" t="s">
        <v>38</v>
      </c>
      <c r="F836">
        <v>6</v>
      </c>
      <c r="G836" t="s">
        <v>18</v>
      </c>
      <c r="H836" t="s">
        <v>14</v>
      </c>
      <c r="I836" t="s">
        <v>39</v>
      </c>
    </row>
    <row r="837" spans="1:9" x14ac:dyDescent="0.45">
      <c r="A837" t="s">
        <v>1735</v>
      </c>
      <c r="B837" s="2">
        <v>45855</v>
      </c>
      <c r="C837" t="s">
        <v>52</v>
      </c>
      <c r="D837" t="s">
        <v>1736</v>
      </c>
      <c r="E837" t="s">
        <v>34</v>
      </c>
      <c r="F837">
        <v>8</v>
      </c>
      <c r="G837" t="s">
        <v>68</v>
      </c>
      <c r="H837" t="s">
        <v>25</v>
      </c>
      <c r="I837" t="s">
        <v>60</v>
      </c>
    </row>
    <row r="838" spans="1:9" x14ac:dyDescent="0.45">
      <c r="A838" t="s">
        <v>1737</v>
      </c>
      <c r="B838" s="2">
        <v>45903</v>
      </c>
      <c r="C838" t="s">
        <v>16</v>
      </c>
      <c r="D838" t="s">
        <v>1738</v>
      </c>
      <c r="E838" t="s">
        <v>46</v>
      </c>
      <c r="F838">
        <v>12</v>
      </c>
      <c r="G838" t="s">
        <v>43</v>
      </c>
      <c r="H838" t="s">
        <v>14</v>
      </c>
      <c r="I838" t="s">
        <v>31</v>
      </c>
    </row>
    <row r="839" spans="1:9" x14ac:dyDescent="0.45">
      <c r="A839" t="s">
        <v>1739</v>
      </c>
      <c r="B839" s="2">
        <v>45869</v>
      </c>
      <c r="C839" t="s">
        <v>21</v>
      </c>
      <c r="D839" t="s">
        <v>1740</v>
      </c>
      <c r="E839" t="s">
        <v>38</v>
      </c>
      <c r="F839">
        <v>11</v>
      </c>
      <c r="G839" t="s">
        <v>55</v>
      </c>
      <c r="H839" t="s">
        <v>72</v>
      </c>
      <c r="I839" t="s">
        <v>19</v>
      </c>
    </row>
    <row r="840" spans="1:9" x14ac:dyDescent="0.45">
      <c r="A840" t="s">
        <v>1741</v>
      </c>
      <c r="B840" s="2">
        <v>45893</v>
      </c>
      <c r="C840" t="s">
        <v>49</v>
      </c>
      <c r="D840" t="s">
        <v>1742</v>
      </c>
      <c r="E840" t="s">
        <v>75</v>
      </c>
      <c r="F840">
        <v>4</v>
      </c>
      <c r="G840" t="s">
        <v>18</v>
      </c>
      <c r="H840" t="s">
        <v>14</v>
      </c>
      <c r="I840" t="s">
        <v>26</v>
      </c>
    </row>
    <row r="841" spans="1:9" x14ac:dyDescent="0.45">
      <c r="A841" t="s">
        <v>1743</v>
      </c>
      <c r="B841" s="2">
        <v>45794</v>
      </c>
      <c r="C841" t="s">
        <v>10</v>
      </c>
      <c r="D841" t="s">
        <v>1744</v>
      </c>
      <c r="E841" t="s">
        <v>34</v>
      </c>
      <c r="F841">
        <v>9</v>
      </c>
      <c r="G841" t="s">
        <v>13</v>
      </c>
      <c r="H841" t="s">
        <v>14</v>
      </c>
      <c r="I841" t="s">
        <v>39</v>
      </c>
    </row>
    <row r="842" spans="1:9" x14ac:dyDescent="0.45">
      <c r="A842" t="s">
        <v>1745</v>
      </c>
      <c r="B842" s="2">
        <v>45665</v>
      </c>
      <c r="C842" t="s">
        <v>28</v>
      </c>
      <c r="D842" t="s">
        <v>1746</v>
      </c>
      <c r="E842" t="s">
        <v>30</v>
      </c>
      <c r="F842">
        <v>6</v>
      </c>
      <c r="G842" t="s">
        <v>18</v>
      </c>
      <c r="H842" t="s">
        <v>14</v>
      </c>
      <c r="I842" t="s">
        <v>19</v>
      </c>
    </row>
    <row r="843" spans="1:9" x14ac:dyDescent="0.45">
      <c r="A843" t="s">
        <v>1747</v>
      </c>
      <c r="B843" s="2">
        <v>45665</v>
      </c>
      <c r="C843" t="s">
        <v>10</v>
      </c>
      <c r="D843" t="s">
        <v>1748</v>
      </c>
      <c r="E843" t="s">
        <v>23</v>
      </c>
      <c r="F843">
        <v>9</v>
      </c>
      <c r="G843" t="s">
        <v>43</v>
      </c>
      <c r="H843" t="s">
        <v>14</v>
      </c>
      <c r="I843" t="s">
        <v>60</v>
      </c>
    </row>
    <row r="844" spans="1:9" x14ac:dyDescent="0.45">
      <c r="A844" t="s">
        <v>1749</v>
      </c>
      <c r="B844" s="2">
        <v>45838</v>
      </c>
      <c r="C844" t="s">
        <v>99</v>
      </c>
      <c r="D844" t="s">
        <v>1750</v>
      </c>
      <c r="E844" t="s">
        <v>7973</v>
      </c>
      <c r="F844">
        <v>11</v>
      </c>
      <c r="G844" t="s">
        <v>68</v>
      </c>
      <c r="H844" t="s">
        <v>25</v>
      </c>
      <c r="I844" t="s">
        <v>26</v>
      </c>
    </row>
    <row r="845" spans="1:9" x14ac:dyDescent="0.45">
      <c r="A845" t="s">
        <v>1751</v>
      </c>
      <c r="B845" s="2">
        <v>45839</v>
      </c>
      <c r="C845" t="s">
        <v>28</v>
      </c>
      <c r="D845" t="s">
        <v>1752</v>
      </c>
      <c r="E845" t="s">
        <v>54</v>
      </c>
      <c r="F845">
        <v>11</v>
      </c>
      <c r="G845" t="s">
        <v>24</v>
      </c>
      <c r="H845" t="s">
        <v>25</v>
      </c>
      <c r="I845" t="s">
        <v>60</v>
      </c>
    </row>
    <row r="846" spans="1:9" x14ac:dyDescent="0.45">
      <c r="A846" t="s">
        <v>1753</v>
      </c>
      <c r="B846" s="2">
        <v>45675</v>
      </c>
      <c r="C846" t="s">
        <v>10</v>
      </c>
      <c r="D846" t="s">
        <v>1754</v>
      </c>
      <c r="E846" t="s">
        <v>30</v>
      </c>
      <c r="F846">
        <v>6</v>
      </c>
      <c r="G846" t="s">
        <v>24</v>
      </c>
      <c r="H846" t="s">
        <v>25</v>
      </c>
      <c r="I846" t="s">
        <v>31</v>
      </c>
    </row>
    <row r="847" spans="1:9" x14ac:dyDescent="0.45">
      <c r="A847" t="s">
        <v>1755</v>
      </c>
      <c r="B847" s="2">
        <v>45835</v>
      </c>
      <c r="C847" t="s">
        <v>28</v>
      </c>
      <c r="D847" t="s">
        <v>1756</v>
      </c>
      <c r="E847" t="s">
        <v>46</v>
      </c>
      <c r="F847">
        <v>5</v>
      </c>
      <c r="G847" t="s">
        <v>68</v>
      </c>
      <c r="H847" t="s">
        <v>25</v>
      </c>
      <c r="I847" t="s">
        <v>31</v>
      </c>
    </row>
    <row r="848" spans="1:9" x14ac:dyDescent="0.45">
      <c r="A848" t="s">
        <v>1757</v>
      </c>
      <c r="B848" s="2">
        <v>45681</v>
      </c>
      <c r="C848" t="s">
        <v>28</v>
      </c>
      <c r="D848" t="s">
        <v>1758</v>
      </c>
      <c r="E848" t="s">
        <v>38</v>
      </c>
      <c r="F848">
        <v>12</v>
      </c>
      <c r="G848" t="s">
        <v>55</v>
      </c>
      <c r="H848" t="s">
        <v>72</v>
      </c>
      <c r="I848" t="s">
        <v>47</v>
      </c>
    </row>
    <row r="849" spans="1:9" x14ac:dyDescent="0.45">
      <c r="A849" t="s">
        <v>1759</v>
      </c>
      <c r="B849" s="2">
        <v>45785</v>
      </c>
      <c r="C849" t="s">
        <v>66</v>
      </c>
      <c r="D849" t="s">
        <v>1760</v>
      </c>
      <c r="E849" t="s">
        <v>71</v>
      </c>
      <c r="F849">
        <v>3</v>
      </c>
      <c r="G849" t="s">
        <v>55</v>
      </c>
      <c r="H849" t="s">
        <v>72</v>
      </c>
      <c r="I849" t="s">
        <v>60</v>
      </c>
    </row>
    <row r="850" spans="1:9" x14ac:dyDescent="0.45">
      <c r="A850" t="s">
        <v>1761</v>
      </c>
      <c r="B850" s="2">
        <v>45796</v>
      </c>
      <c r="C850" t="s">
        <v>16</v>
      </c>
      <c r="D850" t="s">
        <v>1762</v>
      </c>
      <c r="E850" t="s">
        <v>58</v>
      </c>
      <c r="F850">
        <v>3</v>
      </c>
      <c r="G850" t="s">
        <v>68</v>
      </c>
      <c r="H850" t="s">
        <v>25</v>
      </c>
      <c r="I850" t="s">
        <v>60</v>
      </c>
    </row>
    <row r="851" spans="1:9" x14ac:dyDescent="0.45">
      <c r="A851" t="s">
        <v>1763</v>
      </c>
      <c r="B851" s="2">
        <v>45893</v>
      </c>
      <c r="C851" t="s">
        <v>16</v>
      </c>
      <c r="D851" t="s">
        <v>1764</v>
      </c>
      <c r="E851" t="s">
        <v>38</v>
      </c>
      <c r="F851">
        <v>7</v>
      </c>
      <c r="G851" t="s">
        <v>43</v>
      </c>
      <c r="H851" t="s">
        <v>14</v>
      </c>
      <c r="I851" t="s">
        <v>39</v>
      </c>
    </row>
    <row r="852" spans="1:9" x14ac:dyDescent="0.45">
      <c r="A852" t="s">
        <v>1765</v>
      </c>
      <c r="B852" s="2">
        <v>45659</v>
      </c>
      <c r="C852" t="s">
        <v>66</v>
      </c>
      <c r="D852" t="s">
        <v>1766</v>
      </c>
      <c r="E852" t="s">
        <v>7974</v>
      </c>
      <c r="F852">
        <v>10</v>
      </c>
      <c r="G852" t="s">
        <v>55</v>
      </c>
      <c r="H852" t="s">
        <v>72</v>
      </c>
      <c r="I852" t="s">
        <v>39</v>
      </c>
    </row>
    <row r="853" spans="1:9" x14ac:dyDescent="0.45">
      <c r="A853" t="s">
        <v>1767</v>
      </c>
      <c r="B853" s="2">
        <v>45847</v>
      </c>
      <c r="C853" t="s">
        <v>16</v>
      </c>
      <c r="D853" t="s">
        <v>1768</v>
      </c>
      <c r="E853" t="s">
        <v>7973</v>
      </c>
      <c r="F853">
        <v>9</v>
      </c>
      <c r="G853" t="s">
        <v>24</v>
      </c>
      <c r="H853" t="s">
        <v>25</v>
      </c>
      <c r="I853" t="s">
        <v>19</v>
      </c>
    </row>
    <row r="854" spans="1:9" x14ac:dyDescent="0.45">
      <c r="A854" t="s">
        <v>1769</v>
      </c>
      <c r="B854" s="2">
        <v>45773</v>
      </c>
      <c r="C854" t="s">
        <v>28</v>
      </c>
      <c r="D854" t="s">
        <v>1770</v>
      </c>
      <c r="E854" t="s">
        <v>30</v>
      </c>
      <c r="F854">
        <v>2</v>
      </c>
      <c r="G854" t="s">
        <v>59</v>
      </c>
      <c r="H854" t="s">
        <v>14</v>
      </c>
      <c r="I854" t="s">
        <v>60</v>
      </c>
    </row>
    <row r="855" spans="1:9" x14ac:dyDescent="0.45">
      <c r="A855" t="s">
        <v>1771</v>
      </c>
      <c r="B855" s="2">
        <v>45829</v>
      </c>
      <c r="C855" t="s">
        <v>10</v>
      </c>
      <c r="D855" t="s">
        <v>1772</v>
      </c>
      <c r="E855" t="s">
        <v>7967</v>
      </c>
      <c r="F855">
        <v>12</v>
      </c>
      <c r="G855" t="s">
        <v>35</v>
      </c>
      <c r="H855" t="s">
        <v>25</v>
      </c>
      <c r="I855" t="s">
        <v>31</v>
      </c>
    </row>
    <row r="856" spans="1:9" x14ac:dyDescent="0.45">
      <c r="A856" t="s">
        <v>1773</v>
      </c>
      <c r="B856" s="2">
        <v>45865</v>
      </c>
      <c r="C856" t="s">
        <v>52</v>
      </c>
      <c r="D856" t="s">
        <v>1774</v>
      </c>
      <c r="E856" t="s">
        <v>46</v>
      </c>
      <c r="F856">
        <v>9</v>
      </c>
      <c r="G856" t="s">
        <v>24</v>
      </c>
      <c r="H856" t="s">
        <v>25</v>
      </c>
      <c r="I856" t="s">
        <v>47</v>
      </c>
    </row>
    <row r="857" spans="1:9" x14ac:dyDescent="0.45">
      <c r="A857" t="s">
        <v>1775</v>
      </c>
      <c r="B857" s="2">
        <v>45768</v>
      </c>
      <c r="C857" t="s">
        <v>28</v>
      </c>
      <c r="D857" t="s">
        <v>1776</v>
      </c>
      <c r="E857" t="s">
        <v>71</v>
      </c>
      <c r="F857">
        <v>4</v>
      </c>
      <c r="G857" t="s">
        <v>35</v>
      </c>
      <c r="H857" t="s">
        <v>25</v>
      </c>
      <c r="I857" t="s">
        <v>31</v>
      </c>
    </row>
    <row r="858" spans="1:9" x14ac:dyDescent="0.45">
      <c r="A858" t="s">
        <v>1777</v>
      </c>
      <c r="B858" s="2">
        <v>45734</v>
      </c>
      <c r="C858" t="s">
        <v>16</v>
      </c>
      <c r="D858" t="s">
        <v>1778</v>
      </c>
      <c r="E858" t="s">
        <v>7973</v>
      </c>
      <c r="F858">
        <v>11</v>
      </c>
      <c r="G858" t="s">
        <v>43</v>
      </c>
      <c r="H858" t="s">
        <v>14</v>
      </c>
      <c r="I858" t="s">
        <v>26</v>
      </c>
    </row>
    <row r="859" spans="1:9" x14ac:dyDescent="0.45">
      <c r="A859" t="s">
        <v>1779</v>
      </c>
      <c r="B859" s="2">
        <v>45680</v>
      </c>
      <c r="C859" t="s">
        <v>49</v>
      </c>
      <c r="D859" t="s">
        <v>1780</v>
      </c>
      <c r="E859" t="s">
        <v>42</v>
      </c>
      <c r="F859">
        <v>11</v>
      </c>
      <c r="G859" t="s">
        <v>68</v>
      </c>
      <c r="H859" t="s">
        <v>25</v>
      </c>
      <c r="I859" t="s">
        <v>26</v>
      </c>
    </row>
    <row r="860" spans="1:9" x14ac:dyDescent="0.45">
      <c r="A860" t="s">
        <v>1781</v>
      </c>
      <c r="B860" s="2">
        <v>45839</v>
      </c>
      <c r="C860" t="s">
        <v>52</v>
      </c>
      <c r="D860" t="s">
        <v>1782</v>
      </c>
      <c r="E860" t="s">
        <v>54</v>
      </c>
      <c r="F860">
        <v>8</v>
      </c>
      <c r="G860" t="s">
        <v>35</v>
      </c>
      <c r="H860" t="s">
        <v>25</v>
      </c>
      <c r="I860" t="s">
        <v>19</v>
      </c>
    </row>
    <row r="861" spans="1:9" x14ac:dyDescent="0.45">
      <c r="A861" t="s">
        <v>1783</v>
      </c>
      <c r="B861" s="2">
        <v>45731</v>
      </c>
      <c r="C861" t="s">
        <v>28</v>
      </c>
      <c r="D861" t="s">
        <v>1784</v>
      </c>
      <c r="E861" t="s">
        <v>7973</v>
      </c>
      <c r="F861">
        <v>3</v>
      </c>
      <c r="G861" t="s">
        <v>35</v>
      </c>
      <c r="H861" t="s">
        <v>25</v>
      </c>
      <c r="I861" t="s">
        <v>19</v>
      </c>
    </row>
    <row r="862" spans="1:9" x14ac:dyDescent="0.45">
      <c r="A862" t="s">
        <v>1785</v>
      </c>
      <c r="B862" s="2">
        <v>45678</v>
      </c>
      <c r="C862" t="s">
        <v>49</v>
      </c>
      <c r="D862" t="s">
        <v>1786</v>
      </c>
      <c r="E862" t="s">
        <v>58</v>
      </c>
      <c r="F862">
        <v>1</v>
      </c>
      <c r="G862" t="s">
        <v>18</v>
      </c>
      <c r="H862" t="s">
        <v>14</v>
      </c>
      <c r="I862" t="s">
        <v>19</v>
      </c>
    </row>
    <row r="863" spans="1:9" x14ac:dyDescent="0.45">
      <c r="A863" t="s">
        <v>1787</v>
      </c>
      <c r="B863" s="2">
        <v>45771</v>
      </c>
      <c r="C863" t="s">
        <v>52</v>
      </c>
      <c r="D863" t="s">
        <v>1788</v>
      </c>
      <c r="E863" t="s">
        <v>30</v>
      </c>
      <c r="F863">
        <v>10</v>
      </c>
      <c r="G863" t="s">
        <v>13</v>
      </c>
      <c r="H863" t="s">
        <v>14</v>
      </c>
      <c r="I863" t="s">
        <v>26</v>
      </c>
    </row>
    <row r="864" spans="1:9" x14ac:dyDescent="0.45">
      <c r="A864" t="s">
        <v>1789</v>
      </c>
      <c r="B864" s="2">
        <v>45770</v>
      </c>
      <c r="C864" t="s">
        <v>66</v>
      </c>
      <c r="D864" t="s">
        <v>1790</v>
      </c>
      <c r="E864" t="s">
        <v>54</v>
      </c>
      <c r="F864">
        <v>2</v>
      </c>
      <c r="G864" t="s">
        <v>24</v>
      </c>
      <c r="H864" t="s">
        <v>25</v>
      </c>
      <c r="I864" t="s">
        <v>47</v>
      </c>
    </row>
    <row r="865" spans="1:9" x14ac:dyDescent="0.45">
      <c r="A865" t="s">
        <v>1791</v>
      </c>
      <c r="B865" s="2">
        <v>45716</v>
      </c>
      <c r="C865" t="s">
        <v>16</v>
      </c>
      <c r="D865" t="s">
        <v>1792</v>
      </c>
      <c r="E865" t="s">
        <v>75</v>
      </c>
      <c r="F865">
        <v>8</v>
      </c>
      <c r="G865" t="s">
        <v>59</v>
      </c>
      <c r="H865" t="s">
        <v>14</v>
      </c>
      <c r="I865" t="s">
        <v>26</v>
      </c>
    </row>
    <row r="866" spans="1:9" x14ac:dyDescent="0.45">
      <c r="A866" t="s">
        <v>1793</v>
      </c>
      <c r="B866" s="2">
        <v>45896</v>
      </c>
      <c r="C866" t="s">
        <v>52</v>
      </c>
      <c r="D866" t="s">
        <v>1794</v>
      </c>
      <c r="E866" t="s">
        <v>38</v>
      </c>
      <c r="F866">
        <v>12</v>
      </c>
      <c r="G866" t="s">
        <v>43</v>
      </c>
      <c r="H866" t="s">
        <v>14</v>
      </c>
      <c r="I866" t="s">
        <v>60</v>
      </c>
    </row>
    <row r="867" spans="1:9" x14ac:dyDescent="0.45">
      <c r="A867" t="s">
        <v>1795</v>
      </c>
      <c r="B867" s="2">
        <v>45868</v>
      </c>
      <c r="C867" t="s">
        <v>21</v>
      </c>
      <c r="D867" t="s">
        <v>1796</v>
      </c>
      <c r="E867" t="s">
        <v>34</v>
      </c>
      <c r="F867">
        <v>7</v>
      </c>
      <c r="G867" t="s">
        <v>59</v>
      </c>
      <c r="H867" t="s">
        <v>14</v>
      </c>
      <c r="I867" t="s">
        <v>60</v>
      </c>
    </row>
    <row r="868" spans="1:9" x14ac:dyDescent="0.45">
      <c r="A868" t="s">
        <v>1797</v>
      </c>
      <c r="B868" s="2">
        <v>45827</v>
      </c>
      <c r="C868" t="s">
        <v>28</v>
      </c>
      <c r="D868" t="s">
        <v>1798</v>
      </c>
      <c r="E868" t="s">
        <v>34</v>
      </c>
      <c r="F868">
        <v>2</v>
      </c>
      <c r="G868" t="s">
        <v>55</v>
      </c>
      <c r="H868" t="s">
        <v>72</v>
      </c>
      <c r="I868" t="s">
        <v>26</v>
      </c>
    </row>
    <row r="869" spans="1:9" x14ac:dyDescent="0.45">
      <c r="A869" t="s">
        <v>1799</v>
      </c>
      <c r="B869" s="2">
        <v>45732</v>
      </c>
      <c r="C869" t="s">
        <v>49</v>
      </c>
      <c r="D869" t="s">
        <v>1800</v>
      </c>
      <c r="E869" t="s">
        <v>7974</v>
      </c>
      <c r="F869">
        <v>5</v>
      </c>
      <c r="G869" t="s">
        <v>35</v>
      </c>
      <c r="H869" t="s">
        <v>25</v>
      </c>
      <c r="I869" t="s">
        <v>26</v>
      </c>
    </row>
    <row r="870" spans="1:9" x14ac:dyDescent="0.45">
      <c r="A870" t="s">
        <v>1801</v>
      </c>
      <c r="B870" s="2">
        <v>45846</v>
      </c>
      <c r="C870" t="s">
        <v>99</v>
      </c>
      <c r="D870" t="s">
        <v>1802</v>
      </c>
      <c r="E870" t="s">
        <v>34</v>
      </c>
      <c r="F870">
        <v>5</v>
      </c>
      <c r="G870" t="s">
        <v>59</v>
      </c>
      <c r="H870" t="s">
        <v>14</v>
      </c>
      <c r="I870" t="s">
        <v>7967</v>
      </c>
    </row>
    <row r="871" spans="1:9" x14ac:dyDescent="0.45">
      <c r="A871" t="s">
        <v>1803</v>
      </c>
      <c r="B871" s="2">
        <v>45809</v>
      </c>
      <c r="C871" t="s">
        <v>16</v>
      </c>
      <c r="D871" t="s">
        <v>1804</v>
      </c>
      <c r="E871" t="s">
        <v>46</v>
      </c>
      <c r="F871">
        <v>7</v>
      </c>
      <c r="G871" t="s">
        <v>18</v>
      </c>
      <c r="H871" t="s">
        <v>14</v>
      </c>
      <c r="I871" t="s">
        <v>26</v>
      </c>
    </row>
    <row r="872" spans="1:9" x14ac:dyDescent="0.45">
      <c r="A872" t="s">
        <v>1805</v>
      </c>
      <c r="B872" s="2">
        <v>45791</v>
      </c>
      <c r="C872" t="s">
        <v>16</v>
      </c>
      <c r="D872" t="s">
        <v>1806</v>
      </c>
      <c r="E872" t="s">
        <v>71</v>
      </c>
      <c r="F872">
        <v>5</v>
      </c>
      <c r="G872" t="s">
        <v>59</v>
      </c>
      <c r="H872" t="s">
        <v>14</v>
      </c>
      <c r="I872" t="s">
        <v>19</v>
      </c>
    </row>
    <row r="873" spans="1:9" x14ac:dyDescent="0.45">
      <c r="A873" t="s">
        <v>1807</v>
      </c>
      <c r="B873" s="2">
        <v>45836</v>
      </c>
      <c r="C873" t="s">
        <v>49</v>
      </c>
      <c r="D873" t="s">
        <v>1808</v>
      </c>
      <c r="E873" t="s">
        <v>7974</v>
      </c>
      <c r="F873">
        <v>8</v>
      </c>
      <c r="G873" t="s">
        <v>55</v>
      </c>
      <c r="H873" t="s">
        <v>72</v>
      </c>
      <c r="I873" t="s">
        <v>39</v>
      </c>
    </row>
    <row r="874" spans="1:9" x14ac:dyDescent="0.45">
      <c r="A874" t="s">
        <v>1809</v>
      </c>
      <c r="B874" s="2">
        <v>45867</v>
      </c>
      <c r="C874" t="s">
        <v>10</v>
      </c>
      <c r="D874" t="s">
        <v>1810</v>
      </c>
      <c r="E874" t="s">
        <v>34</v>
      </c>
      <c r="F874">
        <v>4</v>
      </c>
      <c r="G874" t="s">
        <v>35</v>
      </c>
      <c r="H874" t="s">
        <v>25</v>
      </c>
      <c r="I874" t="s">
        <v>39</v>
      </c>
    </row>
    <row r="875" spans="1:9" x14ac:dyDescent="0.45">
      <c r="A875" t="s">
        <v>1811</v>
      </c>
      <c r="B875" s="2">
        <v>45690</v>
      </c>
      <c r="C875" t="s">
        <v>99</v>
      </c>
      <c r="D875" t="s">
        <v>1812</v>
      </c>
      <c r="E875" t="s">
        <v>42</v>
      </c>
      <c r="F875">
        <v>7</v>
      </c>
      <c r="G875" t="s">
        <v>59</v>
      </c>
      <c r="H875" t="s">
        <v>14</v>
      </c>
      <c r="I875" t="s">
        <v>26</v>
      </c>
    </row>
    <row r="876" spans="1:9" x14ac:dyDescent="0.45">
      <c r="A876" t="s">
        <v>1813</v>
      </c>
      <c r="B876" s="2">
        <v>45665</v>
      </c>
      <c r="C876" t="s">
        <v>28</v>
      </c>
      <c r="D876" t="s">
        <v>1814</v>
      </c>
      <c r="E876" t="s">
        <v>42</v>
      </c>
      <c r="F876">
        <v>1</v>
      </c>
      <c r="G876" t="s">
        <v>24</v>
      </c>
      <c r="H876" t="s">
        <v>25</v>
      </c>
      <c r="I876" t="s">
        <v>47</v>
      </c>
    </row>
    <row r="877" spans="1:9" x14ac:dyDescent="0.45">
      <c r="A877" t="s">
        <v>1815</v>
      </c>
      <c r="B877" s="2">
        <v>45716</v>
      </c>
      <c r="C877" t="s">
        <v>10</v>
      </c>
      <c r="D877" t="s">
        <v>1816</v>
      </c>
      <c r="E877" t="s">
        <v>38</v>
      </c>
      <c r="F877">
        <v>5</v>
      </c>
      <c r="G877" t="s">
        <v>13</v>
      </c>
      <c r="H877" t="s">
        <v>14</v>
      </c>
      <c r="I877" t="s">
        <v>7967</v>
      </c>
    </row>
    <row r="878" spans="1:9" x14ac:dyDescent="0.45">
      <c r="A878" t="s">
        <v>1817</v>
      </c>
      <c r="B878" s="2">
        <v>45729</v>
      </c>
      <c r="C878" t="s">
        <v>52</v>
      </c>
      <c r="D878" t="s">
        <v>1818</v>
      </c>
      <c r="E878" t="s">
        <v>42</v>
      </c>
      <c r="F878">
        <v>9</v>
      </c>
      <c r="G878" t="s">
        <v>68</v>
      </c>
      <c r="H878" t="s">
        <v>25</v>
      </c>
      <c r="I878" t="s">
        <v>60</v>
      </c>
    </row>
    <row r="879" spans="1:9" x14ac:dyDescent="0.45">
      <c r="A879" t="s">
        <v>1819</v>
      </c>
      <c r="B879" s="2">
        <v>45793</v>
      </c>
      <c r="C879" t="s">
        <v>52</v>
      </c>
      <c r="D879" t="s">
        <v>1820</v>
      </c>
      <c r="E879" t="s">
        <v>34</v>
      </c>
      <c r="F879">
        <v>8</v>
      </c>
      <c r="G879" t="s">
        <v>59</v>
      </c>
      <c r="H879" t="s">
        <v>14</v>
      </c>
      <c r="I879" t="s">
        <v>7967</v>
      </c>
    </row>
    <row r="880" spans="1:9" x14ac:dyDescent="0.45">
      <c r="A880" t="s">
        <v>1821</v>
      </c>
      <c r="B880" s="2">
        <v>45775</v>
      </c>
      <c r="C880" t="s">
        <v>66</v>
      </c>
      <c r="D880" t="s">
        <v>1822</v>
      </c>
      <c r="E880" t="s">
        <v>58</v>
      </c>
      <c r="F880">
        <v>2</v>
      </c>
      <c r="G880" t="s">
        <v>68</v>
      </c>
      <c r="H880" t="s">
        <v>25</v>
      </c>
      <c r="I880" t="s">
        <v>19</v>
      </c>
    </row>
    <row r="881" spans="1:9" x14ac:dyDescent="0.45">
      <c r="A881" t="s">
        <v>1823</v>
      </c>
      <c r="B881" s="2">
        <v>45729</v>
      </c>
      <c r="C881" t="s">
        <v>28</v>
      </c>
      <c r="D881" t="s">
        <v>1824</v>
      </c>
      <c r="E881" t="s">
        <v>30</v>
      </c>
      <c r="F881">
        <v>4</v>
      </c>
      <c r="G881" t="s">
        <v>59</v>
      </c>
      <c r="H881" t="s">
        <v>14</v>
      </c>
      <c r="I881" t="s">
        <v>47</v>
      </c>
    </row>
    <row r="882" spans="1:9" x14ac:dyDescent="0.45">
      <c r="A882" t="s">
        <v>1825</v>
      </c>
      <c r="B882" s="2">
        <v>45814</v>
      </c>
      <c r="C882" t="s">
        <v>16</v>
      </c>
      <c r="D882" t="s">
        <v>1826</v>
      </c>
      <c r="E882" t="s">
        <v>54</v>
      </c>
      <c r="F882">
        <v>2</v>
      </c>
      <c r="G882" t="s">
        <v>43</v>
      </c>
      <c r="H882" t="s">
        <v>14</v>
      </c>
      <c r="I882" t="s">
        <v>26</v>
      </c>
    </row>
    <row r="883" spans="1:9" x14ac:dyDescent="0.45">
      <c r="A883" t="s">
        <v>1827</v>
      </c>
      <c r="B883" s="2">
        <v>45680</v>
      </c>
      <c r="C883" t="s">
        <v>28</v>
      </c>
      <c r="D883" t="s">
        <v>1828</v>
      </c>
      <c r="E883" t="s">
        <v>75</v>
      </c>
      <c r="F883">
        <v>9</v>
      </c>
      <c r="G883" t="s">
        <v>18</v>
      </c>
      <c r="H883" t="s">
        <v>14</v>
      </c>
      <c r="I883" t="s">
        <v>19</v>
      </c>
    </row>
    <row r="884" spans="1:9" x14ac:dyDescent="0.45">
      <c r="A884" t="s">
        <v>1829</v>
      </c>
      <c r="B884" s="2">
        <v>45846</v>
      </c>
      <c r="C884" t="s">
        <v>99</v>
      </c>
      <c r="D884" t="s">
        <v>1830</v>
      </c>
      <c r="E884" t="s">
        <v>23</v>
      </c>
      <c r="F884">
        <v>1</v>
      </c>
      <c r="G884" t="s">
        <v>59</v>
      </c>
      <c r="H884" t="s">
        <v>14</v>
      </c>
      <c r="I884" t="s">
        <v>60</v>
      </c>
    </row>
    <row r="885" spans="1:9" x14ac:dyDescent="0.45">
      <c r="A885" t="s">
        <v>1831</v>
      </c>
      <c r="B885" s="2">
        <v>45793</v>
      </c>
      <c r="C885" t="s">
        <v>21</v>
      </c>
      <c r="D885" t="s">
        <v>1832</v>
      </c>
      <c r="E885" t="s">
        <v>58</v>
      </c>
      <c r="F885">
        <v>11</v>
      </c>
      <c r="G885" t="s">
        <v>68</v>
      </c>
      <c r="H885" t="s">
        <v>25</v>
      </c>
      <c r="I885" t="s">
        <v>39</v>
      </c>
    </row>
    <row r="886" spans="1:9" x14ac:dyDescent="0.45">
      <c r="A886" t="s">
        <v>1833</v>
      </c>
      <c r="B886" s="2">
        <v>45787</v>
      </c>
      <c r="C886" t="s">
        <v>99</v>
      </c>
      <c r="D886" t="s">
        <v>1834</v>
      </c>
      <c r="E886" t="s">
        <v>46</v>
      </c>
      <c r="F886">
        <v>9</v>
      </c>
      <c r="G886" t="s">
        <v>35</v>
      </c>
      <c r="H886" t="s">
        <v>25</v>
      </c>
      <c r="I886" t="s">
        <v>26</v>
      </c>
    </row>
    <row r="887" spans="1:9" x14ac:dyDescent="0.45">
      <c r="A887" t="s">
        <v>1835</v>
      </c>
      <c r="B887" s="2">
        <v>45690</v>
      </c>
      <c r="C887" t="s">
        <v>49</v>
      </c>
      <c r="D887" t="s">
        <v>1836</v>
      </c>
      <c r="E887" t="s">
        <v>34</v>
      </c>
      <c r="F887">
        <v>5</v>
      </c>
      <c r="G887" t="s">
        <v>13</v>
      </c>
      <c r="H887" t="s">
        <v>14</v>
      </c>
      <c r="I887" t="s">
        <v>26</v>
      </c>
    </row>
    <row r="888" spans="1:9" x14ac:dyDescent="0.45">
      <c r="A888" t="s">
        <v>1837</v>
      </c>
      <c r="B888" s="2">
        <v>45750</v>
      </c>
      <c r="C888" t="s">
        <v>49</v>
      </c>
      <c r="D888" t="s">
        <v>1838</v>
      </c>
      <c r="E888" t="s">
        <v>7974</v>
      </c>
      <c r="F888">
        <v>6</v>
      </c>
      <c r="G888" t="s">
        <v>7967</v>
      </c>
      <c r="H888" t="s">
        <v>25</v>
      </c>
      <c r="I888" t="s">
        <v>60</v>
      </c>
    </row>
    <row r="889" spans="1:9" x14ac:dyDescent="0.45">
      <c r="A889" t="s">
        <v>1839</v>
      </c>
      <c r="B889" s="2">
        <v>45795</v>
      </c>
      <c r="C889" t="s">
        <v>66</v>
      </c>
      <c r="D889" t="s">
        <v>1840</v>
      </c>
      <c r="E889" t="s">
        <v>23</v>
      </c>
      <c r="F889">
        <v>5</v>
      </c>
      <c r="G889" t="s">
        <v>59</v>
      </c>
      <c r="H889" t="s">
        <v>14</v>
      </c>
      <c r="I889" t="s">
        <v>60</v>
      </c>
    </row>
    <row r="890" spans="1:9" x14ac:dyDescent="0.45">
      <c r="A890" t="s">
        <v>1841</v>
      </c>
      <c r="B890" s="2">
        <v>45712</v>
      </c>
      <c r="C890" t="s">
        <v>16</v>
      </c>
      <c r="D890" t="s">
        <v>1842</v>
      </c>
      <c r="E890" t="s">
        <v>54</v>
      </c>
      <c r="F890">
        <v>10</v>
      </c>
      <c r="G890" t="s">
        <v>43</v>
      </c>
      <c r="H890" t="s">
        <v>14</v>
      </c>
      <c r="I890" t="s">
        <v>39</v>
      </c>
    </row>
    <row r="891" spans="1:9" x14ac:dyDescent="0.45">
      <c r="A891" t="s">
        <v>1843</v>
      </c>
      <c r="B891" s="2">
        <v>45760</v>
      </c>
      <c r="C891" t="s">
        <v>28</v>
      </c>
      <c r="D891" t="s">
        <v>1844</v>
      </c>
      <c r="E891" t="s">
        <v>54</v>
      </c>
      <c r="F891">
        <v>2</v>
      </c>
      <c r="G891" t="s">
        <v>43</v>
      </c>
      <c r="H891" t="s">
        <v>14</v>
      </c>
      <c r="I891" t="s">
        <v>60</v>
      </c>
    </row>
    <row r="892" spans="1:9" x14ac:dyDescent="0.45">
      <c r="A892" t="s">
        <v>1845</v>
      </c>
      <c r="B892" s="2">
        <v>45685</v>
      </c>
      <c r="C892" t="s">
        <v>66</v>
      </c>
      <c r="D892" t="s">
        <v>1846</v>
      </c>
      <c r="E892" t="s">
        <v>58</v>
      </c>
      <c r="F892">
        <v>8</v>
      </c>
      <c r="G892" t="s">
        <v>18</v>
      </c>
      <c r="H892" t="s">
        <v>14</v>
      </c>
      <c r="I892" t="s">
        <v>19</v>
      </c>
    </row>
    <row r="893" spans="1:9" x14ac:dyDescent="0.45">
      <c r="A893" t="s">
        <v>1847</v>
      </c>
      <c r="B893" s="2">
        <v>45801</v>
      </c>
      <c r="C893" t="s">
        <v>99</v>
      </c>
      <c r="D893" t="s">
        <v>1848</v>
      </c>
      <c r="E893" t="s">
        <v>7974</v>
      </c>
      <c r="F893">
        <v>10</v>
      </c>
      <c r="G893" t="s">
        <v>13</v>
      </c>
      <c r="H893" t="s">
        <v>14</v>
      </c>
      <c r="I893" t="s">
        <v>60</v>
      </c>
    </row>
    <row r="894" spans="1:9" x14ac:dyDescent="0.45">
      <c r="A894" t="s">
        <v>1849</v>
      </c>
      <c r="B894" s="2">
        <v>45742</v>
      </c>
      <c r="C894" t="s">
        <v>49</v>
      </c>
      <c r="D894" t="s">
        <v>1850</v>
      </c>
      <c r="E894" t="s">
        <v>7973</v>
      </c>
      <c r="F894">
        <v>10</v>
      </c>
      <c r="G894" t="s">
        <v>55</v>
      </c>
      <c r="H894" t="s">
        <v>72</v>
      </c>
      <c r="I894" t="s">
        <v>31</v>
      </c>
    </row>
    <row r="895" spans="1:9" x14ac:dyDescent="0.45">
      <c r="A895" t="s">
        <v>1851</v>
      </c>
      <c r="B895" s="2">
        <v>45750</v>
      </c>
      <c r="C895" t="s">
        <v>66</v>
      </c>
      <c r="D895" t="s">
        <v>1852</v>
      </c>
      <c r="E895" t="s">
        <v>7974</v>
      </c>
      <c r="F895">
        <v>11</v>
      </c>
      <c r="G895" t="s">
        <v>43</v>
      </c>
      <c r="H895" t="s">
        <v>14</v>
      </c>
      <c r="I895" t="s">
        <v>47</v>
      </c>
    </row>
    <row r="896" spans="1:9" x14ac:dyDescent="0.45">
      <c r="A896" t="s">
        <v>1853</v>
      </c>
      <c r="B896" s="2">
        <v>45682</v>
      </c>
      <c r="C896" t="s">
        <v>21</v>
      </c>
      <c r="D896" t="s">
        <v>1854</v>
      </c>
      <c r="E896" t="s">
        <v>58</v>
      </c>
      <c r="F896">
        <v>3</v>
      </c>
      <c r="G896" t="s">
        <v>55</v>
      </c>
      <c r="H896" t="s">
        <v>72</v>
      </c>
      <c r="I896" t="s">
        <v>47</v>
      </c>
    </row>
    <row r="897" spans="1:9" x14ac:dyDescent="0.45">
      <c r="A897" t="s">
        <v>1855</v>
      </c>
      <c r="B897" s="2">
        <v>45854</v>
      </c>
      <c r="C897" t="s">
        <v>52</v>
      </c>
      <c r="D897" t="s">
        <v>1856</v>
      </c>
      <c r="E897" t="s">
        <v>38</v>
      </c>
      <c r="F897">
        <v>10</v>
      </c>
      <c r="G897" t="s">
        <v>35</v>
      </c>
      <c r="H897" t="s">
        <v>25</v>
      </c>
      <c r="I897" t="s">
        <v>47</v>
      </c>
    </row>
    <row r="898" spans="1:9" x14ac:dyDescent="0.45">
      <c r="A898" t="s">
        <v>1857</v>
      </c>
      <c r="B898" s="2">
        <v>45821</v>
      </c>
      <c r="C898" t="s">
        <v>52</v>
      </c>
      <c r="D898" t="s">
        <v>1858</v>
      </c>
      <c r="E898" t="s">
        <v>7974</v>
      </c>
      <c r="F898">
        <v>8</v>
      </c>
      <c r="G898" t="s">
        <v>55</v>
      </c>
      <c r="H898" t="s">
        <v>72</v>
      </c>
      <c r="I898" t="s">
        <v>60</v>
      </c>
    </row>
    <row r="899" spans="1:9" x14ac:dyDescent="0.45">
      <c r="A899" t="s">
        <v>1859</v>
      </c>
      <c r="B899" s="2">
        <v>45864</v>
      </c>
      <c r="C899" t="s">
        <v>52</v>
      </c>
      <c r="D899" t="s">
        <v>1860</v>
      </c>
      <c r="E899" t="s">
        <v>7974</v>
      </c>
      <c r="F899">
        <v>1</v>
      </c>
      <c r="G899" t="s">
        <v>13</v>
      </c>
      <c r="H899" t="s">
        <v>14</v>
      </c>
      <c r="I899" t="s">
        <v>19</v>
      </c>
    </row>
    <row r="900" spans="1:9" x14ac:dyDescent="0.45">
      <c r="A900" t="s">
        <v>1861</v>
      </c>
      <c r="B900" s="2">
        <v>45837</v>
      </c>
      <c r="C900" t="s">
        <v>99</v>
      </c>
      <c r="D900" t="s">
        <v>1862</v>
      </c>
      <c r="E900" t="s">
        <v>30</v>
      </c>
      <c r="F900">
        <v>10</v>
      </c>
      <c r="G900" t="s">
        <v>13</v>
      </c>
      <c r="H900" t="s">
        <v>14</v>
      </c>
      <c r="I900" t="s">
        <v>31</v>
      </c>
    </row>
    <row r="901" spans="1:9" x14ac:dyDescent="0.45">
      <c r="A901" t="s">
        <v>1863</v>
      </c>
      <c r="B901" s="2">
        <v>45735</v>
      </c>
      <c r="C901" t="s">
        <v>16</v>
      </c>
      <c r="D901" t="s">
        <v>1864</v>
      </c>
      <c r="E901" t="s">
        <v>58</v>
      </c>
      <c r="F901">
        <v>1</v>
      </c>
      <c r="G901" t="s">
        <v>59</v>
      </c>
      <c r="H901" t="s">
        <v>14</v>
      </c>
      <c r="I901" t="s">
        <v>60</v>
      </c>
    </row>
    <row r="902" spans="1:9" x14ac:dyDescent="0.45">
      <c r="A902" t="s">
        <v>1865</v>
      </c>
      <c r="B902" s="2">
        <v>45731</v>
      </c>
      <c r="C902" t="s">
        <v>16</v>
      </c>
      <c r="D902" t="s">
        <v>1866</v>
      </c>
      <c r="E902" t="s">
        <v>42</v>
      </c>
      <c r="F902">
        <v>2</v>
      </c>
      <c r="G902" t="s">
        <v>18</v>
      </c>
      <c r="H902" t="s">
        <v>14</v>
      </c>
      <c r="I902" t="s">
        <v>47</v>
      </c>
    </row>
    <row r="903" spans="1:9" x14ac:dyDescent="0.45">
      <c r="A903" t="s">
        <v>1867</v>
      </c>
      <c r="B903" s="2">
        <v>45859</v>
      </c>
      <c r="C903" t="s">
        <v>21</v>
      </c>
      <c r="D903" t="s">
        <v>1868</v>
      </c>
      <c r="E903" t="s">
        <v>38</v>
      </c>
      <c r="F903">
        <v>9</v>
      </c>
      <c r="G903" t="s">
        <v>35</v>
      </c>
      <c r="H903" t="s">
        <v>25</v>
      </c>
      <c r="I903" t="s">
        <v>47</v>
      </c>
    </row>
    <row r="904" spans="1:9" x14ac:dyDescent="0.45">
      <c r="A904" t="s">
        <v>1869</v>
      </c>
      <c r="B904" s="2">
        <v>45776</v>
      </c>
      <c r="C904" t="s">
        <v>28</v>
      </c>
      <c r="D904" t="s">
        <v>1870</v>
      </c>
      <c r="E904" t="s">
        <v>58</v>
      </c>
      <c r="F904">
        <v>3</v>
      </c>
      <c r="G904" t="s">
        <v>55</v>
      </c>
      <c r="H904" t="s">
        <v>72</v>
      </c>
      <c r="I904" t="s">
        <v>19</v>
      </c>
    </row>
    <row r="905" spans="1:9" x14ac:dyDescent="0.45">
      <c r="A905" t="s">
        <v>1871</v>
      </c>
      <c r="B905" s="2">
        <v>45775</v>
      </c>
      <c r="C905" t="s">
        <v>99</v>
      </c>
      <c r="D905" t="s">
        <v>1872</v>
      </c>
      <c r="E905" t="s">
        <v>30</v>
      </c>
      <c r="F905">
        <v>12</v>
      </c>
      <c r="G905" t="s">
        <v>59</v>
      </c>
      <c r="H905" t="s">
        <v>14</v>
      </c>
      <c r="I905" t="s">
        <v>47</v>
      </c>
    </row>
    <row r="906" spans="1:9" x14ac:dyDescent="0.45">
      <c r="A906" t="s">
        <v>1873</v>
      </c>
      <c r="B906" s="2">
        <v>45900</v>
      </c>
      <c r="C906" t="s">
        <v>66</v>
      </c>
      <c r="D906" t="s">
        <v>1874</v>
      </c>
      <c r="E906" t="s">
        <v>71</v>
      </c>
      <c r="F906">
        <v>6</v>
      </c>
      <c r="G906" t="s">
        <v>55</v>
      </c>
      <c r="H906" t="s">
        <v>72</v>
      </c>
      <c r="I906" t="s">
        <v>26</v>
      </c>
    </row>
    <row r="907" spans="1:9" x14ac:dyDescent="0.45">
      <c r="A907" t="s">
        <v>1875</v>
      </c>
      <c r="B907" s="2">
        <v>45814</v>
      </c>
      <c r="C907" t="s">
        <v>10</v>
      </c>
      <c r="D907" t="s">
        <v>1876</v>
      </c>
      <c r="E907" t="s">
        <v>38</v>
      </c>
      <c r="F907">
        <v>9</v>
      </c>
      <c r="G907" t="s">
        <v>43</v>
      </c>
      <c r="H907" t="s">
        <v>14</v>
      </c>
      <c r="I907" t="s">
        <v>31</v>
      </c>
    </row>
    <row r="908" spans="1:9" x14ac:dyDescent="0.45">
      <c r="A908" t="s">
        <v>1877</v>
      </c>
      <c r="B908" s="2">
        <v>45813</v>
      </c>
      <c r="C908" t="s">
        <v>49</v>
      </c>
      <c r="D908" t="s">
        <v>1878</v>
      </c>
      <c r="E908" t="s">
        <v>42</v>
      </c>
      <c r="F908">
        <v>2</v>
      </c>
      <c r="G908" t="s">
        <v>13</v>
      </c>
      <c r="H908" t="s">
        <v>14</v>
      </c>
      <c r="I908" t="s">
        <v>26</v>
      </c>
    </row>
    <row r="909" spans="1:9" x14ac:dyDescent="0.45">
      <c r="A909" t="s">
        <v>1879</v>
      </c>
      <c r="B909" s="2">
        <v>45703</v>
      </c>
      <c r="C909" t="s">
        <v>16</v>
      </c>
      <c r="D909" t="s">
        <v>1880</v>
      </c>
      <c r="E909" t="s">
        <v>54</v>
      </c>
      <c r="F909">
        <v>3</v>
      </c>
      <c r="G909" t="s">
        <v>43</v>
      </c>
      <c r="H909" t="s">
        <v>14</v>
      </c>
      <c r="I909" t="s">
        <v>26</v>
      </c>
    </row>
    <row r="910" spans="1:9" x14ac:dyDescent="0.45">
      <c r="A910" t="s">
        <v>1881</v>
      </c>
      <c r="B910" s="2">
        <v>45889</v>
      </c>
      <c r="C910" t="s">
        <v>52</v>
      </c>
      <c r="D910" t="s">
        <v>1882</v>
      </c>
      <c r="E910" t="s">
        <v>34</v>
      </c>
      <c r="F910">
        <v>12</v>
      </c>
      <c r="G910" t="s">
        <v>24</v>
      </c>
      <c r="H910" t="s">
        <v>25</v>
      </c>
      <c r="I910" t="s">
        <v>31</v>
      </c>
    </row>
    <row r="911" spans="1:9" x14ac:dyDescent="0.45">
      <c r="A911" t="s">
        <v>1883</v>
      </c>
      <c r="B911" s="2">
        <v>45776</v>
      </c>
      <c r="C911" t="s">
        <v>49</v>
      </c>
      <c r="D911" t="s">
        <v>1884</v>
      </c>
      <c r="E911" t="s">
        <v>46</v>
      </c>
      <c r="F911">
        <v>8</v>
      </c>
      <c r="G911" t="s">
        <v>43</v>
      </c>
      <c r="H911" t="s">
        <v>14</v>
      </c>
      <c r="I911" t="s">
        <v>47</v>
      </c>
    </row>
    <row r="912" spans="1:9" x14ac:dyDescent="0.45">
      <c r="A912" t="s">
        <v>1885</v>
      </c>
      <c r="B912" s="2">
        <v>45733</v>
      </c>
      <c r="C912" t="s">
        <v>10</v>
      </c>
      <c r="D912" t="s">
        <v>1886</v>
      </c>
      <c r="E912" t="s">
        <v>46</v>
      </c>
      <c r="F912">
        <v>9</v>
      </c>
      <c r="G912" t="s">
        <v>35</v>
      </c>
      <c r="H912" t="s">
        <v>25</v>
      </c>
      <c r="I912" t="s">
        <v>26</v>
      </c>
    </row>
    <row r="913" spans="1:9" x14ac:dyDescent="0.45">
      <c r="A913" t="s">
        <v>1887</v>
      </c>
      <c r="B913" s="2">
        <v>45838</v>
      </c>
      <c r="C913" t="s">
        <v>16</v>
      </c>
      <c r="D913" t="s">
        <v>1888</v>
      </c>
      <c r="E913" t="s">
        <v>38</v>
      </c>
      <c r="F913">
        <v>11</v>
      </c>
      <c r="G913" t="s">
        <v>55</v>
      </c>
      <c r="H913" t="s">
        <v>72</v>
      </c>
      <c r="I913" t="s">
        <v>26</v>
      </c>
    </row>
    <row r="914" spans="1:9" x14ac:dyDescent="0.45">
      <c r="A914" t="s">
        <v>1889</v>
      </c>
      <c r="B914" s="2">
        <v>45837</v>
      </c>
      <c r="C914" t="s">
        <v>21</v>
      </c>
      <c r="D914" t="s">
        <v>1890</v>
      </c>
      <c r="E914" t="s">
        <v>7973</v>
      </c>
      <c r="F914">
        <v>3</v>
      </c>
      <c r="G914" t="s">
        <v>18</v>
      </c>
      <c r="H914" t="s">
        <v>14</v>
      </c>
      <c r="I914" t="s">
        <v>60</v>
      </c>
    </row>
    <row r="915" spans="1:9" x14ac:dyDescent="0.45">
      <c r="A915" t="s">
        <v>1891</v>
      </c>
      <c r="B915" s="2">
        <v>45898</v>
      </c>
      <c r="C915" t="s">
        <v>16</v>
      </c>
      <c r="D915" t="s">
        <v>1892</v>
      </c>
      <c r="E915" t="s">
        <v>7967</v>
      </c>
      <c r="F915">
        <v>1</v>
      </c>
      <c r="G915" t="s">
        <v>43</v>
      </c>
      <c r="H915" t="s">
        <v>14</v>
      </c>
      <c r="I915" t="s">
        <v>19</v>
      </c>
    </row>
    <row r="916" spans="1:9" x14ac:dyDescent="0.45">
      <c r="A916" t="s">
        <v>1893</v>
      </c>
      <c r="B916" s="2">
        <v>45871</v>
      </c>
      <c r="C916" t="s">
        <v>28</v>
      </c>
      <c r="D916" t="s">
        <v>1894</v>
      </c>
      <c r="E916" t="s">
        <v>75</v>
      </c>
      <c r="F916">
        <v>2</v>
      </c>
      <c r="G916" t="s">
        <v>68</v>
      </c>
      <c r="H916" t="s">
        <v>25</v>
      </c>
      <c r="I916" t="s">
        <v>60</v>
      </c>
    </row>
    <row r="917" spans="1:9" x14ac:dyDescent="0.45">
      <c r="A917" t="s">
        <v>1895</v>
      </c>
      <c r="B917" s="2">
        <v>45659</v>
      </c>
      <c r="C917" t="s">
        <v>16</v>
      </c>
      <c r="D917" t="s">
        <v>1896</v>
      </c>
      <c r="E917" t="s">
        <v>23</v>
      </c>
      <c r="F917">
        <v>1</v>
      </c>
      <c r="G917" t="s">
        <v>35</v>
      </c>
      <c r="H917" t="s">
        <v>25</v>
      </c>
      <c r="I917" t="s">
        <v>19</v>
      </c>
    </row>
    <row r="918" spans="1:9" x14ac:dyDescent="0.45">
      <c r="A918" t="s">
        <v>1897</v>
      </c>
      <c r="B918" s="2">
        <v>45731</v>
      </c>
      <c r="C918" t="s">
        <v>21</v>
      </c>
      <c r="D918" t="s">
        <v>1898</v>
      </c>
      <c r="E918" t="s">
        <v>38</v>
      </c>
      <c r="F918">
        <v>7</v>
      </c>
      <c r="G918" t="s">
        <v>13</v>
      </c>
      <c r="H918" t="s">
        <v>14</v>
      </c>
      <c r="I918" t="s">
        <v>31</v>
      </c>
    </row>
    <row r="919" spans="1:9" x14ac:dyDescent="0.45">
      <c r="A919" t="s">
        <v>1899</v>
      </c>
      <c r="B919" s="2">
        <v>45659</v>
      </c>
      <c r="C919" t="s">
        <v>66</v>
      </c>
      <c r="D919" t="s">
        <v>1900</v>
      </c>
      <c r="E919" t="s">
        <v>54</v>
      </c>
      <c r="F919">
        <v>9</v>
      </c>
      <c r="G919" t="s">
        <v>18</v>
      </c>
      <c r="H919" t="s">
        <v>14</v>
      </c>
      <c r="I919" t="s">
        <v>47</v>
      </c>
    </row>
    <row r="920" spans="1:9" x14ac:dyDescent="0.45">
      <c r="A920" t="s">
        <v>1901</v>
      </c>
      <c r="B920" s="2">
        <v>45720</v>
      </c>
      <c r="C920" t="s">
        <v>16</v>
      </c>
      <c r="D920" t="s">
        <v>1902</v>
      </c>
      <c r="E920" t="s">
        <v>23</v>
      </c>
      <c r="F920">
        <v>4</v>
      </c>
      <c r="G920" t="s">
        <v>35</v>
      </c>
      <c r="H920" t="s">
        <v>25</v>
      </c>
      <c r="I920" t="s">
        <v>19</v>
      </c>
    </row>
    <row r="921" spans="1:9" x14ac:dyDescent="0.45">
      <c r="A921" t="s">
        <v>1903</v>
      </c>
      <c r="B921" s="2">
        <v>45839</v>
      </c>
      <c r="C921" t="s">
        <v>52</v>
      </c>
      <c r="D921" t="s">
        <v>1904</v>
      </c>
      <c r="E921" t="s">
        <v>7967</v>
      </c>
      <c r="F921">
        <v>7</v>
      </c>
      <c r="G921" t="s">
        <v>55</v>
      </c>
      <c r="H921" t="s">
        <v>72</v>
      </c>
      <c r="I921" t="s">
        <v>60</v>
      </c>
    </row>
    <row r="922" spans="1:9" x14ac:dyDescent="0.45">
      <c r="A922" t="s">
        <v>1905</v>
      </c>
      <c r="B922" s="2">
        <v>45707</v>
      </c>
      <c r="C922" t="s">
        <v>52</v>
      </c>
      <c r="D922" t="s">
        <v>1906</v>
      </c>
      <c r="E922" t="s">
        <v>54</v>
      </c>
      <c r="F922">
        <v>5</v>
      </c>
      <c r="G922" t="s">
        <v>43</v>
      </c>
      <c r="H922" t="s">
        <v>14</v>
      </c>
      <c r="I922" t="s">
        <v>39</v>
      </c>
    </row>
    <row r="923" spans="1:9" x14ac:dyDescent="0.45">
      <c r="A923" t="s">
        <v>1907</v>
      </c>
      <c r="B923" s="2">
        <v>45851</v>
      </c>
      <c r="C923" t="s">
        <v>28</v>
      </c>
      <c r="D923" t="s">
        <v>1908</v>
      </c>
      <c r="E923" t="s">
        <v>54</v>
      </c>
      <c r="F923">
        <v>11</v>
      </c>
      <c r="G923" t="s">
        <v>24</v>
      </c>
      <c r="H923" t="s">
        <v>25</v>
      </c>
      <c r="I923" t="s">
        <v>19</v>
      </c>
    </row>
    <row r="924" spans="1:9" x14ac:dyDescent="0.45">
      <c r="A924" t="s">
        <v>1909</v>
      </c>
      <c r="B924" s="2">
        <v>45707</v>
      </c>
      <c r="C924" t="s">
        <v>16</v>
      </c>
      <c r="D924" t="s">
        <v>1910</v>
      </c>
      <c r="E924" t="s">
        <v>58</v>
      </c>
      <c r="F924">
        <v>1</v>
      </c>
      <c r="G924" t="s">
        <v>13</v>
      </c>
      <c r="H924" t="s">
        <v>14</v>
      </c>
      <c r="I924" t="s">
        <v>26</v>
      </c>
    </row>
    <row r="925" spans="1:9" x14ac:dyDescent="0.45">
      <c r="A925" t="s">
        <v>1911</v>
      </c>
      <c r="B925" s="2">
        <v>45769</v>
      </c>
      <c r="C925" t="s">
        <v>28</v>
      </c>
      <c r="D925" t="s">
        <v>1912</v>
      </c>
      <c r="E925" t="s">
        <v>71</v>
      </c>
      <c r="F925">
        <v>8</v>
      </c>
      <c r="G925" t="s">
        <v>35</v>
      </c>
      <c r="H925" t="s">
        <v>25</v>
      </c>
      <c r="I925" t="s">
        <v>19</v>
      </c>
    </row>
    <row r="926" spans="1:9" x14ac:dyDescent="0.45">
      <c r="A926" t="s">
        <v>1913</v>
      </c>
      <c r="B926" s="2">
        <v>45893</v>
      </c>
      <c r="C926" t="s">
        <v>28</v>
      </c>
      <c r="D926" t="s">
        <v>1914</v>
      </c>
      <c r="E926" t="s">
        <v>46</v>
      </c>
      <c r="F926">
        <v>11</v>
      </c>
      <c r="G926" t="s">
        <v>13</v>
      </c>
      <c r="H926" t="s">
        <v>14</v>
      </c>
      <c r="I926" t="s">
        <v>39</v>
      </c>
    </row>
    <row r="927" spans="1:9" x14ac:dyDescent="0.45">
      <c r="A927" t="s">
        <v>1915</v>
      </c>
      <c r="B927" s="2">
        <v>45811</v>
      </c>
      <c r="C927" t="s">
        <v>10</v>
      </c>
      <c r="D927" t="s">
        <v>1916</v>
      </c>
      <c r="E927" t="s">
        <v>34</v>
      </c>
      <c r="F927">
        <v>10</v>
      </c>
      <c r="G927" t="s">
        <v>43</v>
      </c>
      <c r="H927" t="s">
        <v>14</v>
      </c>
      <c r="I927" t="s">
        <v>26</v>
      </c>
    </row>
    <row r="928" spans="1:9" x14ac:dyDescent="0.45">
      <c r="A928" t="s">
        <v>1917</v>
      </c>
      <c r="B928" s="2">
        <v>45806</v>
      </c>
      <c r="C928" t="s">
        <v>28</v>
      </c>
      <c r="D928" t="s">
        <v>1918</v>
      </c>
      <c r="E928" t="s">
        <v>71</v>
      </c>
      <c r="F928">
        <v>8</v>
      </c>
      <c r="G928" t="s">
        <v>18</v>
      </c>
      <c r="H928" t="s">
        <v>14</v>
      </c>
      <c r="I928" t="s">
        <v>47</v>
      </c>
    </row>
    <row r="929" spans="1:9" x14ac:dyDescent="0.45">
      <c r="A929" t="s">
        <v>1919</v>
      </c>
      <c r="B929" s="2">
        <v>45665</v>
      </c>
      <c r="C929" t="s">
        <v>99</v>
      </c>
      <c r="D929" t="s">
        <v>1920</v>
      </c>
      <c r="E929" t="s">
        <v>38</v>
      </c>
      <c r="F929">
        <v>4</v>
      </c>
      <c r="G929" t="s">
        <v>35</v>
      </c>
      <c r="H929" t="s">
        <v>25</v>
      </c>
      <c r="I929" t="s">
        <v>60</v>
      </c>
    </row>
    <row r="930" spans="1:9" x14ac:dyDescent="0.45">
      <c r="A930" t="s">
        <v>1921</v>
      </c>
      <c r="B930" s="2">
        <v>45764</v>
      </c>
      <c r="C930" t="s">
        <v>21</v>
      </c>
      <c r="D930" t="s">
        <v>1922</v>
      </c>
      <c r="E930" t="s">
        <v>54</v>
      </c>
      <c r="F930">
        <v>1</v>
      </c>
      <c r="G930" t="s">
        <v>59</v>
      </c>
      <c r="H930" t="s">
        <v>14</v>
      </c>
      <c r="I930" t="s">
        <v>31</v>
      </c>
    </row>
    <row r="931" spans="1:9" x14ac:dyDescent="0.45">
      <c r="A931" t="s">
        <v>1923</v>
      </c>
      <c r="B931" s="2">
        <v>45758</v>
      </c>
      <c r="C931" t="s">
        <v>16</v>
      </c>
      <c r="D931" t="s">
        <v>1924</v>
      </c>
      <c r="E931" t="s">
        <v>46</v>
      </c>
      <c r="F931">
        <v>7</v>
      </c>
      <c r="G931" t="s">
        <v>13</v>
      </c>
      <c r="H931" t="s">
        <v>14</v>
      </c>
      <c r="I931" t="s">
        <v>47</v>
      </c>
    </row>
    <row r="932" spans="1:9" x14ac:dyDescent="0.45">
      <c r="A932" t="s">
        <v>1925</v>
      </c>
      <c r="B932" s="2">
        <v>45668</v>
      </c>
      <c r="C932" t="s">
        <v>49</v>
      </c>
      <c r="D932" t="s">
        <v>1926</v>
      </c>
      <c r="E932" t="s">
        <v>23</v>
      </c>
      <c r="F932">
        <v>11</v>
      </c>
      <c r="G932" t="s">
        <v>24</v>
      </c>
      <c r="H932" t="s">
        <v>25</v>
      </c>
      <c r="I932" t="s">
        <v>60</v>
      </c>
    </row>
    <row r="933" spans="1:9" x14ac:dyDescent="0.45">
      <c r="A933" t="s">
        <v>1927</v>
      </c>
      <c r="B933" s="2">
        <v>45832</v>
      </c>
      <c r="C933" t="s">
        <v>10</v>
      </c>
      <c r="D933" t="s">
        <v>1928</v>
      </c>
      <c r="E933" t="s">
        <v>54</v>
      </c>
      <c r="F933">
        <v>6</v>
      </c>
      <c r="G933" t="s">
        <v>35</v>
      </c>
      <c r="H933" t="s">
        <v>25</v>
      </c>
      <c r="I933" t="s">
        <v>26</v>
      </c>
    </row>
    <row r="934" spans="1:9" x14ac:dyDescent="0.45">
      <c r="A934" t="s">
        <v>1929</v>
      </c>
      <c r="B934" s="2">
        <v>45869</v>
      </c>
      <c r="C934" t="s">
        <v>10</v>
      </c>
      <c r="D934" t="s">
        <v>1930</v>
      </c>
      <c r="E934" t="s">
        <v>30</v>
      </c>
      <c r="F934">
        <v>4</v>
      </c>
      <c r="G934" t="s">
        <v>35</v>
      </c>
      <c r="H934" t="s">
        <v>25</v>
      </c>
      <c r="I934" t="s">
        <v>60</v>
      </c>
    </row>
    <row r="935" spans="1:9" x14ac:dyDescent="0.45">
      <c r="A935" t="s">
        <v>1931</v>
      </c>
      <c r="B935" s="2">
        <v>45851</v>
      </c>
      <c r="C935" t="s">
        <v>21</v>
      </c>
      <c r="D935" t="s">
        <v>1932</v>
      </c>
      <c r="E935" t="s">
        <v>34</v>
      </c>
      <c r="F935">
        <v>12</v>
      </c>
      <c r="G935" t="s">
        <v>24</v>
      </c>
      <c r="H935" t="s">
        <v>25</v>
      </c>
      <c r="I935" t="s">
        <v>39</v>
      </c>
    </row>
    <row r="936" spans="1:9" x14ac:dyDescent="0.45">
      <c r="A936" t="s">
        <v>1933</v>
      </c>
      <c r="B936" s="2">
        <v>45784</v>
      </c>
      <c r="C936" t="s">
        <v>16</v>
      </c>
      <c r="D936" t="s">
        <v>1934</v>
      </c>
      <c r="E936" t="s">
        <v>75</v>
      </c>
      <c r="F936">
        <v>8</v>
      </c>
      <c r="G936" t="s">
        <v>18</v>
      </c>
      <c r="H936" t="s">
        <v>14</v>
      </c>
      <c r="I936" t="s">
        <v>47</v>
      </c>
    </row>
    <row r="937" spans="1:9" x14ac:dyDescent="0.45">
      <c r="A937" t="s">
        <v>1935</v>
      </c>
      <c r="B937" s="2">
        <v>45896</v>
      </c>
      <c r="C937" t="s">
        <v>10</v>
      </c>
      <c r="D937" t="s">
        <v>1936</v>
      </c>
      <c r="E937" t="s">
        <v>7967</v>
      </c>
      <c r="F937">
        <v>3</v>
      </c>
      <c r="G937" t="s">
        <v>43</v>
      </c>
      <c r="H937" t="s">
        <v>14</v>
      </c>
      <c r="I937" t="s">
        <v>60</v>
      </c>
    </row>
    <row r="938" spans="1:9" x14ac:dyDescent="0.45">
      <c r="A938" t="s">
        <v>1937</v>
      </c>
      <c r="B938" s="2">
        <v>45672</v>
      </c>
      <c r="C938" t="s">
        <v>99</v>
      </c>
      <c r="D938" t="s">
        <v>1938</v>
      </c>
      <c r="E938" t="s">
        <v>7973</v>
      </c>
      <c r="F938">
        <v>8</v>
      </c>
      <c r="G938" t="s">
        <v>35</v>
      </c>
      <c r="H938" t="s">
        <v>25</v>
      </c>
      <c r="I938" t="s">
        <v>39</v>
      </c>
    </row>
    <row r="939" spans="1:9" x14ac:dyDescent="0.45">
      <c r="A939" t="s">
        <v>1939</v>
      </c>
      <c r="B939" s="2">
        <v>45794</v>
      </c>
      <c r="C939" t="s">
        <v>21</v>
      </c>
      <c r="D939" t="s">
        <v>1940</v>
      </c>
      <c r="E939" t="s">
        <v>38</v>
      </c>
      <c r="F939">
        <v>11</v>
      </c>
      <c r="G939" t="s">
        <v>13</v>
      </c>
      <c r="H939" t="s">
        <v>14</v>
      </c>
      <c r="I939" t="s">
        <v>47</v>
      </c>
    </row>
    <row r="940" spans="1:9" x14ac:dyDescent="0.45">
      <c r="A940" t="s">
        <v>1941</v>
      </c>
      <c r="B940" s="2">
        <v>45806</v>
      </c>
      <c r="C940" t="s">
        <v>52</v>
      </c>
      <c r="D940" t="s">
        <v>1942</v>
      </c>
      <c r="E940" t="s">
        <v>23</v>
      </c>
      <c r="F940">
        <v>10</v>
      </c>
      <c r="G940" t="s">
        <v>13</v>
      </c>
      <c r="H940" t="s">
        <v>14</v>
      </c>
      <c r="I940" t="s">
        <v>31</v>
      </c>
    </row>
    <row r="941" spans="1:9" x14ac:dyDescent="0.45">
      <c r="A941" t="s">
        <v>1943</v>
      </c>
      <c r="B941" s="2">
        <v>45833</v>
      </c>
      <c r="C941" t="s">
        <v>16</v>
      </c>
      <c r="D941" t="s">
        <v>1944</v>
      </c>
      <c r="E941" t="s">
        <v>30</v>
      </c>
      <c r="F941">
        <v>7</v>
      </c>
      <c r="G941" t="s">
        <v>35</v>
      </c>
      <c r="H941" t="s">
        <v>25</v>
      </c>
      <c r="I941" t="s">
        <v>31</v>
      </c>
    </row>
    <row r="942" spans="1:9" x14ac:dyDescent="0.45">
      <c r="A942" t="s">
        <v>1945</v>
      </c>
      <c r="B942" s="2">
        <v>45758</v>
      </c>
      <c r="C942" t="s">
        <v>66</v>
      </c>
      <c r="D942" t="s">
        <v>1946</v>
      </c>
      <c r="E942" t="s">
        <v>38</v>
      </c>
      <c r="F942">
        <v>6</v>
      </c>
      <c r="G942" t="s">
        <v>68</v>
      </c>
      <c r="H942" t="s">
        <v>25</v>
      </c>
      <c r="I942" t="s">
        <v>26</v>
      </c>
    </row>
    <row r="943" spans="1:9" x14ac:dyDescent="0.45">
      <c r="A943" t="s">
        <v>1947</v>
      </c>
      <c r="B943" s="2">
        <v>45699</v>
      </c>
      <c r="C943" t="s">
        <v>21</v>
      </c>
      <c r="D943" t="s">
        <v>1948</v>
      </c>
      <c r="E943" t="s">
        <v>38</v>
      </c>
      <c r="F943">
        <v>3</v>
      </c>
      <c r="G943" t="s">
        <v>43</v>
      </c>
      <c r="H943" t="s">
        <v>14</v>
      </c>
      <c r="I943" t="s">
        <v>19</v>
      </c>
    </row>
    <row r="944" spans="1:9" x14ac:dyDescent="0.45">
      <c r="A944" t="s">
        <v>1949</v>
      </c>
      <c r="B944" s="2">
        <v>45692</v>
      </c>
      <c r="C944" t="s">
        <v>49</v>
      </c>
      <c r="D944" t="s">
        <v>1950</v>
      </c>
      <c r="E944" t="s">
        <v>42</v>
      </c>
      <c r="F944">
        <v>8</v>
      </c>
      <c r="G944" t="s">
        <v>59</v>
      </c>
      <c r="H944" t="s">
        <v>14</v>
      </c>
      <c r="I944" t="s">
        <v>31</v>
      </c>
    </row>
    <row r="945" spans="1:9" x14ac:dyDescent="0.45">
      <c r="A945" t="s">
        <v>1951</v>
      </c>
      <c r="B945" s="2">
        <v>45786</v>
      </c>
      <c r="C945" t="s">
        <v>28</v>
      </c>
      <c r="D945" t="s">
        <v>1952</v>
      </c>
      <c r="E945" t="s">
        <v>7967</v>
      </c>
      <c r="F945">
        <v>10</v>
      </c>
      <c r="G945" t="s">
        <v>59</v>
      </c>
      <c r="H945" t="s">
        <v>14</v>
      </c>
      <c r="I945" t="s">
        <v>26</v>
      </c>
    </row>
    <row r="946" spans="1:9" x14ac:dyDescent="0.45">
      <c r="A946" t="s">
        <v>1953</v>
      </c>
      <c r="B946" s="2">
        <v>45850</v>
      </c>
      <c r="C946" t="s">
        <v>66</v>
      </c>
      <c r="D946" t="s">
        <v>1954</v>
      </c>
      <c r="E946" t="s">
        <v>7974</v>
      </c>
      <c r="F946">
        <v>9</v>
      </c>
      <c r="G946" t="s">
        <v>24</v>
      </c>
      <c r="H946" t="s">
        <v>25</v>
      </c>
      <c r="I946" t="s">
        <v>47</v>
      </c>
    </row>
    <row r="947" spans="1:9" x14ac:dyDescent="0.45">
      <c r="A947" t="s">
        <v>1955</v>
      </c>
      <c r="B947" s="2">
        <v>45730</v>
      </c>
      <c r="C947" t="s">
        <v>16</v>
      </c>
      <c r="D947" t="s">
        <v>1956</v>
      </c>
      <c r="E947" t="s">
        <v>38</v>
      </c>
      <c r="F947">
        <v>4</v>
      </c>
      <c r="G947" t="s">
        <v>55</v>
      </c>
      <c r="H947" t="s">
        <v>72</v>
      </c>
      <c r="I947" t="s">
        <v>47</v>
      </c>
    </row>
    <row r="948" spans="1:9" x14ac:dyDescent="0.45">
      <c r="A948" t="s">
        <v>1957</v>
      </c>
      <c r="B948" s="2">
        <v>45697</v>
      </c>
      <c r="C948" t="s">
        <v>21</v>
      </c>
      <c r="D948" t="s">
        <v>1958</v>
      </c>
      <c r="E948" t="s">
        <v>23</v>
      </c>
      <c r="F948">
        <v>9</v>
      </c>
      <c r="G948" t="s">
        <v>24</v>
      </c>
      <c r="H948" t="s">
        <v>25</v>
      </c>
      <c r="I948" t="s">
        <v>47</v>
      </c>
    </row>
    <row r="949" spans="1:9" x14ac:dyDescent="0.45">
      <c r="A949" t="s">
        <v>1959</v>
      </c>
      <c r="B949" s="2">
        <v>45682</v>
      </c>
      <c r="C949" t="s">
        <v>66</v>
      </c>
      <c r="D949" t="s">
        <v>1960</v>
      </c>
      <c r="E949" t="s">
        <v>58</v>
      </c>
      <c r="F949">
        <v>7</v>
      </c>
      <c r="G949" t="s">
        <v>59</v>
      </c>
      <c r="H949" t="s">
        <v>14</v>
      </c>
      <c r="I949" t="s">
        <v>60</v>
      </c>
    </row>
    <row r="950" spans="1:9" x14ac:dyDescent="0.45">
      <c r="A950" t="s">
        <v>1961</v>
      </c>
      <c r="B950" s="2">
        <v>45762</v>
      </c>
      <c r="C950" t="s">
        <v>49</v>
      </c>
      <c r="D950" t="s">
        <v>1962</v>
      </c>
      <c r="E950" t="s">
        <v>75</v>
      </c>
      <c r="F950">
        <v>6</v>
      </c>
      <c r="G950" t="s">
        <v>35</v>
      </c>
      <c r="H950" t="s">
        <v>25</v>
      </c>
      <c r="I950" t="s">
        <v>19</v>
      </c>
    </row>
    <row r="951" spans="1:9" x14ac:dyDescent="0.45">
      <c r="A951" t="s">
        <v>1963</v>
      </c>
      <c r="B951" s="2">
        <v>45859</v>
      </c>
      <c r="C951" t="s">
        <v>99</v>
      </c>
      <c r="D951" t="s">
        <v>1964</v>
      </c>
      <c r="E951" t="s">
        <v>38</v>
      </c>
      <c r="F951">
        <v>4</v>
      </c>
      <c r="G951" t="s">
        <v>18</v>
      </c>
      <c r="H951" t="s">
        <v>14</v>
      </c>
      <c r="I951" t="s">
        <v>60</v>
      </c>
    </row>
    <row r="952" spans="1:9" x14ac:dyDescent="0.45">
      <c r="A952" t="s">
        <v>1965</v>
      </c>
      <c r="B952" s="2">
        <v>45761</v>
      </c>
      <c r="C952" t="s">
        <v>10</v>
      </c>
      <c r="D952" t="s">
        <v>1966</v>
      </c>
      <c r="E952" t="s">
        <v>23</v>
      </c>
      <c r="F952">
        <v>4</v>
      </c>
      <c r="G952" t="s">
        <v>24</v>
      </c>
      <c r="H952" t="s">
        <v>25</v>
      </c>
      <c r="I952" t="s">
        <v>31</v>
      </c>
    </row>
    <row r="953" spans="1:9" x14ac:dyDescent="0.45">
      <c r="A953" t="s">
        <v>1967</v>
      </c>
      <c r="B953" s="2">
        <v>45688</v>
      </c>
      <c r="C953" t="s">
        <v>49</v>
      </c>
      <c r="D953" t="s">
        <v>1968</v>
      </c>
      <c r="E953" t="s">
        <v>38</v>
      </c>
      <c r="F953">
        <v>3</v>
      </c>
      <c r="G953" t="s">
        <v>68</v>
      </c>
      <c r="H953" t="s">
        <v>25</v>
      </c>
      <c r="I953" t="s">
        <v>60</v>
      </c>
    </row>
    <row r="954" spans="1:9" x14ac:dyDescent="0.45">
      <c r="A954" t="s">
        <v>1969</v>
      </c>
      <c r="B954" s="2">
        <v>45888</v>
      </c>
      <c r="C954" t="s">
        <v>10</v>
      </c>
      <c r="D954" t="s">
        <v>1970</v>
      </c>
      <c r="E954" t="s">
        <v>54</v>
      </c>
      <c r="F954">
        <v>8</v>
      </c>
      <c r="G954" t="s">
        <v>55</v>
      </c>
      <c r="H954" t="s">
        <v>72</v>
      </c>
      <c r="I954" t="s">
        <v>26</v>
      </c>
    </row>
    <row r="955" spans="1:9" x14ac:dyDescent="0.45">
      <c r="A955" t="s">
        <v>1971</v>
      </c>
      <c r="B955" s="2">
        <v>45877</v>
      </c>
      <c r="C955" t="s">
        <v>16</v>
      </c>
      <c r="D955" t="s">
        <v>1972</v>
      </c>
      <c r="E955" t="s">
        <v>71</v>
      </c>
      <c r="F955">
        <v>11</v>
      </c>
      <c r="G955" t="s">
        <v>68</v>
      </c>
      <c r="H955" t="s">
        <v>25</v>
      </c>
      <c r="I955" t="s">
        <v>60</v>
      </c>
    </row>
    <row r="956" spans="1:9" x14ac:dyDescent="0.45">
      <c r="A956" t="s">
        <v>1973</v>
      </c>
      <c r="B956" s="2">
        <v>45863</v>
      </c>
      <c r="C956" t="s">
        <v>21</v>
      </c>
      <c r="D956" t="s">
        <v>1974</v>
      </c>
      <c r="E956" t="s">
        <v>46</v>
      </c>
      <c r="F956">
        <v>6</v>
      </c>
      <c r="G956" t="s">
        <v>55</v>
      </c>
      <c r="H956" t="s">
        <v>72</v>
      </c>
      <c r="I956" t="s">
        <v>19</v>
      </c>
    </row>
    <row r="957" spans="1:9" x14ac:dyDescent="0.45">
      <c r="A957" t="s">
        <v>1975</v>
      </c>
      <c r="B957" s="2">
        <v>45689</v>
      </c>
      <c r="C957" t="s">
        <v>66</v>
      </c>
      <c r="D957" t="s">
        <v>1976</v>
      </c>
      <c r="E957" t="s">
        <v>23</v>
      </c>
      <c r="F957">
        <v>12</v>
      </c>
      <c r="G957" t="s">
        <v>43</v>
      </c>
      <c r="H957" t="s">
        <v>14</v>
      </c>
      <c r="I957" t="s">
        <v>39</v>
      </c>
    </row>
    <row r="958" spans="1:9" x14ac:dyDescent="0.45">
      <c r="A958" t="s">
        <v>1977</v>
      </c>
      <c r="B958" s="2">
        <v>45866</v>
      </c>
      <c r="C958" t="s">
        <v>49</v>
      </c>
      <c r="D958" t="s">
        <v>1978</v>
      </c>
      <c r="E958" t="s">
        <v>58</v>
      </c>
      <c r="F958">
        <v>12</v>
      </c>
      <c r="G958" t="s">
        <v>13</v>
      </c>
      <c r="H958" t="s">
        <v>14</v>
      </c>
      <c r="I958" t="s">
        <v>26</v>
      </c>
    </row>
    <row r="959" spans="1:9" x14ac:dyDescent="0.45">
      <c r="A959" t="s">
        <v>1979</v>
      </c>
      <c r="B959" s="2">
        <v>45670</v>
      </c>
      <c r="C959" t="s">
        <v>49</v>
      </c>
      <c r="D959" t="s">
        <v>1980</v>
      </c>
      <c r="E959" t="s">
        <v>7973</v>
      </c>
      <c r="F959">
        <v>2</v>
      </c>
      <c r="G959" t="s">
        <v>35</v>
      </c>
      <c r="H959" t="s">
        <v>25</v>
      </c>
      <c r="I959" t="s">
        <v>31</v>
      </c>
    </row>
    <row r="960" spans="1:9" x14ac:dyDescent="0.45">
      <c r="A960" t="s">
        <v>1981</v>
      </c>
      <c r="B960" s="2">
        <v>45788</v>
      </c>
      <c r="C960" t="s">
        <v>66</v>
      </c>
      <c r="D960" t="s">
        <v>1982</v>
      </c>
      <c r="E960" t="s">
        <v>30</v>
      </c>
      <c r="F960">
        <v>3</v>
      </c>
      <c r="G960" t="s">
        <v>13</v>
      </c>
      <c r="H960" t="s">
        <v>14</v>
      </c>
      <c r="I960" t="s">
        <v>47</v>
      </c>
    </row>
    <row r="961" spans="1:9" x14ac:dyDescent="0.45">
      <c r="A961" t="s">
        <v>1983</v>
      </c>
      <c r="B961" s="2">
        <v>45782</v>
      </c>
      <c r="C961" t="s">
        <v>49</v>
      </c>
      <c r="D961" t="s">
        <v>1984</v>
      </c>
      <c r="E961" t="s">
        <v>38</v>
      </c>
      <c r="F961">
        <v>11</v>
      </c>
      <c r="G961" t="s">
        <v>24</v>
      </c>
      <c r="H961" t="s">
        <v>25</v>
      </c>
      <c r="I961" t="s">
        <v>26</v>
      </c>
    </row>
    <row r="962" spans="1:9" x14ac:dyDescent="0.45">
      <c r="A962" t="s">
        <v>1985</v>
      </c>
      <c r="B962" s="2">
        <v>45684</v>
      </c>
      <c r="C962" t="s">
        <v>28</v>
      </c>
      <c r="D962" t="s">
        <v>1986</v>
      </c>
      <c r="E962" t="s">
        <v>75</v>
      </c>
      <c r="F962">
        <v>8</v>
      </c>
      <c r="G962" t="s">
        <v>35</v>
      </c>
      <c r="H962" t="s">
        <v>25</v>
      </c>
      <c r="I962" t="s">
        <v>26</v>
      </c>
    </row>
    <row r="963" spans="1:9" x14ac:dyDescent="0.45">
      <c r="A963" t="s">
        <v>1987</v>
      </c>
      <c r="B963" s="2">
        <v>45744</v>
      </c>
      <c r="C963" t="s">
        <v>10</v>
      </c>
      <c r="D963" t="s">
        <v>1988</v>
      </c>
      <c r="E963" t="s">
        <v>42</v>
      </c>
      <c r="F963">
        <v>8</v>
      </c>
      <c r="G963" t="s">
        <v>24</v>
      </c>
      <c r="H963" t="s">
        <v>25</v>
      </c>
      <c r="I963" t="s">
        <v>60</v>
      </c>
    </row>
    <row r="964" spans="1:9" x14ac:dyDescent="0.45">
      <c r="A964" t="s">
        <v>1989</v>
      </c>
      <c r="B964" s="2">
        <v>45764</v>
      </c>
      <c r="C964" t="s">
        <v>10</v>
      </c>
      <c r="D964" t="s">
        <v>1990</v>
      </c>
      <c r="E964" t="s">
        <v>30</v>
      </c>
      <c r="F964">
        <v>8</v>
      </c>
      <c r="G964" t="s">
        <v>18</v>
      </c>
      <c r="H964" t="s">
        <v>14</v>
      </c>
      <c r="I964" t="s">
        <v>60</v>
      </c>
    </row>
    <row r="965" spans="1:9" x14ac:dyDescent="0.45">
      <c r="A965" t="s">
        <v>1991</v>
      </c>
      <c r="B965" s="2">
        <v>45841</v>
      </c>
      <c r="C965" t="s">
        <v>66</v>
      </c>
      <c r="D965" t="s">
        <v>1992</v>
      </c>
      <c r="E965" t="s">
        <v>58</v>
      </c>
      <c r="F965">
        <v>9</v>
      </c>
      <c r="G965" t="s">
        <v>59</v>
      </c>
      <c r="H965" t="s">
        <v>14</v>
      </c>
      <c r="I965" t="s">
        <v>31</v>
      </c>
    </row>
    <row r="966" spans="1:9" x14ac:dyDescent="0.45">
      <c r="A966" t="s">
        <v>1993</v>
      </c>
      <c r="B966" s="2">
        <v>45866</v>
      </c>
      <c r="C966" t="s">
        <v>10</v>
      </c>
      <c r="D966" t="s">
        <v>1994</v>
      </c>
      <c r="E966" t="s">
        <v>46</v>
      </c>
      <c r="F966">
        <v>3</v>
      </c>
      <c r="G966" t="s">
        <v>68</v>
      </c>
      <c r="H966" t="s">
        <v>25</v>
      </c>
      <c r="I966" t="s">
        <v>19</v>
      </c>
    </row>
    <row r="967" spans="1:9" x14ac:dyDescent="0.45">
      <c r="A967" t="s">
        <v>1995</v>
      </c>
      <c r="B967" s="2">
        <v>45743</v>
      </c>
      <c r="C967" t="s">
        <v>28</v>
      </c>
      <c r="D967" t="s">
        <v>1996</v>
      </c>
      <c r="E967" t="s">
        <v>34</v>
      </c>
      <c r="F967">
        <v>6</v>
      </c>
      <c r="G967" t="s">
        <v>35</v>
      </c>
      <c r="H967" t="s">
        <v>25</v>
      </c>
      <c r="I967" t="s">
        <v>39</v>
      </c>
    </row>
    <row r="968" spans="1:9" x14ac:dyDescent="0.45">
      <c r="A968" t="s">
        <v>1997</v>
      </c>
      <c r="B968" s="2">
        <v>45845</v>
      </c>
      <c r="C968" t="s">
        <v>49</v>
      </c>
      <c r="D968" t="s">
        <v>1998</v>
      </c>
      <c r="E968" t="s">
        <v>34</v>
      </c>
      <c r="F968">
        <v>6</v>
      </c>
      <c r="G968" t="s">
        <v>68</v>
      </c>
      <c r="H968" t="s">
        <v>25</v>
      </c>
      <c r="I968" t="s">
        <v>31</v>
      </c>
    </row>
    <row r="969" spans="1:9" x14ac:dyDescent="0.45">
      <c r="A969" t="s">
        <v>1999</v>
      </c>
      <c r="B969" s="2">
        <v>45726</v>
      </c>
      <c r="C969" t="s">
        <v>49</v>
      </c>
      <c r="D969" t="s">
        <v>2000</v>
      </c>
      <c r="E969" t="s">
        <v>46</v>
      </c>
      <c r="F969">
        <v>7</v>
      </c>
      <c r="G969" t="s">
        <v>68</v>
      </c>
      <c r="H969" t="s">
        <v>25</v>
      </c>
      <c r="I969" t="s">
        <v>19</v>
      </c>
    </row>
    <row r="970" spans="1:9" x14ac:dyDescent="0.45">
      <c r="A970" t="s">
        <v>2001</v>
      </c>
      <c r="B970" s="2">
        <v>45686</v>
      </c>
      <c r="C970" t="s">
        <v>66</v>
      </c>
      <c r="D970" t="s">
        <v>2002</v>
      </c>
      <c r="E970" t="s">
        <v>75</v>
      </c>
      <c r="F970">
        <v>3</v>
      </c>
      <c r="G970" t="s">
        <v>13</v>
      </c>
      <c r="H970" t="s">
        <v>14</v>
      </c>
      <c r="I970" t="s">
        <v>26</v>
      </c>
    </row>
    <row r="971" spans="1:9" x14ac:dyDescent="0.45">
      <c r="A971" t="s">
        <v>2003</v>
      </c>
      <c r="B971" s="2">
        <v>45811</v>
      </c>
      <c r="C971" t="s">
        <v>66</v>
      </c>
      <c r="D971" t="s">
        <v>2004</v>
      </c>
      <c r="E971" t="s">
        <v>38</v>
      </c>
      <c r="F971">
        <v>3</v>
      </c>
      <c r="G971" t="s">
        <v>13</v>
      </c>
      <c r="H971" t="s">
        <v>14</v>
      </c>
      <c r="I971" t="s">
        <v>39</v>
      </c>
    </row>
    <row r="972" spans="1:9" x14ac:dyDescent="0.45">
      <c r="A972" t="s">
        <v>2005</v>
      </c>
      <c r="B972" s="2">
        <v>45853</v>
      </c>
      <c r="C972" t="s">
        <v>99</v>
      </c>
      <c r="D972" t="s">
        <v>2006</v>
      </c>
      <c r="E972" t="s">
        <v>46</v>
      </c>
      <c r="F972">
        <v>8</v>
      </c>
      <c r="G972" t="s">
        <v>59</v>
      </c>
      <c r="H972" t="s">
        <v>14</v>
      </c>
      <c r="I972" t="s">
        <v>39</v>
      </c>
    </row>
    <row r="973" spans="1:9" x14ac:dyDescent="0.45">
      <c r="A973" t="s">
        <v>2007</v>
      </c>
      <c r="B973" s="2">
        <v>45773</v>
      </c>
      <c r="C973" t="s">
        <v>52</v>
      </c>
      <c r="D973" t="s">
        <v>2008</v>
      </c>
      <c r="E973" t="s">
        <v>71</v>
      </c>
      <c r="F973">
        <v>11</v>
      </c>
      <c r="G973" t="s">
        <v>59</v>
      </c>
      <c r="H973" t="s">
        <v>14</v>
      </c>
      <c r="I973" t="s">
        <v>26</v>
      </c>
    </row>
    <row r="974" spans="1:9" x14ac:dyDescent="0.45">
      <c r="A974" t="s">
        <v>2009</v>
      </c>
      <c r="B974" s="2">
        <v>45826</v>
      </c>
      <c r="C974" t="s">
        <v>49</v>
      </c>
      <c r="D974" t="s">
        <v>2010</v>
      </c>
      <c r="E974" t="s">
        <v>7973</v>
      </c>
      <c r="F974">
        <v>8</v>
      </c>
      <c r="G974" t="s">
        <v>24</v>
      </c>
      <c r="H974" t="s">
        <v>25</v>
      </c>
      <c r="I974" t="s">
        <v>39</v>
      </c>
    </row>
    <row r="975" spans="1:9" x14ac:dyDescent="0.45">
      <c r="A975" t="s">
        <v>2011</v>
      </c>
      <c r="B975" s="2">
        <v>45739</v>
      </c>
      <c r="C975" t="s">
        <v>99</v>
      </c>
      <c r="D975" t="s">
        <v>2012</v>
      </c>
      <c r="E975" t="s">
        <v>58</v>
      </c>
      <c r="F975">
        <v>1</v>
      </c>
      <c r="G975" t="s">
        <v>18</v>
      </c>
      <c r="H975" t="s">
        <v>14</v>
      </c>
      <c r="I975" t="s">
        <v>26</v>
      </c>
    </row>
    <row r="976" spans="1:9" x14ac:dyDescent="0.45">
      <c r="A976" t="s">
        <v>2013</v>
      </c>
      <c r="B976" s="2">
        <v>45740</v>
      </c>
      <c r="C976" t="s">
        <v>28</v>
      </c>
      <c r="D976" t="s">
        <v>2014</v>
      </c>
      <c r="E976" t="s">
        <v>75</v>
      </c>
      <c r="F976">
        <v>2</v>
      </c>
      <c r="G976" t="s">
        <v>55</v>
      </c>
      <c r="H976" t="s">
        <v>72</v>
      </c>
      <c r="I976" t="s">
        <v>19</v>
      </c>
    </row>
    <row r="977" spans="1:9" x14ac:dyDescent="0.45">
      <c r="A977" t="s">
        <v>2015</v>
      </c>
      <c r="B977" s="2">
        <v>45819</v>
      </c>
      <c r="C977" t="s">
        <v>99</v>
      </c>
      <c r="D977" t="s">
        <v>2016</v>
      </c>
      <c r="E977" t="s">
        <v>7973</v>
      </c>
      <c r="F977">
        <v>11</v>
      </c>
      <c r="G977" t="s">
        <v>35</v>
      </c>
      <c r="H977" t="s">
        <v>25</v>
      </c>
      <c r="I977" t="s">
        <v>26</v>
      </c>
    </row>
    <row r="978" spans="1:9" x14ac:dyDescent="0.45">
      <c r="A978" t="s">
        <v>2017</v>
      </c>
      <c r="B978" s="2">
        <v>45892</v>
      </c>
      <c r="C978" t="s">
        <v>21</v>
      </c>
      <c r="D978" t="s">
        <v>2018</v>
      </c>
      <c r="E978" t="s">
        <v>30</v>
      </c>
      <c r="F978">
        <v>1</v>
      </c>
      <c r="G978" t="s">
        <v>18</v>
      </c>
      <c r="H978" t="s">
        <v>14</v>
      </c>
      <c r="I978" t="s">
        <v>31</v>
      </c>
    </row>
    <row r="979" spans="1:9" x14ac:dyDescent="0.45">
      <c r="A979" t="s">
        <v>2019</v>
      </c>
      <c r="B979" s="2">
        <v>45714</v>
      </c>
      <c r="C979" t="s">
        <v>21</v>
      </c>
      <c r="D979" t="s">
        <v>2020</v>
      </c>
      <c r="E979" t="s">
        <v>58</v>
      </c>
      <c r="F979">
        <v>9</v>
      </c>
      <c r="G979" t="s">
        <v>18</v>
      </c>
      <c r="H979" t="s">
        <v>14</v>
      </c>
      <c r="I979" t="s">
        <v>26</v>
      </c>
    </row>
    <row r="980" spans="1:9" x14ac:dyDescent="0.45">
      <c r="A980" t="s">
        <v>2021</v>
      </c>
      <c r="B980" s="2">
        <v>45683</v>
      </c>
      <c r="C980" t="s">
        <v>52</v>
      </c>
      <c r="D980" t="s">
        <v>2022</v>
      </c>
      <c r="E980" t="s">
        <v>38</v>
      </c>
      <c r="F980">
        <v>6</v>
      </c>
      <c r="G980" t="s">
        <v>13</v>
      </c>
      <c r="H980" t="s">
        <v>14</v>
      </c>
      <c r="I980" t="s">
        <v>26</v>
      </c>
    </row>
    <row r="981" spans="1:9" x14ac:dyDescent="0.45">
      <c r="A981" t="s">
        <v>2023</v>
      </c>
      <c r="B981" s="2">
        <v>45699</v>
      </c>
      <c r="C981" t="s">
        <v>66</v>
      </c>
      <c r="D981" t="s">
        <v>2024</v>
      </c>
      <c r="E981" t="s">
        <v>46</v>
      </c>
      <c r="F981">
        <v>5</v>
      </c>
      <c r="G981" t="s">
        <v>35</v>
      </c>
      <c r="H981" t="s">
        <v>25</v>
      </c>
      <c r="I981" t="s">
        <v>19</v>
      </c>
    </row>
    <row r="982" spans="1:9" x14ac:dyDescent="0.45">
      <c r="A982" t="s">
        <v>2025</v>
      </c>
      <c r="B982" s="2">
        <v>45659</v>
      </c>
      <c r="C982" t="s">
        <v>21</v>
      </c>
      <c r="D982" t="s">
        <v>2026</v>
      </c>
      <c r="E982" t="s">
        <v>30</v>
      </c>
      <c r="F982">
        <v>6</v>
      </c>
      <c r="G982" t="s">
        <v>59</v>
      </c>
      <c r="H982" t="s">
        <v>14</v>
      </c>
      <c r="I982" t="s">
        <v>31</v>
      </c>
    </row>
    <row r="983" spans="1:9" x14ac:dyDescent="0.45">
      <c r="A983" t="s">
        <v>2027</v>
      </c>
      <c r="B983" s="2">
        <v>45904</v>
      </c>
      <c r="C983" t="s">
        <v>49</v>
      </c>
      <c r="D983" t="s">
        <v>2028</v>
      </c>
      <c r="E983" t="s">
        <v>34</v>
      </c>
      <c r="F983">
        <v>3</v>
      </c>
      <c r="G983" t="s">
        <v>68</v>
      </c>
      <c r="H983" t="s">
        <v>25</v>
      </c>
      <c r="I983" t="s">
        <v>47</v>
      </c>
    </row>
    <row r="984" spans="1:9" x14ac:dyDescent="0.45">
      <c r="A984" t="s">
        <v>2029</v>
      </c>
      <c r="B984" s="2">
        <v>45729</v>
      </c>
      <c r="C984" t="s">
        <v>49</v>
      </c>
      <c r="D984" t="s">
        <v>2030</v>
      </c>
      <c r="E984" t="s">
        <v>42</v>
      </c>
      <c r="F984">
        <v>2</v>
      </c>
      <c r="G984" t="s">
        <v>35</v>
      </c>
      <c r="H984" t="s">
        <v>25</v>
      </c>
      <c r="I984" t="s">
        <v>39</v>
      </c>
    </row>
    <row r="985" spans="1:9" x14ac:dyDescent="0.45">
      <c r="A985" t="s">
        <v>2031</v>
      </c>
      <c r="B985" s="2">
        <v>45823</v>
      </c>
      <c r="C985" t="s">
        <v>16</v>
      </c>
      <c r="D985" t="s">
        <v>2032</v>
      </c>
      <c r="E985" t="s">
        <v>7973</v>
      </c>
      <c r="F985">
        <v>5</v>
      </c>
      <c r="G985" t="s">
        <v>35</v>
      </c>
      <c r="H985" t="s">
        <v>25</v>
      </c>
      <c r="I985" t="s">
        <v>47</v>
      </c>
    </row>
    <row r="986" spans="1:9" x14ac:dyDescent="0.45">
      <c r="A986" t="s">
        <v>2033</v>
      </c>
      <c r="B986" s="2">
        <v>45830</v>
      </c>
      <c r="C986" t="s">
        <v>49</v>
      </c>
      <c r="D986" t="s">
        <v>2034</v>
      </c>
      <c r="E986" t="s">
        <v>75</v>
      </c>
      <c r="F986">
        <v>4</v>
      </c>
      <c r="G986" t="s">
        <v>35</v>
      </c>
      <c r="H986" t="s">
        <v>25</v>
      </c>
      <c r="I986" t="s">
        <v>47</v>
      </c>
    </row>
    <row r="987" spans="1:9" x14ac:dyDescent="0.45">
      <c r="A987" t="s">
        <v>2035</v>
      </c>
      <c r="B987" s="2">
        <v>45884</v>
      </c>
      <c r="C987" t="s">
        <v>66</v>
      </c>
      <c r="D987" t="s">
        <v>2036</v>
      </c>
      <c r="E987" t="s">
        <v>71</v>
      </c>
      <c r="F987">
        <v>5</v>
      </c>
      <c r="G987" t="s">
        <v>68</v>
      </c>
      <c r="H987" t="s">
        <v>25</v>
      </c>
      <c r="I987" t="s">
        <v>47</v>
      </c>
    </row>
    <row r="988" spans="1:9" x14ac:dyDescent="0.45">
      <c r="A988" t="s">
        <v>2037</v>
      </c>
      <c r="B988" s="2">
        <v>45880</v>
      </c>
      <c r="C988" t="s">
        <v>99</v>
      </c>
      <c r="D988" t="s">
        <v>2038</v>
      </c>
      <c r="E988" t="s">
        <v>34</v>
      </c>
      <c r="F988">
        <v>7</v>
      </c>
      <c r="G988" t="s">
        <v>24</v>
      </c>
      <c r="H988" t="s">
        <v>25</v>
      </c>
      <c r="I988" t="s">
        <v>47</v>
      </c>
    </row>
    <row r="989" spans="1:9" x14ac:dyDescent="0.45">
      <c r="A989" t="s">
        <v>2039</v>
      </c>
      <c r="B989" s="2">
        <v>45769</v>
      </c>
      <c r="C989" t="s">
        <v>10</v>
      </c>
      <c r="D989" t="s">
        <v>2040</v>
      </c>
      <c r="E989" t="s">
        <v>54</v>
      </c>
      <c r="F989">
        <v>6</v>
      </c>
      <c r="G989" t="s">
        <v>68</v>
      </c>
      <c r="H989" t="s">
        <v>25</v>
      </c>
      <c r="I989" t="s">
        <v>26</v>
      </c>
    </row>
    <row r="990" spans="1:9" x14ac:dyDescent="0.45">
      <c r="A990" t="s">
        <v>2041</v>
      </c>
      <c r="B990" s="2">
        <v>45793</v>
      </c>
      <c r="C990" t="s">
        <v>28</v>
      </c>
      <c r="D990" t="s">
        <v>2042</v>
      </c>
      <c r="E990" t="s">
        <v>71</v>
      </c>
      <c r="F990">
        <v>12</v>
      </c>
      <c r="G990" t="s">
        <v>55</v>
      </c>
      <c r="H990" t="s">
        <v>72</v>
      </c>
      <c r="I990" t="s">
        <v>47</v>
      </c>
    </row>
    <row r="991" spans="1:9" x14ac:dyDescent="0.45">
      <c r="A991" t="s">
        <v>2043</v>
      </c>
      <c r="B991" s="2">
        <v>45729</v>
      </c>
      <c r="C991" t="s">
        <v>16</v>
      </c>
      <c r="D991" t="s">
        <v>2044</v>
      </c>
      <c r="E991" t="s">
        <v>42</v>
      </c>
      <c r="F991">
        <v>12</v>
      </c>
      <c r="G991" t="s">
        <v>59</v>
      </c>
      <c r="H991" t="s">
        <v>14</v>
      </c>
      <c r="I991" t="s">
        <v>19</v>
      </c>
    </row>
    <row r="992" spans="1:9" x14ac:dyDescent="0.45">
      <c r="A992" t="s">
        <v>2045</v>
      </c>
      <c r="B992" s="2">
        <v>45765</v>
      </c>
      <c r="C992" t="s">
        <v>49</v>
      </c>
      <c r="D992" t="s">
        <v>2046</v>
      </c>
      <c r="E992" t="s">
        <v>7973</v>
      </c>
      <c r="F992">
        <v>3</v>
      </c>
      <c r="G992" t="s">
        <v>68</v>
      </c>
      <c r="H992" t="s">
        <v>25</v>
      </c>
      <c r="I992" t="s">
        <v>60</v>
      </c>
    </row>
    <row r="993" spans="1:9" x14ac:dyDescent="0.45">
      <c r="A993" t="s">
        <v>2047</v>
      </c>
      <c r="B993" s="2">
        <v>45786</v>
      </c>
      <c r="C993" t="s">
        <v>49</v>
      </c>
      <c r="D993" t="s">
        <v>2048</v>
      </c>
      <c r="E993" t="s">
        <v>75</v>
      </c>
      <c r="F993">
        <v>12</v>
      </c>
      <c r="G993" t="s">
        <v>59</v>
      </c>
      <c r="H993" t="s">
        <v>14</v>
      </c>
      <c r="I993" t="s">
        <v>31</v>
      </c>
    </row>
    <row r="994" spans="1:9" x14ac:dyDescent="0.45">
      <c r="A994" t="s">
        <v>2049</v>
      </c>
      <c r="B994" s="2">
        <v>45742</v>
      </c>
      <c r="C994" t="s">
        <v>49</v>
      </c>
      <c r="D994" t="s">
        <v>2050</v>
      </c>
      <c r="E994" t="s">
        <v>46</v>
      </c>
      <c r="F994">
        <v>9</v>
      </c>
      <c r="G994" t="s">
        <v>43</v>
      </c>
      <c r="H994" t="s">
        <v>14</v>
      </c>
      <c r="I994" t="s">
        <v>31</v>
      </c>
    </row>
    <row r="995" spans="1:9" x14ac:dyDescent="0.45">
      <c r="A995" t="s">
        <v>2051</v>
      </c>
      <c r="B995" s="2">
        <v>45794</v>
      </c>
      <c r="C995" t="s">
        <v>21</v>
      </c>
      <c r="D995" t="s">
        <v>2052</v>
      </c>
      <c r="E995" t="s">
        <v>7974</v>
      </c>
      <c r="F995">
        <v>8</v>
      </c>
      <c r="G995" t="s">
        <v>13</v>
      </c>
      <c r="H995" t="s">
        <v>14</v>
      </c>
      <c r="I995" t="s">
        <v>19</v>
      </c>
    </row>
    <row r="996" spans="1:9" x14ac:dyDescent="0.45">
      <c r="A996" t="s">
        <v>2053</v>
      </c>
      <c r="B996" s="2">
        <v>45723</v>
      </c>
      <c r="C996" t="s">
        <v>21</v>
      </c>
      <c r="D996" t="s">
        <v>2054</v>
      </c>
      <c r="E996" t="s">
        <v>38</v>
      </c>
      <c r="F996">
        <v>7</v>
      </c>
      <c r="G996" t="s">
        <v>13</v>
      </c>
      <c r="H996" t="s">
        <v>14</v>
      </c>
      <c r="I996" t="s">
        <v>60</v>
      </c>
    </row>
    <row r="997" spans="1:9" x14ac:dyDescent="0.45">
      <c r="A997" t="s">
        <v>2055</v>
      </c>
      <c r="B997" s="2">
        <v>45871</v>
      </c>
      <c r="C997" t="s">
        <v>99</v>
      </c>
      <c r="D997" t="s">
        <v>2056</v>
      </c>
      <c r="E997" t="s">
        <v>23</v>
      </c>
      <c r="F997">
        <v>9</v>
      </c>
      <c r="G997" t="s">
        <v>55</v>
      </c>
      <c r="H997" t="s">
        <v>72</v>
      </c>
      <c r="I997" t="s">
        <v>31</v>
      </c>
    </row>
    <row r="998" spans="1:9" x14ac:dyDescent="0.45">
      <c r="A998" t="s">
        <v>2057</v>
      </c>
      <c r="B998" s="2">
        <v>45840</v>
      </c>
      <c r="C998" t="s">
        <v>10</v>
      </c>
      <c r="D998" t="s">
        <v>2058</v>
      </c>
      <c r="E998" t="s">
        <v>34</v>
      </c>
      <c r="F998">
        <v>11</v>
      </c>
      <c r="G998" t="s">
        <v>13</v>
      </c>
      <c r="H998" t="s">
        <v>14</v>
      </c>
      <c r="I998" t="s">
        <v>39</v>
      </c>
    </row>
    <row r="999" spans="1:9" x14ac:dyDescent="0.45">
      <c r="A999" t="s">
        <v>2059</v>
      </c>
      <c r="B999" s="2">
        <v>45861</v>
      </c>
      <c r="C999" t="s">
        <v>21</v>
      </c>
      <c r="D999" t="s">
        <v>2060</v>
      </c>
      <c r="E999" t="s">
        <v>71</v>
      </c>
      <c r="F999">
        <v>10</v>
      </c>
      <c r="G999" t="s">
        <v>24</v>
      </c>
      <c r="H999" t="s">
        <v>25</v>
      </c>
      <c r="I999" t="s">
        <v>47</v>
      </c>
    </row>
    <row r="1000" spans="1:9" x14ac:dyDescent="0.45">
      <c r="A1000" t="s">
        <v>2061</v>
      </c>
      <c r="B1000" s="2">
        <v>45825</v>
      </c>
      <c r="C1000" t="s">
        <v>10</v>
      </c>
      <c r="D1000" t="s">
        <v>2062</v>
      </c>
      <c r="E1000" t="s">
        <v>7973</v>
      </c>
      <c r="F1000">
        <v>1</v>
      </c>
      <c r="G1000" t="s">
        <v>35</v>
      </c>
      <c r="H1000" t="s">
        <v>25</v>
      </c>
      <c r="I1000" t="s">
        <v>47</v>
      </c>
    </row>
    <row r="1001" spans="1:9" x14ac:dyDescent="0.45">
      <c r="A1001" t="s">
        <v>2063</v>
      </c>
      <c r="B1001" s="2">
        <v>45717</v>
      </c>
      <c r="C1001" t="s">
        <v>52</v>
      </c>
      <c r="D1001" t="s">
        <v>2064</v>
      </c>
      <c r="E1001" t="s">
        <v>30</v>
      </c>
      <c r="F1001">
        <v>11</v>
      </c>
      <c r="G1001" t="s">
        <v>68</v>
      </c>
      <c r="H1001" t="s">
        <v>25</v>
      </c>
      <c r="I1001" t="s">
        <v>31</v>
      </c>
    </row>
    <row r="1002" spans="1:9" x14ac:dyDescent="0.45">
      <c r="A1002" t="s">
        <v>2065</v>
      </c>
      <c r="B1002" s="2">
        <v>45870</v>
      </c>
      <c r="C1002" t="s">
        <v>16</v>
      </c>
      <c r="D1002" t="s">
        <v>2066</v>
      </c>
      <c r="E1002" t="s">
        <v>75</v>
      </c>
      <c r="F1002">
        <v>7</v>
      </c>
      <c r="G1002" t="s">
        <v>43</v>
      </c>
      <c r="H1002" t="s">
        <v>14</v>
      </c>
      <c r="I1002" t="s">
        <v>60</v>
      </c>
    </row>
    <row r="1003" spans="1:9" x14ac:dyDescent="0.45">
      <c r="A1003" t="s">
        <v>2067</v>
      </c>
      <c r="B1003" s="2">
        <v>45881</v>
      </c>
      <c r="C1003" t="s">
        <v>99</v>
      </c>
      <c r="D1003" t="s">
        <v>2068</v>
      </c>
      <c r="E1003" t="s">
        <v>75</v>
      </c>
      <c r="F1003">
        <v>12</v>
      </c>
      <c r="G1003" t="s">
        <v>24</v>
      </c>
      <c r="H1003" t="s">
        <v>25</v>
      </c>
      <c r="I1003" t="s">
        <v>39</v>
      </c>
    </row>
    <row r="1004" spans="1:9" x14ac:dyDescent="0.45">
      <c r="A1004" t="s">
        <v>2069</v>
      </c>
      <c r="B1004" s="2">
        <v>45701</v>
      </c>
      <c r="C1004" t="s">
        <v>49</v>
      </c>
      <c r="D1004" t="s">
        <v>2070</v>
      </c>
      <c r="E1004" t="s">
        <v>75</v>
      </c>
      <c r="F1004">
        <v>6</v>
      </c>
      <c r="G1004" t="s">
        <v>18</v>
      </c>
      <c r="H1004" t="s">
        <v>14</v>
      </c>
      <c r="I1004" t="s">
        <v>60</v>
      </c>
    </row>
    <row r="1005" spans="1:9" x14ac:dyDescent="0.45">
      <c r="A1005" t="s">
        <v>2071</v>
      </c>
      <c r="B1005" s="2">
        <v>45798</v>
      </c>
      <c r="C1005" t="s">
        <v>28</v>
      </c>
      <c r="D1005" t="s">
        <v>2072</v>
      </c>
      <c r="E1005" t="s">
        <v>46</v>
      </c>
      <c r="F1005">
        <v>9</v>
      </c>
      <c r="G1005" t="s">
        <v>13</v>
      </c>
      <c r="H1005" t="s">
        <v>14</v>
      </c>
      <c r="I1005" t="s">
        <v>47</v>
      </c>
    </row>
    <row r="1006" spans="1:9" x14ac:dyDescent="0.45">
      <c r="A1006" t="s">
        <v>2073</v>
      </c>
      <c r="B1006" s="2">
        <v>45761</v>
      </c>
      <c r="C1006" t="s">
        <v>28</v>
      </c>
      <c r="D1006" t="s">
        <v>2074</v>
      </c>
      <c r="E1006" t="s">
        <v>54</v>
      </c>
      <c r="F1006">
        <v>3</v>
      </c>
      <c r="G1006" t="s">
        <v>68</v>
      </c>
      <c r="H1006" t="s">
        <v>25</v>
      </c>
      <c r="I1006" t="s">
        <v>47</v>
      </c>
    </row>
    <row r="1007" spans="1:9" x14ac:dyDescent="0.45">
      <c r="A1007" t="s">
        <v>2075</v>
      </c>
      <c r="B1007" s="2">
        <v>45793</v>
      </c>
      <c r="C1007" t="s">
        <v>21</v>
      </c>
      <c r="D1007" t="s">
        <v>2076</v>
      </c>
      <c r="E1007" t="s">
        <v>58</v>
      </c>
      <c r="F1007">
        <v>6</v>
      </c>
      <c r="G1007" t="s">
        <v>24</v>
      </c>
      <c r="H1007" t="s">
        <v>25</v>
      </c>
      <c r="I1007" t="s">
        <v>60</v>
      </c>
    </row>
    <row r="1008" spans="1:9" x14ac:dyDescent="0.45">
      <c r="A1008" t="s">
        <v>2077</v>
      </c>
      <c r="B1008" s="2">
        <v>45801</v>
      </c>
      <c r="C1008" t="s">
        <v>52</v>
      </c>
      <c r="D1008" t="s">
        <v>2078</v>
      </c>
      <c r="E1008" t="s">
        <v>38</v>
      </c>
      <c r="F1008">
        <v>7</v>
      </c>
      <c r="G1008" t="s">
        <v>35</v>
      </c>
      <c r="H1008" t="s">
        <v>25</v>
      </c>
      <c r="I1008" t="s">
        <v>19</v>
      </c>
    </row>
    <row r="1009" spans="1:9" x14ac:dyDescent="0.45">
      <c r="A1009" t="s">
        <v>2079</v>
      </c>
      <c r="B1009" s="2">
        <v>45839</v>
      </c>
      <c r="C1009" t="s">
        <v>49</v>
      </c>
      <c r="D1009" t="s">
        <v>2080</v>
      </c>
      <c r="E1009" t="s">
        <v>23</v>
      </c>
      <c r="F1009">
        <v>1</v>
      </c>
      <c r="G1009" t="s">
        <v>35</v>
      </c>
      <c r="H1009" t="s">
        <v>25</v>
      </c>
      <c r="I1009" t="s">
        <v>39</v>
      </c>
    </row>
    <row r="1010" spans="1:9" x14ac:dyDescent="0.45">
      <c r="A1010" t="s">
        <v>2081</v>
      </c>
      <c r="B1010" s="2">
        <v>45782</v>
      </c>
      <c r="C1010" t="s">
        <v>10</v>
      </c>
      <c r="D1010" t="s">
        <v>2082</v>
      </c>
      <c r="E1010" t="s">
        <v>42</v>
      </c>
      <c r="F1010">
        <v>10</v>
      </c>
      <c r="G1010" t="s">
        <v>59</v>
      </c>
      <c r="H1010" t="s">
        <v>14</v>
      </c>
      <c r="I1010" t="s">
        <v>60</v>
      </c>
    </row>
    <row r="1011" spans="1:9" x14ac:dyDescent="0.45">
      <c r="A1011" t="s">
        <v>2083</v>
      </c>
      <c r="B1011" s="2">
        <v>45867</v>
      </c>
      <c r="C1011" t="s">
        <v>28</v>
      </c>
      <c r="D1011" t="s">
        <v>2084</v>
      </c>
      <c r="E1011" t="s">
        <v>54</v>
      </c>
      <c r="F1011">
        <v>9</v>
      </c>
      <c r="G1011" t="s">
        <v>7967</v>
      </c>
      <c r="H1011" t="s">
        <v>14</v>
      </c>
      <c r="I1011" t="s">
        <v>47</v>
      </c>
    </row>
    <row r="1012" spans="1:9" x14ac:dyDescent="0.45">
      <c r="A1012" t="s">
        <v>2085</v>
      </c>
      <c r="B1012" s="2">
        <v>45904</v>
      </c>
      <c r="C1012" t="s">
        <v>52</v>
      </c>
      <c r="D1012" t="s">
        <v>2086</v>
      </c>
      <c r="E1012" t="s">
        <v>75</v>
      </c>
      <c r="F1012">
        <v>1</v>
      </c>
      <c r="G1012" t="s">
        <v>13</v>
      </c>
      <c r="H1012" t="s">
        <v>14</v>
      </c>
      <c r="I1012" t="s">
        <v>31</v>
      </c>
    </row>
    <row r="1013" spans="1:9" x14ac:dyDescent="0.45">
      <c r="A1013" t="s">
        <v>2087</v>
      </c>
      <c r="B1013" s="2">
        <v>45727</v>
      </c>
      <c r="C1013" t="s">
        <v>16</v>
      </c>
      <c r="D1013" t="s">
        <v>2088</v>
      </c>
      <c r="E1013" t="s">
        <v>71</v>
      </c>
      <c r="F1013">
        <v>6</v>
      </c>
      <c r="G1013" t="s">
        <v>68</v>
      </c>
      <c r="H1013" t="s">
        <v>25</v>
      </c>
      <c r="I1013" t="s">
        <v>47</v>
      </c>
    </row>
    <row r="1014" spans="1:9" x14ac:dyDescent="0.45">
      <c r="A1014" t="s">
        <v>2089</v>
      </c>
      <c r="B1014" s="2">
        <v>45779</v>
      </c>
      <c r="C1014" t="s">
        <v>10</v>
      </c>
      <c r="D1014" t="s">
        <v>2090</v>
      </c>
      <c r="E1014" t="s">
        <v>42</v>
      </c>
      <c r="F1014">
        <v>7</v>
      </c>
      <c r="G1014" t="s">
        <v>43</v>
      </c>
      <c r="H1014" t="s">
        <v>14</v>
      </c>
      <c r="I1014" t="s">
        <v>60</v>
      </c>
    </row>
    <row r="1015" spans="1:9" x14ac:dyDescent="0.45">
      <c r="A1015" t="s">
        <v>2091</v>
      </c>
      <c r="B1015" s="2">
        <v>45714</v>
      </c>
      <c r="C1015" t="s">
        <v>99</v>
      </c>
      <c r="D1015" t="s">
        <v>2092</v>
      </c>
      <c r="E1015" t="s">
        <v>34</v>
      </c>
      <c r="F1015">
        <v>5</v>
      </c>
      <c r="G1015" t="s">
        <v>68</v>
      </c>
      <c r="H1015" t="s">
        <v>25</v>
      </c>
      <c r="I1015" t="s">
        <v>60</v>
      </c>
    </row>
    <row r="1016" spans="1:9" x14ac:dyDescent="0.45">
      <c r="A1016" t="s">
        <v>2093</v>
      </c>
      <c r="B1016" s="2">
        <v>45722</v>
      </c>
      <c r="C1016" t="s">
        <v>16</v>
      </c>
      <c r="D1016" t="s">
        <v>2094</v>
      </c>
      <c r="E1016" t="s">
        <v>7973</v>
      </c>
      <c r="F1016">
        <v>9</v>
      </c>
      <c r="G1016" t="s">
        <v>59</v>
      </c>
      <c r="H1016" t="s">
        <v>14</v>
      </c>
      <c r="I1016" t="s">
        <v>60</v>
      </c>
    </row>
    <row r="1017" spans="1:9" x14ac:dyDescent="0.45">
      <c r="A1017" t="s">
        <v>2095</v>
      </c>
      <c r="B1017" s="2">
        <v>45868</v>
      </c>
      <c r="C1017" t="s">
        <v>28</v>
      </c>
      <c r="D1017" t="s">
        <v>2096</v>
      </c>
      <c r="E1017" t="s">
        <v>23</v>
      </c>
      <c r="F1017">
        <v>11</v>
      </c>
      <c r="G1017" t="s">
        <v>55</v>
      </c>
      <c r="H1017" t="s">
        <v>72</v>
      </c>
      <c r="I1017" t="s">
        <v>26</v>
      </c>
    </row>
    <row r="1018" spans="1:9" x14ac:dyDescent="0.45">
      <c r="A1018" t="s">
        <v>2097</v>
      </c>
      <c r="B1018" s="2">
        <v>45692</v>
      </c>
      <c r="C1018" t="s">
        <v>66</v>
      </c>
      <c r="D1018" t="s">
        <v>2098</v>
      </c>
      <c r="E1018" t="s">
        <v>58</v>
      </c>
      <c r="F1018">
        <v>8</v>
      </c>
      <c r="G1018" t="s">
        <v>13</v>
      </c>
      <c r="H1018" t="s">
        <v>14</v>
      </c>
      <c r="I1018" t="s">
        <v>60</v>
      </c>
    </row>
    <row r="1019" spans="1:9" x14ac:dyDescent="0.45">
      <c r="A1019" t="s">
        <v>2099</v>
      </c>
      <c r="B1019" s="2">
        <v>45830</v>
      </c>
      <c r="C1019" t="s">
        <v>66</v>
      </c>
      <c r="D1019" t="s">
        <v>2100</v>
      </c>
      <c r="E1019" t="s">
        <v>7974</v>
      </c>
      <c r="F1019">
        <v>12</v>
      </c>
      <c r="G1019" t="s">
        <v>35</v>
      </c>
      <c r="H1019" t="s">
        <v>25</v>
      </c>
      <c r="I1019" t="s">
        <v>60</v>
      </c>
    </row>
    <row r="1020" spans="1:9" x14ac:dyDescent="0.45">
      <c r="A1020" t="s">
        <v>2101</v>
      </c>
      <c r="B1020" s="2">
        <v>45823</v>
      </c>
      <c r="C1020" t="s">
        <v>21</v>
      </c>
      <c r="D1020" t="s">
        <v>2102</v>
      </c>
      <c r="E1020" t="s">
        <v>7973</v>
      </c>
      <c r="F1020">
        <v>3</v>
      </c>
      <c r="G1020" t="s">
        <v>24</v>
      </c>
      <c r="H1020" t="s">
        <v>25</v>
      </c>
      <c r="I1020" t="s">
        <v>39</v>
      </c>
    </row>
    <row r="1021" spans="1:9" x14ac:dyDescent="0.45">
      <c r="A1021" t="s">
        <v>2103</v>
      </c>
      <c r="B1021" s="2">
        <v>45844</v>
      </c>
      <c r="C1021" t="s">
        <v>10</v>
      </c>
      <c r="D1021" t="s">
        <v>2104</v>
      </c>
      <c r="E1021" t="s">
        <v>7973</v>
      </c>
      <c r="F1021">
        <v>12</v>
      </c>
      <c r="G1021" t="s">
        <v>55</v>
      </c>
      <c r="H1021" t="s">
        <v>72</v>
      </c>
      <c r="I1021" t="s">
        <v>47</v>
      </c>
    </row>
    <row r="1022" spans="1:9" x14ac:dyDescent="0.45">
      <c r="A1022" t="s">
        <v>2105</v>
      </c>
      <c r="B1022" s="2">
        <v>45703</v>
      </c>
      <c r="C1022" t="s">
        <v>66</v>
      </c>
      <c r="D1022" t="s">
        <v>2106</v>
      </c>
      <c r="E1022" t="s">
        <v>30</v>
      </c>
      <c r="F1022">
        <v>4</v>
      </c>
      <c r="G1022" t="s">
        <v>24</v>
      </c>
      <c r="H1022" t="s">
        <v>25</v>
      </c>
      <c r="I1022" t="s">
        <v>26</v>
      </c>
    </row>
    <row r="1023" spans="1:9" x14ac:dyDescent="0.45">
      <c r="A1023" t="s">
        <v>2107</v>
      </c>
      <c r="B1023" s="2">
        <v>45856</v>
      </c>
      <c r="C1023" t="s">
        <v>16</v>
      </c>
      <c r="D1023" t="s">
        <v>2108</v>
      </c>
      <c r="E1023" t="s">
        <v>46</v>
      </c>
      <c r="F1023">
        <v>2</v>
      </c>
      <c r="G1023" t="s">
        <v>18</v>
      </c>
      <c r="H1023" t="s">
        <v>14</v>
      </c>
      <c r="I1023" t="s">
        <v>60</v>
      </c>
    </row>
    <row r="1024" spans="1:9" x14ac:dyDescent="0.45">
      <c r="A1024" t="s">
        <v>2109</v>
      </c>
      <c r="B1024" s="2">
        <v>45825</v>
      </c>
      <c r="C1024" t="s">
        <v>21</v>
      </c>
      <c r="D1024" t="s">
        <v>2110</v>
      </c>
      <c r="E1024" t="s">
        <v>7973</v>
      </c>
      <c r="F1024">
        <v>9</v>
      </c>
      <c r="G1024" t="s">
        <v>59</v>
      </c>
      <c r="H1024" t="s">
        <v>14</v>
      </c>
      <c r="I1024" t="s">
        <v>39</v>
      </c>
    </row>
    <row r="1025" spans="1:9" x14ac:dyDescent="0.45">
      <c r="A1025" t="s">
        <v>2111</v>
      </c>
      <c r="B1025" s="2">
        <v>45818</v>
      </c>
      <c r="C1025" t="s">
        <v>66</v>
      </c>
      <c r="D1025" t="s">
        <v>2112</v>
      </c>
      <c r="E1025" t="s">
        <v>71</v>
      </c>
      <c r="F1025">
        <v>1</v>
      </c>
      <c r="G1025" t="s">
        <v>43</v>
      </c>
      <c r="H1025" t="s">
        <v>14</v>
      </c>
      <c r="I1025" t="s">
        <v>31</v>
      </c>
    </row>
    <row r="1026" spans="1:9" x14ac:dyDescent="0.45">
      <c r="A1026" t="s">
        <v>2113</v>
      </c>
      <c r="B1026" s="2">
        <v>45831</v>
      </c>
      <c r="C1026" t="s">
        <v>66</v>
      </c>
      <c r="D1026" t="s">
        <v>2114</v>
      </c>
      <c r="E1026" t="s">
        <v>75</v>
      </c>
      <c r="F1026">
        <v>7</v>
      </c>
      <c r="G1026" t="s">
        <v>35</v>
      </c>
      <c r="H1026" t="s">
        <v>25</v>
      </c>
      <c r="I1026" t="s">
        <v>60</v>
      </c>
    </row>
    <row r="1027" spans="1:9" x14ac:dyDescent="0.45">
      <c r="A1027" t="s">
        <v>2115</v>
      </c>
      <c r="B1027" s="2">
        <v>45897</v>
      </c>
      <c r="C1027" t="s">
        <v>16</v>
      </c>
      <c r="D1027" t="s">
        <v>2116</v>
      </c>
      <c r="E1027" t="s">
        <v>46</v>
      </c>
      <c r="F1027">
        <v>12</v>
      </c>
      <c r="G1027" t="s">
        <v>68</v>
      </c>
      <c r="H1027" t="s">
        <v>25</v>
      </c>
      <c r="I1027" t="s">
        <v>26</v>
      </c>
    </row>
    <row r="1028" spans="1:9" x14ac:dyDescent="0.45">
      <c r="A1028" t="s">
        <v>2117</v>
      </c>
      <c r="B1028" s="2">
        <v>45674</v>
      </c>
      <c r="C1028" t="s">
        <v>99</v>
      </c>
      <c r="D1028" t="s">
        <v>2118</v>
      </c>
      <c r="E1028" t="s">
        <v>38</v>
      </c>
      <c r="F1028">
        <v>4</v>
      </c>
      <c r="G1028" t="s">
        <v>35</v>
      </c>
      <c r="H1028" t="s">
        <v>25</v>
      </c>
      <c r="I1028" t="s">
        <v>31</v>
      </c>
    </row>
    <row r="1029" spans="1:9" x14ac:dyDescent="0.45">
      <c r="A1029" t="s">
        <v>2119</v>
      </c>
      <c r="B1029" s="2">
        <v>45868</v>
      </c>
      <c r="C1029" t="s">
        <v>49</v>
      </c>
      <c r="D1029" t="s">
        <v>2120</v>
      </c>
      <c r="E1029" t="s">
        <v>30</v>
      </c>
      <c r="F1029">
        <v>9</v>
      </c>
      <c r="G1029" t="s">
        <v>35</v>
      </c>
      <c r="H1029" t="s">
        <v>25</v>
      </c>
      <c r="I1029" t="s">
        <v>60</v>
      </c>
    </row>
    <row r="1030" spans="1:9" x14ac:dyDescent="0.45">
      <c r="A1030" t="s">
        <v>2121</v>
      </c>
      <c r="B1030" s="2">
        <v>45775</v>
      </c>
      <c r="C1030" t="s">
        <v>99</v>
      </c>
      <c r="D1030" t="s">
        <v>2122</v>
      </c>
      <c r="E1030" t="s">
        <v>58</v>
      </c>
      <c r="F1030">
        <v>11</v>
      </c>
      <c r="G1030" t="s">
        <v>18</v>
      </c>
      <c r="H1030" t="s">
        <v>14</v>
      </c>
      <c r="I1030" t="s">
        <v>31</v>
      </c>
    </row>
    <row r="1031" spans="1:9" x14ac:dyDescent="0.45">
      <c r="A1031" t="s">
        <v>2123</v>
      </c>
      <c r="B1031" s="2">
        <v>45759</v>
      </c>
      <c r="C1031" t="s">
        <v>16</v>
      </c>
      <c r="D1031" t="s">
        <v>2124</v>
      </c>
      <c r="E1031" t="s">
        <v>54</v>
      </c>
      <c r="F1031">
        <v>3</v>
      </c>
      <c r="G1031" t="s">
        <v>68</v>
      </c>
      <c r="H1031" t="s">
        <v>25</v>
      </c>
      <c r="I1031" t="s">
        <v>60</v>
      </c>
    </row>
    <row r="1032" spans="1:9" x14ac:dyDescent="0.45">
      <c r="A1032" t="s">
        <v>2125</v>
      </c>
      <c r="B1032" s="2">
        <v>45864</v>
      </c>
      <c r="C1032" t="s">
        <v>16</v>
      </c>
      <c r="D1032" t="s">
        <v>2126</v>
      </c>
      <c r="E1032" t="s">
        <v>23</v>
      </c>
      <c r="F1032">
        <v>6</v>
      </c>
      <c r="G1032" t="s">
        <v>35</v>
      </c>
      <c r="H1032" t="s">
        <v>25</v>
      </c>
      <c r="I1032" t="s">
        <v>26</v>
      </c>
    </row>
    <row r="1033" spans="1:9" x14ac:dyDescent="0.45">
      <c r="A1033" t="s">
        <v>2127</v>
      </c>
      <c r="B1033" s="2">
        <v>45765</v>
      </c>
      <c r="C1033" t="s">
        <v>66</v>
      </c>
      <c r="D1033" t="s">
        <v>2128</v>
      </c>
      <c r="E1033" t="s">
        <v>75</v>
      </c>
      <c r="F1033">
        <v>1</v>
      </c>
      <c r="G1033" t="s">
        <v>68</v>
      </c>
      <c r="H1033" t="s">
        <v>25</v>
      </c>
      <c r="I1033" t="s">
        <v>19</v>
      </c>
    </row>
    <row r="1034" spans="1:9" x14ac:dyDescent="0.45">
      <c r="A1034" t="s">
        <v>2129</v>
      </c>
      <c r="B1034" s="2">
        <v>45802</v>
      </c>
      <c r="C1034" t="s">
        <v>49</v>
      </c>
      <c r="D1034" t="s">
        <v>2130</v>
      </c>
      <c r="E1034" t="s">
        <v>58</v>
      </c>
      <c r="F1034">
        <v>9</v>
      </c>
      <c r="G1034" t="s">
        <v>55</v>
      </c>
      <c r="H1034" t="s">
        <v>72</v>
      </c>
      <c r="I1034" t="s">
        <v>26</v>
      </c>
    </row>
    <row r="1035" spans="1:9" x14ac:dyDescent="0.45">
      <c r="A1035" t="s">
        <v>2131</v>
      </c>
      <c r="B1035" s="2">
        <v>45831</v>
      </c>
      <c r="C1035" t="s">
        <v>66</v>
      </c>
      <c r="D1035" t="s">
        <v>2132</v>
      </c>
      <c r="E1035" t="s">
        <v>38</v>
      </c>
      <c r="F1035">
        <v>7</v>
      </c>
      <c r="G1035" t="s">
        <v>59</v>
      </c>
      <c r="H1035" t="s">
        <v>14</v>
      </c>
      <c r="I1035" t="s">
        <v>19</v>
      </c>
    </row>
    <row r="1036" spans="1:9" x14ac:dyDescent="0.45">
      <c r="A1036" t="s">
        <v>2133</v>
      </c>
      <c r="B1036" s="2">
        <v>45829</v>
      </c>
      <c r="C1036" t="s">
        <v>16</v>
      </c>
      <c r="D1036" t="s">
        <v>2134</v>
      </c>
      <c r="E1036" t="s">
        <v>38</v>
      </c>
      <c r="F1036">
        <v>7</v>
      </c>
      <c r="G1036" t="s">
        <v>59</v>
      </c>
      <c r="H1036" t="s">
        <v>14</v>
      </c>
      <c r="I1036" t="s">
        <v>31</v>
      </c>
    </row>
    <row r="1037" spans="1:9" x14ac:dyDescent="0.45">
      <c r="A1037" t="s">
        <v>2135</v>
      </c>
      <c r="B1037" s="2">
        <v>45884</v>
      </c>
      <c r="C1037" t="s">
        <v>21</v>
      </c>
      <c r="D1037" t="s">
        <v>2136</v>
      </c>
      <c r="E1037" t="s">
        <v>38</v>
      </c>
      <c r="F1037">
        <v>9</v>
      </c>
      <c r="G1037" t="s">
        <v>13</v>
      </c>
      <c r="H1037" t="s">
        <v>14</v>
      </c>
      <c r="I1037" t="s">
        <v>39</v>
      </c>
    </row>
    <row r="1038" spans="1:9" x14ac:dyDescent="0.45">
      <c r="A1038" t="s">
        <v>2137</v>
      </c>
      <c r="B1038" s="2">
        <v>45800</v>
      </c>
      <c r="C1038" t="s">
        <v>10</v>
      </c>
      <c r="D1038" t="s">
        <v>2138</v>
      </c>
      <c r="E1038" t="s">
        <v>7973</v>
      </c>
      <c r="F1038">
        <v>9</v>
      </c>
      <c r="G1038" t="s">
        <v>68</v>
      </c>
      <c r="H1038" t="s">
        <v>25</v>
      </c>
      <c r="I1038" t="s">
        <v>39</v>
      </c>
    </row>
    <row r="1039" spans="1:9" x14ac:dyDescent="0.45">
      <c r="A1039" t="s">
        <v>2139</v>
      </c>
      <c r="B1039" s="2">
        <v>45861</v>
      </c>
      <c r="C1039" t="s">
        <v>28</v>
      </c>
      <c r="D1039" t="s">
        <v>2140</v>
      </c>
      <c r="E1039" t="s">
        <v>7974</v>
      </c>
      <c r="F1039">
        <v>5</v>
      </c>
      <c r="G1039" t="s">
        <v>35</v>
      </c>
      <c r="H1039" t="s">
        <v>25</v>
      </c>
      <c r="I1039" t="s">
        <v>31</v>
      </c>
    </row>
    <row r="1040" spans="1:9" x14ac:dyDescent="0.45">
      <c r="A1040" t="s">
        <v>2141</v>
      </c>
      <c r="B1040" s="2">
        <v>45885</v>
      </c>
      <c r="C1040" t="s">
        <v>10</v>
      </c>
      <c r="D1040" t="s">
        <v>2142</v>
      </c>
      <c r="E1040" t="s">
        <v>46</v>
      </c>
      <c r="F1040">
        <v>4</v>
      </c>
      <c r="G1040" t="s">
        <v>35</v>
      </c>
      <c r="H1040" t="s">
        <v>25</v>
      </c>
      <c r="I1040" t="s">
        <v>47</v>
      </c>
    </row>
    <row r="1041" spans="1:9" x14ac:dyDescent="0.45">
      <c r="A1041" t="s">
        <v>2143</v>
      </c>
      <c r="B1041" s="2">
        <v>45748</v>
      </c>
      <c r="C1041" t="s">
        <v>52</v>
      </c>
      <c r="D1041" t="s">
        <v>2144</v>
      </c>
      <c r="E1041" t="s">
        <v>71</v>
      </c>
      <c r="F1041">
        <v>3</v>
      </c>
      <c r="G1041" t="s">
        <v>68</v>
      </c>
      <c r="H1041" t="s">
        <v>25</v>
      </c>
      <c r="I1041" t="s">
        <v>31</v>
      </c>
    </row>
    <row r="1042" spans="1:9" x14ac:dyDescent="0.45">
      <c r="A1042" t="s">
        <v>2145</v>
      </c>
      <c r="B1042" s="2">
        <v>45810</v>
      </c>
      <c r="C1042" t="s">
        <v>66</v>
      </c>
      <c r="D1042" t="s">
        <v>2147</v>
      </c>
      <c r="E1042" t="s">
        <v>23</v>
      </c>
      <c r="F1042">
        <v>5</v>
      </c>
      <c r="G1042" t="s">
        <v>18</v>
      </c>
      <c r="H1042" t="s">
        <v>14</v>
      </c>
      <c r="I1042" t="s">
        <v>47</v>
      </c>
    </row>
    <row r="1043" spans="1:9" x14ac:dyDescent="0.45">
      <c r="A1043" t="s">
        <v>2148</v>
      </c>
      <c r="B1043" s="2">
        <v>45893</v>
      </c>
      <c r="C1043" t="s">
        <v>28</v>
      </c>
      <c r="D1043" t="s">
        <v>2149</v>
      </c>
      <c r="E1043" t="s">
        <v>23</v>
      </c>
      <c r="F1043">
        <v>10</v>
      </c>
      <c r="G1043" t="s">
        <v>55</v>
      </c>
      <c r="H1043" t="s">
        <v>72</v>
      </c>
      <c r="I1043" t="s">
        <v>47</v>
      </c>
    </row>
    <row r="1044" spans="1:9" x14ac:dyDescent="0.45">
      <c r="A1044" t="s">
        <v>2150</v>
      </c>
      <c r="B1044" s="2">
        <v>45793</v>
      </c>
      <c r="C1044" t="s">
        <v>28</v>
      </c>
      <c r="D1044" t="s">
        <v>2151</v>
      </c>
      <c r="E1044" t="s">
        <v>46</v>
      </c>
      <c r="F1044">
        <v>10</v>
      </c>
      <c r="G1044" t="s">
        <v>68</v>
      </c>
      <c r="H1044" t="s">
        <v>25</v>
      </c>
      <c r="I1044" t="s">
        <v>47</v>
      </c>
    </row>
    <row r="1045" spans="1:9" x14ac:dyDescent="0.45">
      <c r="A1045" t="s">
        <v>2152</v>
      </c>
      <c r="B1045" s="2">
        <v>45743</v>
      </c>
      <c r="C1045" t="s">
        <v>28</v>
      </c>
      <c r="D1045" t="s">
        <v>2153</v>
      </c>
      <c r="E1045" t="s">
        <v>42</v>
      </c>
      <c r="F1045">
        <v>5</v>
      </c>
      <c r="G1045" t="s">
        <v>24</v>
      </c>
      <c r="H1045" t="s">
        <v>25</v>
      </c>
      <c r="I1045" t="s">
        <v>19</v>
      </c>
    </row>
    <row r="1046" spans="1:9" x14ac:dyDescent="0.45">
      <c r="A1046" t="s">
        <v>2154</v>
      </c>
      <c r="B1046" s="2">
        <v>45898</v>
      </c>
      <c r="C1046" t="s">
        <v>49</v>
      </c>
      <c r="D1046" t="s">
        <v>2155</v>
      </c>
      <c r="E1046" t="s">
        <v>7974</v>
      </c>
      <c r="F1046">
        <v>7</v>
      </c>
      <c r="G1046" t="s">
        <v>35</v>
      </c>
      <c r="H1046" t="s">
        <v>25</v>
      </c>
      <c r="I1046" t="s">
        <v>60</v>
      </c>
    </row>
    <row r="1047" spans="1:9" x14ac:dyDescent="0.45">
      <c r="A1047" t="s">
        <v>2156</v>
      </c>
      <c r="B1047" s="2">
        <v>45766</v>
      </c>
      <c r="C1047" t="s">
        <v>10</v>
      </c>
      <c r="D1047" t="s">
        <v>2157</v>
      </c>
      <c r="E1047" t="s">
        <v>46</v>
      </c>
      <c r="F1047">
        <v>10</v>
      </c>
      <c r="G1047" t="s">
        <v>13</v>
      </c>
      <c r="H1047" t="s">
        <v>14</v>
      </c>
      <c r="I1047" t="s">
        <v>26</v>
      </c>
    </row>
    <row r="1048" spans="1:9" x14ac:dyDescent="0.45">
      <c r="A1048" t="s">
        <v>2158</v>
      </c>
      <c r="B1048" s="2">
        <v>45884</v>
      </c>
      <c r="C1048" t="s">
        <v>52</v>
      </c>
      <c r="D1048" t="s">
        <v>2159</v>
      </c>
      <c r="E1048" t="s">
        <v>46</v>
      </c>
      <c r="F1048">
        <v>8</v>
      </c>
      <c r="G1048" t="s">
        <v>35</v>
      </c>
      <c r="H1048" t="s">
        <v>25</v>
      </c>
      <c r="I1048" t="s">
        <v>19</v>
      </c>
    </row>
    <row r="1049" spans="1:9" x14ac:dyDescent="0.45">
      <c r="A1049" t="s">
        <v>2160</v>
      </c>
      <c r="B1049" s="2">
        <v>45790</v>
      </c>
      <c r="C1049" t="s">
        <v>21</v>
      </c>
      <c r="D1049" t="s">
        <v>2161</v>
      </c>
      <c r="E1049" t="s">
        <v>7967</v>
      </c>
      <c r="F1049">
        <v>5</v>
      </c>
      <c r="G1049" t="s">
        <v>55</v>
      </c>
      <c r="H1049" t="s">
        <v>72</v>
      </c>
      <c r="I1049" t="s">
        <v>19</v>
      </c>
    </row>
    <row r="1050" spans="1:9" x14ac:dyDescent="0.45">
      <c r="A1050" t="s">
        <v>2162</v>
      </c>
      <c r="B1050" s="2">
        <v>45661</v>
      </c>
      <c r="C1050" t="s">
        <v>28</v>
      </c>
      <c r="D1050" t="s">
        <v>2163</v>
      </c>
      <c r="E1050" t="s">
        <v>38</v>
      </c>
      <c r="F1050">
        <v>2</v>
      </c>
      <c r="G1050" t="s">
        <v>13</v>
      </c>
      <c r="H1050" t="s">
        <v>14</v>
      </c>
      <c r="I1050" t="s">
        <v>47</v>
      </c>
    </row>
    <row r="1051" spans="1:9" x14ac:dyDescent="0.45">
      <c r="A1051" t="s">
        <v>2164</v>
      </c>
      <c r="B1051" s="2">
        <v>45715</v>
      </c>
      <c r="C1051" t="s">
        <v>66</v>
      </c>
      <c r="D1051" t="s">
        <v>2165</v>
      </c>
      <c r="E1051" t="s">
        <v>71</v>
      </c>
      <c r="F1051">
        <v>3</v>
      </c>
      <c r="G1051" t="s">
        <v>18</v>
      </c>
      <c r="H1051" t="s">
        <v>14</v>
      </c>
      <c r="I1051" t="s">
        <v>31</v>
      </c>
    </row>
    <row r="1052" spans="1:9" x14ac:dyDescent="0.45">
      <c r="A1052" t="s">
        <v>2166</v>
      </c>
      <c r="B1052" s="2">
        <v>45779</v>
      </c>
      <c r="C1052" t="s">
        <v>52</v>
      </c>
      <c r="D1052" t="s">
        <v>2167</v>
      </c>
      <c r="E1052" t="s">
        <v>46</v>
      </c>
      <c r="F1052">
        <v>5</v>
      </c>
      <c r="G1052" t="s">
        <v>55</v>
      </c>
      <c r="H1052" t="s">
        <v>72</v>
      </c>
      <c r="I1052" t="s">
        <v>39</v>
      </c>
    </row>
    <row r="1053" spans="1:9" x14ac:dyDescent="0.45">
      <c r="A1053" t="s">
        <v>2168</v>
      </c>
      <c r="B1053" s="2">
        <v>45780</v>
      </c>
      <c r="C1053" t="s">
        <v>99</v>
      </c>
      <c r="D1053" t="s">
        <v>2169</v>
      </c>
      <c r="E1053" t="s">
        <v>30</v>
      </c>
      <c r="F1053">
        <v>2</v>
      </c>
      <c r="G1053" t="s">
        <v>24</v>
      </c>
      <c r="H1053" t="s">
        <v>25</v>
      </c>
      <c r="I1053" t="s">
        <v>39</v>
      </c>
    </row>
    <row r="1054" spans="1:9" x14ac:dyDescent="0.45">
      <c r="A1054" t="s">
        <v>2170</v>
      </c>
      <c r="B1054" s="2">
        <v>45764</v>
      </c>
      <c r="C1054" t="s">
        <v>52</v>
      </c>
      <c r="D1054" t="s">
        <v>2171</v>
      </c>
      <c r="E1054" t="s">
        <v>42</v>
      </c>
      <c r="F1054">
        <v>3</v>
      </c>
      <c r="G1054" t="s">
        <v>43</v>
      </c>
      <c r="H1054" t="s">
        <v>14</v>
      </c>
      <c r="I1054" t="s">
        <v>31</v>
      </c>
    </row>
    <row r="1055" spans="1:9" x14ac:dyDescent="0.45">
      <c r="A1055" t="s">
        <v>2172</v>
      </c>
      <c r="B1055" s="2">
        <v>45702</v>
      </c>
      <c r="C1055" t="s">
        <v>52</v>
      </c>
      <c r="D1055" t="s">
        <v>2173</v>
      </c>
      <c r="E1055" t="s">
        <v>7974</v>
      </c>
      <c r="F1055">
        <v>6</v>
      </c>
      <c r="G1055" t="s">
        <v>68</v>
      </c>
      <c r="H1055" t="s">
        <v>25</v>
      </c>
      <c r="I1055" t="s">
        <v>47</v>
      </c>
    </row>
    <row r="1056" spans="1:9" x14ac:dyDescent="0.45">
      <c r="A1056" t="s">
        <v>2174</v>
      </c>
      <c r="B1056" s="2">
        <v>45845</v>
      </c>
      <c r="C1056" t="s">
        <v>21</v>
      </c>
      <c r="D1056" t="s">
        <v>2175</v>
      </c>
      <c r="E1056" t="s">
        <v>71</v>
      </c>
      <c r="F1056">
        <v>5</v>
      </c>
      <c r="G1056" t="s">
        <v>13</v>
      </c>
      <c r="H1056" t="s">
        <v>14</v>
      </c>
      <c r="I1056" t="s">
        <v>47</v>
      </c>
    </row>
    <row r="1057" spans="1:9" x14ac:dyDescent="0.45">
      <c r="A1057" t="s">
        <v>2176</v>
      </c>
      <c r="B1057" s="2">
        <v>45857</v>
      </c>
      <c r="C1057" t="s">
        <v>66</v>
      </c>
      <c r="D1057" t="s">
        <v>2177</v>
      </c>
      <c r="E1057" t="s">
        <v>23</v>
      </c>
      <c r="F1057">
        <v>12</v>
      </c>
      <c r="G1057" t="s">
        <v>18</v>
      </c>
      <c r="H1057" t="s">
        <v>14</v>
      </c>
      <c r="I1057" t="s">
        <v>31</v>
      </c>
    </row>
    <row r="1058" spans="1:9" x14ac:dyDescent="0.45">
      <c r="A1058" t="s">
        <v>2178</v>
      </c>
      <c r="B1058" s="2">
        <v>45893</v>
      </c>
      <c r="C1058" t="s">
        <v>66</v>
      </c>
      <c r="D1058" t="s">
        <v>2179</v>
      </c>
      <c r="E1058" t="s">
        <v>46</v>
      </c>
      <c r="F1058">
        <v>7</v>
      </c>
      <c r="G1058" t="s">
        <v>68</v>
      </c>
      <c r="H1058" t="s">
        <v>25</v>
      </c>
      <c r="I1058" t="s">
        <v>19</v>
      </c>
    </row>
    <row r="1059" spans="1:9" x14ac:dyDescent="0.45">
      <c r="A1059" t="s">
        <v>2180</v>
      </c>
      <c r="B1059" s="2">
        <v>45901</v>
      </c>
      <c r="C1059" t="s">
        <v>10</v>
      </c>
      <c r="D1059" t="s">
        <v>2181</v>
      </c>
      <c r="E1059" t="s">
        <v>23</v>
      </c>
      <c r="F1059">
        <v>7</v>
      </c>
      <c r="G1059" t="s">
        <v>18</v>
      </c>
      <c r="H1059" t="s">
        <v>14</v>
      </c>
      <c r="I1059" t="s">
        <v>31</v>
      </c>
    </row>
    <row r="1060" spans="1:9" x14ac:dyDescent="0.45">
      <c r="A1060" t="s">
        <v>2182</v>
      </c>
      <c r="B1060" s="2">
        <v>45882</v>
      </c>
      <c r="C1060" t="s">
        <v>49</v>
      </c>
      <c r="D1060" t="s">
        <v>2183</v>
      </c>
      <c r="E1060" t="s">
        <v>7973</v>
      </c>
      <c r="F1060">
        <v>4</v>
      </c>
      <c r="G1060" t="s">
        <v>43</v>
      </c>
      <c r="H1060" t="s">
        <v>14</v>
      </c>
      <c r="I1060" t="s">
        <v>31</v>
      </c>
    </row>
    <row r="1061" spans="1:9" x14ac:dyDescent="0.45">
      <c r="A1061" t="s">
        <v>2184</v>
      </c>
      <c r="B1061" s="2">
        <v>45731</v>
      </c>
      <c r="C1061" t="s">
        <v>21</v>
      </c>
      <c r="D1061" t="s">
        <v>2185</v>
      </c>
      <c r="E1061" t="s">
        <v>7973</v>
      </c>
      <c r="F1061">
        <v>8</v>
      </c>
      <c r="G1061" t="s">
        <v>13</v>
      </c>
      <c r="H1061" t="s">
        <v>14</v>
      </c>
      <c r="I1061" t="s">
        <v>47</v>
      </c>
    </row>
    <row r="1062" spans="1:9" x14ac:dyDescent="0.45">
      <c r="A1062" t="s">
        <v>2186</v>
      </c>
      <c r="B1062" s="2">
        <v>45814</v>
      </c>
      <c r="C1062" t="s">
        <v>49</v>
      </c>
      <c r="D1062" t="s">
        <v>2187</v>
      </c>
      <c r="E1062" t="s">
        <v>7973</v>
      </c>
      <c r="F1062">
        <v>2</v>
      </c>
      <c r="G1062" t="s">
        <v>18</v>
      </c>
      <c r="H1062" t="s">
        <v>14</v>
      </c>
      <c r="I1062" t="s">
        <v>47</v>
      </c>
    </row>
    <row r="1063" spans="1:9" x14ac:dyDescent="0.45">
      <c r="A1063" t="s">
        <v>2188</v>
      </c>
      <c r="B1063" s="2">
        <v>45704</v>
      </c>
      <c r="C1063" t="s">
        <v>52</v>
      </c>
      <c r="D1063" t="s">
        <v>2189</v>
      </c>
      <c r="E1063" t="s">
        <v>7967</v>
      </c>
      <c r="F1063">
        <v>9</v>
      </c>
      <c r="G1063" t="s">
        <v>55</v>
      </c>
      <c r="H1063" t="s">
        <v>72</v>
      </c>
      <c r="I1063" t="s">
        <v>19</v>
      </c>
    </row>
    <row r="1064" spans="1:9" x14ac:dyDescent="0.45">
      <c r="A1064" t="s">
        <v>2190</v>
      </c>
      <c r="B1064" s="2">
        <v>45792</v>
      </c>
      <c r="C1064" t="s">
        <v>16</v>
      </c>
      <c r="D1064" t="s">
        <v>2191</v>
      </c>
      <c r="E1064" t="s">
        <v>42</v>
      </c>
      <c r="F1064">
        <v>7</v>
      </c>
      <c r="G1064" t="s">
        <v>43</v>
      </c>
      <c r="H1064" t="s">
        <v>14</v>
      </c>
      <c r="I1064" t="s">
        <v>60</v>
      </c>
    </row>
    <row r="1065" spans="1:9" x14ac:dyDescent="0.45">
      <c r="A1065" t="s">
        <v>2192</v>
      </c>
      <c r="B1065" s="2">
        <v>45876</v>
      </c>
      <c r="C1065" t="s">
        <v>16</v>
      </c>
      <c r="D1065" t="s">
        <v>2193</v>
      </c>
      <c r="E1065" t="s">
        <v>75</v>
      </c>
      <c r="F1065">
        <v>5</v>
      </c>
      <c r="G1065" t="s">
        <v>59</v>
      </c>
      <c r="H1065" t="s">
        <v>14</v>
      </c>
      <c r="I1065" t="s">
        <v>39</v>
      </c>
    </row>
    <row r="1066" spans="1:9" x14ac:dyDescent="0.45">
      <c r="A1066" t="s">
        <v>2194</v>
      </c>
      <c r="B1066" s="2">
        <v>45714</v>
      </c>
      <c r="C1066" t="s">
        <v>16</v>
      </c>
      <c r="D1066" t="s">
        <v>2195</v>
      </c>
      <c r="E1066" t="s">
        <v>46</v>
      </c>
      <c r="F1066">
        <v>5</v>
      </c>
      <c r="G1066" t="s">
        <v>43</v>
      </c>
      <c r="H1066" t="s">
        <v>14</v>
      </c>
      <c r="I1066" t="s">
        <v>47</v>
      </c>
    </row>
    <row r="1067" spans="1:9" x14ac:dyDescent="0.45">
      <c r="A1067" t="s">
        <v>2196</v>
      </c>
      <c r="B1067" s="2">
        <v>45850</v>
      </c>
      <c r="C1067" t="s">
        <v>28</v>
      </c>
      <c r="D1067" t="s">
        <v>2197</v>
      </c>
      <c r="E1067" t="s">
        <v>75</v>
      </c>
      <c r="F1067">
        <v>2</v>
      </c>
      <c r="G1067" t="s">
        <v>59</v>
      </c>
      <c r="H1067" t="s">
        <v>14</v>
      </c>
      <c r="I1067" t="s">
        <v>60</v>
      </c>
    </row>
    <row r="1068" spans="1:9" x14ac:dyDescent="0.45">
      <c r="A1068" t="s">
        <v>2198</v>
      </c>
      <c r="B1068" s="2">
        <v>45705</v>
      </c>
      <c r="C1068" t="s">
        <v>52</v>
      </c>
      <c r="D1068" t="s">
        <v>2199</v>
      </c>
      <c r="E1068" t="s">
        <v>71</v>
      </c>
      <c r="F1068">
        <v>11</v>
      </c>
      <c r="G1068" t="s">
        <v>43</v>
      </c>
      <c r="H1068" t="s">
        <v>14</v>
      </c>
      <c r="I1068" t="s">
        <v>31</v>
      </c>
    </row>
    <row r="1069" spans="1:9" x14ac:dyDescent="0.45">
      <c r="A1069" t="s">
        <v>2200</v>
      </c>
      <c r="B1069" s="2">
        <v>45783</v>
      </c>
      <c r="C1069" t="s">
        <v>66</v>
      </c>
      <c r="D1069" t="s">
        <v>2201</v>
      </c>
      <c r="E1069" t="s">
        <v>34</v>
      </c>
      <c r="F1069">
        <v>10</v>
      </c>
      <c r="G1069" t="s">
        <v>68</v>
      </c>
      <c r="H1069" t="s">
        <v>25</v>
      </c>
      <c r="I1069" t="s">
        <v>31</v>
      </c>
    </row>
    <row r="1070" spans="1:9" x14ac:dyDescent="0.45">
      <c r="A1070" t="s">
        <v>2202</v>
      </c>
      <c r="B1070" s="2">
        <v>45681</v>
      </c>
      <c r="C1070" t="s">
        <v>49</v>
      </c>
      <c r="D1070" t="s">
        <v>2203</v>
      </c>
      <c r="E1070" t="s">
        <v>54</v>
      </c>
      <c r="F1070">
        <v>3</v>
      </c>
      <c r="G1070" t="s">
        <v>59</v>
      </c>
      <c r="H1070" t="s">
        <v>14</v>
      </c>
      <c r="I1070" t="s">
        <v>39</v>
      </c>
    </row>
    <row r="1071" spans="1:9" x14ac:dyDescent="0.45">
      <c r="A1071" t="s">
        <v>2204</v>
      </c>
      <c r="B1071" s="2">
        <v>45719</v>
      </c>
      <c r="C1071" t="s">
        <v>16</v>
      </c>
      <c r="D1071" t="s">
        <v>2205</v>
      </c>
      <c r="E1071" t="s">
        <v>42</v>
      </c>
      <c r="F1071">
        <v>6</v>
      </c>
      <c r="G1071" t="s">
        <v>55</v>
      </c>
      <c r="H1071" t="s">
        <v>72</v>
      </c>
      <c r="I1071" t="s">
        <v>19</v>
      </c>
    </row>
    <row r="1072" spans="1:9" x14ac:dyDescent="0.45">
      <c r="A1072" t="s">
        <v>2206</v>
      </c>
      <c r="B1072" s="2">
        <v>45833</v>
      </c>
      <c r="C1072" t="s">
        <v>52</v>
      </c>
      <c r="D1072" t="s">
        <v>2207</v>
      </c>
      <c r="E1072" t="s">
        <v>54</v>
      </c>
      <c r="F1072">
        <v>3</v>
      </c>
      <c r="G1072" t="s">
        <v>55</v>
      </c>
      <c r="H1072" t="s">
        <v>72</v>
      </c>
      <c r="I1072" t="s">
        <v>60</v>
      </c>
    </row>
    <row r="1073" spans="1:9" x14ac:dyDescent="0.45">
      <c r="A1073" t="s">
        <v>2208</v>
      </c>
      <c r="B1073" s="2">
        <v>45854</v>
      </c>
      <c r="C1073" t="s">
        <v>66</v>
      </c>
      <c r="D1073" t="s">
        <v>2209</v>
      </c>
      <c r="E1073" t="s">
        <v>30</v>
      </c>
      <c r="F1073">
        <v>7</v>
      </c>
      <c r="G1073" t="s">
        <v>43</v>
      </c>
      <c r="H1073" t="s">
        <v>14</v>
      </c>
      <c r="I1073" t="s">
        <v>60</v>
      </c>
    </row>
    <row r="1074" spans="1:9" x14ac:dyDescent="0.45">
      <c r="A1074" t="s">
        <v>2210</v>
      </c>
      <c r="B1074" s="2">
        <v>45869</v>
      </c>
      <c r="C1074" t="s">
        <v>66</v>
      </c>
      <c r="D1074" t="s">
        <v>2211</v>
      </c>
      <c r="E1074" t="s">
        <v>75</v>
      </c>
      <c r="F1074">
        <v>9</v>
      </c>
      <c r="G1074" t="s">
        <v>13</v>
      </c>
      <c r="H1074" t="s">
        <v>14</v>
      </c>
      <c r="I1074" t="s">
        <v>39</v>
      </c>
    </row>
    <row r="1075" spans="1:9" x14ac:dyDescent="0.45">
      <c r="A1075" t="s">
        <v>2212</v>
      </c>
      <c r="B1075" s="2">
        <v>45761</v>
      </c>
      <c r="C1075" t="s">
        <v>66</v>
      </c>
      <c r="D1075" t="s">
        <v>2213</v>
      </c>
      <c r="E1075" t="s">
        <v>46</v>
      </c>
      <c r="F1075">
        <v>10</v>
      </c>
      <c r="G1075" t="s">
        <v>68</v>
      </c>
      <c r="H1075" t="s">
        <v>25</v>
      </c>
      <c r="I1075" t="s">
        <v>31</v>
      </c>
    </row>
    <row r="1076" spans="1:9" x14ac:dyDescent="0.45">
      <c r="A1076" t="s">
        <v>2214</v>
      </c>
      <c r="B1076" s="2">
        <v>45889</v>
      </c>
      <c r="C1076" t="s">
        <v>16</v>
      </c>
      <c r="D1076" t="s">
        <v>2215</v>
      </c>
      <c r="E1076" t="s">
        <v>46</v>
      </c>
      <c r="F1076">
        <v>3</v>
      </c>
      <c r="G1076" t="s">
        <v>24</v>
      </c>
      <c r="H1076" t="s">
        <v>25</v>
      </c>
      <c r="I1076" t="s">
        <v>47</v>
      </c>
    </row>
    <row r="1077" spans="1:9" x14ac:dyDescent="0.45">
      <c r="A1077" t="s">
        <v>2216</v>
      </c>
      <c r="B1077" s="2">
        <v>45857</v>
      </c>
      <c r="C1077" t="s">
        <v>99</v>
      </c>
      <c r="D1077" t="s">
        <v>2217</v>
      </c>
      <c r="E1077" t="s">
        <v>58</v>
      </c>
      <c r="F1077">
        <v>1</v>
      </c>
      <c r="G1077" t="s">
        <v>24</v>
      </c>
      <c r="H1077" t="s">
        <v>25</v>
      </c>
      <c r="I1077" t="s">
        <v>47</v>
      </c>
    </row>
    <row r="1078" spans="1:9" x14ac:dyDescent="0.45">
      <c r="A1078" t="s">
        <v>2218</v>
      </c>
      <c r="B1078" s="2">
        <v>45760</v>
      </c>
      <c r="C1078" t="s">
        <v>16</v>
      </c>
      <c r="D1078" t="s">
        <v>2219</v>
      </c>
      <c r="E1078" t="s">
        <v>7974</v>
      </c>
      <c r="F1078">
        <v>5</v>
      </c>
      <c r="G1078" t="s">
        <v>68</v>
      </c>
      <c r="H1078" t="s">
        <v>25</v>
      </c>
      <c r="I1078" t="s">
        <v>19</v>
      </c>
    </row>
    <row r="1079" spans="1:9" x14ac:dyDescent="0.45">
      <c r="A1079" t="s">
        <v>2220</v>
      </c>
      <c r="B1079" s="2">
        <v>45791</v>
      </c>
      <c r="C1079" t="s">
        <v>21</v>
      </c>
      <c r="D1079" t="s">
        <v>2221</v>
      </c>
      <c r="E1079" t="s">
        <v>7973</v>
      </c>
      <c r="F1079">
        <v>6</v>
      </c>
      <c r="G1079" t="s">
        <v>55</v>
      </c>
      <c r="H1079" t="s">
        <v>72</v>
      </c>
      <c r="I1079" t="s">
        <v>47</v>
      </c>
    </row>
    <row r="1080" spans="1:9" x14ac:dyDescent="0.45">
      <c r="A1080" t="s">
        <v>2222</v>
      </c>
      <c r="B1080" s="2">
        <v>45770</v>
      </c>
      <c r="C1080" t="s">
        <v>21</v>
      </c>
      <c r="D1080" t="s">
        <v>2223</v>
      </c>
      <c r="E1080" t="s">
        <v>71</v>
      </c>
      <c r="F1080">
        <v>1</v>
      </c>
      <c r="G1080" t="s">
        <v>13</v>
      </c>
      <c r="H1080" t="s">
        <v>14</v>
      </c>
      <c r="I1080" t="s">
        <v>19</v>
      </c>
    </row>
    <row r="1081" spans="1:9" x14ac:dyDescent="0.45">
      <c r="A1081" t="s">
        <v>2224</v>
      </c>
      <c r="B1081" s="2">
        <v>45819</v>
      </c>
      <c r="C1081" t="s">
        <v>52</v>
      </c>
      <c r="D1081" t="s">
        <v>2225</v>
      </c>
      <c r="E1081" t="s">
        <v>71</v>
      </c>
      <c r="F1081">
        <v>10</v>
      </c>
      <c r="G1081" t="s">
        <v>68</v>
      </c>
      <c r="H1081" t="s">
        <v>25</v>
      </c>
      <c r="I1081" t="s">
        <v>39</v>
      </c>
    </row>
    <row r="1082" spans="1:9" x14ac:dyDescent="0.45">
      <c r="A1082" t="s">
        <v>2226</v>
      </c>
      <c r="B1082" s="2">
        <v>45893</v>
      </c>
      <c r="C1082" t="s">
        <v>16</v>
      </c>
      <c r="D1082" t="s">
        <v>2227</v>
      </c>
      <c r="E1082" t="s">
        <v>34</v>
      </c>
      <c r="F1082">
        <v>2</v>
      </c>
      <c r="G1082" t="s">
        <v>59</v>
      </c>
      <c r="H1082" t="s">
        <v>14</v>
      </c>
      <c r="I1082" t="s">
        <v>47</v>
      </c>
    </row>
    <row r="1083" spans="1:9" x14ac:dyDescent="0.45">
      <c r="A1083" t="s">
        <v>2228</v>
      </c>
      <c r="B1083" s="2">
        <v>45723</v>
      </c>
      <c r="C1083" t="s">
        <v>99</v>
      </c>
      <c r="D1083" t="s">
        <v>2229</v>
      </c>
      <c r="E1083" t="s">
        <v>7973</v>
      </c>
      <c r="F1083">
        <v>7</v>
      </c>
      <c r="G1083" t="s">
        <v>43</v>
      </c>
      <c r="H1083" t="s">
        <v>14</v>
      </c>
      <c r="I1083" t="s">
        <v>26</v>
      </c>
    </row>
    <row r="1084" spans="1:9" x14ac:dyDescent="0.45">
      <c r="A1084" t="s">
        <v>2230</v>
      </c>
      <c r="B1084" s="2">
        <v>45814</v>
      </c>
      <c r="C1084" t="s">
        <v>10</v>
      </c>
      <c r="D1084" t="s">
        <v>2231</v>
      </c>
      <c r="E1084" t="s">
        <v>42</v>
      </c>
      <c r="F1084">
        <v>6</v>
      </c>
      <c r="G1084" t="s">
        <v>13</v>
      </c>
      <c r="H1084" t="s">
        <v>14</v>
      </c>
      <c r="I1084" t="s">
        <v>60</v>
      </c>
    </row>
    <row r="1085" spans="1:9" x14ac:dyDescent="0.45">
      <c r="A1085" t="s">
        <v>2232</v>
      </c>
      <c r="B1085" s="2">
        <v>45689</v>
      </c>
      <c r="C1085" t="s">
        <v>66</v>
      </c>
      <c r="D1085" t="s">
        <v>2233</v>
      </c>
      <c r="E1085" t="s">
        <v>7973</v>
      </c>
      <c r="F1085">
        <v>11</v>
      </c>
      <c r="G1085" t="s">
        <v>35</v>
      </c>
      <c r="H1085" t="s">
        <v>25</v>
      </c>
      <c r="I1085" t="s">
        <v>47</v>
      </c>
    </row>
    <row r="1086" spans="1:9" x14ac:dyDescent="0.45">
      <c r="A1086" t="s">
        <v>2234</v>
      </c>
      <c r="B1086" s="2">
        <v>45766</v>
      </c>
      <c r="C1086" t="s">
        <v>21</v>
      </c>
      <c r="D1086" t="s">
        <v>2235</v>
      </c>
      <c r="E1086" t="s">
        <v>7974</v>
      </c>
      <c r="F1086">
        <v>4</v>
      </c>
      <c r="G1086" t="s">
        <v>59</v>
      </c>
      <c r="H1086" t="s">
        <v>14</v>
      </c>
      <c r="I1086" t="s">
        <v>47</v>
      </c>
    </row>
    <row r="1087" spans="1:9" x14ac:dyDescent="0.45">
      <c r="A1087" t="s">
        <v>2236</v>
      </c>
      <c r="B1087" s="2">
        <v>45785</v>
      </c>
      <c r="C1087" t="s">
        <v>16</v>
      </c>
      <c r="D1087" t="s">
        <v>2237</v>
      </c>
      <c r="E1087" t="s">
        <v>46</v>
      </c>
      <c r="F1087">
        <v>2</v>
      </c>
      <c r="G1087" t="s">
        <v>24</v>
      </c>
      <c r="H1087" t="s">
        <v>25</v>
      </c>
      <c r="I1087" t="s">
        <v>39</v>
      </c>
    </row>
    <row r="1088" spans="1:9" x14ac:dyDescent="0.45">
      <c r="A1088" t="s">
        <v>2238</v>
      </c>
      <c r="B1088" s="2">
        <v>45717</v>
      </c>
      <c r="C1088" t="s">
        <v>21</v>
      </c>
      <c r="D1088" t="s">
        <v>2239</v>
      </c>
      <c r="E1088" t="s">
        <v>42</v>
      </c>
      <c r="F1088">
        <v>6</v>
      </c>
      <c r="G1088" t="s">
        <v>43</v>
      </c>
      <c r="H1088" t="s">
        <v>14</v>
      </c>
      <c r="I1088" t="s">
        <v>60</v>
      </c>
    </row>
    <row r="1089" spans="1:9" x14ac:dyDescent="0.45">
      <c r="A1089" t="s">
        <v>2240</v>
      </c>
      <c r="B1089" s="2">
        <v>45698</v>
      </c>
      <c r="C1089" t="s">
        <v>66</v>
      </c>
      <c r="D1089" t="s">
        <v>2241</v>
      </c>
      <c r="E1089" t="s">
        <v>58</v>
      </c>
      <c r="F1089">
        <v>2</v>
      </c>
      <c r="G1089" t="s">
        <v>35</v>
      </c>
      <c r="H1089" t="s">
        <v>25</v>
      </c>
      <c r="I1089" t="s">
        <v>60</v>
      </c>
    </row>
    <row r="1090" spans="1:9" x14ac:dyDescent="0.45">
      <c r="A1090" t="s">
        <v>2242</v>
      </c>
      <c r="B1090" s="2">
        <v>45789</v>
      </c>
      <c r="C1090" t="s">
        <v>99</v>
      </c>
      <c r="D1090" t="s">
        <v>2243</v>
      </c>
      <c r="E1090" t="s">
        <v>7974</v>
      </c>
      <c r="F1090">
        <v>6</v>
      </c>
      <c r="G1090" t="s">
        <v>59</v>
      </c>
      <c r="H1090" t="s">
        <v>14</v>
      </c>
      <c r="I1090" t="s">
        <v>60</v>
      </c>
    </row>
    <row r="1091" spans="1:9" x14ac:dyDescent="0.45">
      <c r="A1091" t="s">
        <v>2244</v>
      </c>
      <c r="B1091" s="2">
        <v>45902</v>
      </c>
      <c r="C1091" t="s">
        <v>66</v>
      </c>
      <c r="D1091" t="s">
        <v>2245</v>
      </c>
      <c r="E1091" t="s">
        <v>58</v>
      </c>
      <c r="F1091">
        <v>6</v>
      </c>
      <c r="G1091" t="s">
        <v>68</v>
      </c>
      <c r="H1091" t="s">
        <v>25</v>
      </c>
      <c r="I1091" t="s">
        <v>47</v>
      </c>
    </row>
    <row r="1092" spans="1:9" x14ac:dyDescent="0.45">
      <c r="A1092" t="s">
        <v>2246</v>
      </c>
      <c r="B1092" s="2">
        <v>45811</v>
      </c>
      <c r="C1092" t="s">
        <v>16</v>
      </c>
      <c r="D1092" t="s">
        <v>2247</v>
      </c>
      <c r="E1092" t="s">
        <v>7973</v>
      </c>
      <c r="F1092">
        <v>3</v>
      </c>
      <c r="G1092" t="s">
        <v>55</v>
      </c>
      <c r="H1092" t="s">
        <v>72</v>
      </c>
      <c r="I1092" t="s">
        <v>31</v>
      </c>
    </row>
    <row r="1093" spans="1:9" x14ac:dyDescent="0.45">
      <c r="A1093" t="s">
        <v>2248</v>
      </c>
      <c r="B1093" s="2">
        <v>45772</v>
      </c>
      <c r="C1093" t="s">
        <v>99</v>
      </c>
      <c r="D1093" t="s">
        <v>2249</v>
      </c>
      <c r="E1093" t="s">
        <v>54</v>
      </c>
      <c r="F1093">
        <v>6</v>
      </c>
      <c r="G1093" t="s">
        <v>35</v>
      </c>
      <c r="H1093" t="s">
        <v>25</v>
      </c>
      <c r="I1093" t="s">
        <v>39</v>
      </c>
    </row>
    <row r="1094" spans="1:9" x14ac:dyDescent="0.45">
      <c r="A1094" t="s">
        <v>2250</v>
      </c>
      <c r="B1094" s="2">
        <v>45701</v>
      </c>
      <c r="C1094" t="s">
        <v>99</v>
      </c>
      <c r="D1094" t="s">
        <v>2251</v>
      </c>
      <c r="E1094" t="s">
        <v>58</v>
      </c>
      <c r="F1094">
        <v>1</v>
      </c>
      <c r="G1094" t="s">
        <v>24</v>
      </c>
      <c r="H1094" t="s">
        <v>25</v>
      </c>
      <c r="I1094" t="s">
        <v>60</v>
      </c>
    </row>
    <row r="1095" spans="1:9" x14ac:dyDescent="0.45">
      <c r="A1095" t="s">
        <v>2252</v>
      </c>
      <c r="B1095" s="2">
        <v>45761</v>
      </c>
      <c r="C1095" t="s">
        <v>49</v>
      </c>
      <c r="D1095" t="s">
        <v>2253</v>
      </c>
      <c r="E1095" t="s">
        <v>71</v>
      </c>
      <c r="F1095">
        <v>9</v>
      </c>
      <c r="G1095" t="s">
        <v>43</v>
      </c>
      <c r="H1095" t="s">
        <v>14</v>
      </c>
      <c r="I1095" t="s">
        <v>19</v>
      </c>
    </row>
    <row r="1096" spans="1:9" x14ac:dyDescent="0.45">
      <c r="A1096" t="s">
        <v>2254</v>
      </c>
      <c r="B1096" s="2">
        <v>45767</v>
      </c>
      <c r="C1096" t="s">
        <v>21</v>
      </c>
      <c r="D1096" t="s">
        <v>2255</v>
      </c>
      <c r="E1096" t="s">
        <v>38</v>
      </c>
      <c r="F1096">
        <v>2</v>
      </c>
      <c r="G1096" t="s">
        <v>59</v>
      </c>
      <c r="H1096" t="s">
        <v>14</v>
      </c>
      <c r="I1096" t="s">
        <v>31</v>
      </c>
    </row>
    <row r="1097" spans="1:9" x14ac:dyDescent="0.45">
      <c r="A1097" t="s">
        <v>2256</v>
      </c>
      <c r="B1097" s="2">
        <v>45696</v>
      </c>
      <c r="C1097" t="s">
        <v>16</v>
      </c>
      <c r="D1097" t="s">
        <v>2257</v>
      </c>
      <c r="E1097" t="s">
        <v>38</v>
      </c>
      <c r="F1097">
        <v>8</v>
      </c>
      <c r="G1097" t="s">
        <v>7967</v>
      </c>
      <c r="H1097" t="s">
        <v>25</v>
      </c>
      <c r="I1097" t="s">
        <v>19</v>
      </c>
    </row>
    <row r="1098" spans="1:9" x14ac:dyDescent="0.45">
      <c r="A1098" t="s">
        <v>2258</v>
      </c>
      <c r="B1098" s="2">
        <v>45761</v>
      </c>
      <c r="C1098" t="s">
        <v>28</v>
      </c>
      <c r="D1098" t="s">
        <v>2259</v>
      </c>
      <c r="E1098" t="s">
        <v>38</v>
      </c>
      <c r="F1098">
        <v>3</v>
      </c>
      <c r="G1098" t="s">
        <v>35</v>
      </c>
      <c r="H1098" t="s">
        <v>25</v>
      </c>
      <c r="I1098" t="s">
        <v>47</v>
      </c>
    </row>
    <row r="1099" spans="1:9" x14ac:dyDescent="0.45">
      <c r="A1099" t="s">
        <v>2260</v>
      </c>
      <c r="B1099" s="2">
        <v>45814</v>
      </c>
      <c r="C1099" t="s">
        <v>28</v>
      </c>
      <c r="D1099" t="s">
        <v>2261</v>
      </c>
      <c r="E1099" t="s">
        <v>58</v>
      </c>
      <c r="F1099">
        <v>6</v>
      </c>
      <c r="G1099" t="s">
        <v>18</v>
      </c>
      <c r="H1099" t="s">
        <v>14</v>
      </c>
      <c r="I1099" t="s">
        <v>31</v>
      </c>
    </row>
    <row r="1100" spans="1:9" x14ac:dyDescent="0.45">
      <c r="A1100" t="s">
        <v>2262</v>
      </c>
      <c r="B1100" s="2">
        <v>45805</v>
      </c>
      <c r="C1100" t="s">
        <v>21</v>
      </c>
      <c r="D1100" t="s">
        <v>2263</v>
      </c>
      <c r="E1100" t="s">
        <v>23</v>
      </c>
      <c r="F1100">
        <v>4</v>
      </c>
      <c r="G1100" t="s">
        <v>13</v>
      </c>
      <c r="H1100" t="s">
        <v>14</v>
      </c>
      <c r="I1100" t="s">
        <v>26</v>
      </c>
    </row>
    <row r="1101" spans="1:9" x14ac:dyDescent="0.45">
      <c r="A1101" t="s">
        <v>2264</v>
      </c>
      <c r="B1101" s="2">
        <v>45836</v>
      </c>
      <c r="C1101" t="s">
        <v>66</v>
      </c>
      <c r="D1101" t="s">
        <v>2265</v>
      </c>
      <c r="E1101" t="s">
        <v>7973</v>
      </c>
      <c r="F1101">
        <v>6</v>
      </c>
      <c r="G1101" t="s">
        <v>18</v>
      </c>
      <c r="H1101" t="s">
        <v>14</v>
      </c>
      <c r="I1101" t="s">
        <v>26</v>
      </c>
    </row>
    <row r="1102" spans="1:9" x14ac:dyDescent="0.45">
      <c r="A1102" t="s">
        <v>2266</v>
      </c>
      <c r="B1102" s="2">
        <v>45676</v>
      </c>
      <c r="C1102" t="s">
        <v>10</v>
      </c>
      <c r="D1102" t="s">
        <v>2267</v>
      </c>
      <c r="E1102" t="s">
        <v>30</v>
      </c>
      <c r="F1102">
        <v>1</v>
      </c>
      <c r="G1102" t="s">
        <v>59</v>
      </c>
      <c r="H1102" t="s">
        <v>14</v>
      </c>
      <c r="I1102" t="s">
        <v>31</v>
      </c>
    </row>
    <row r="1103" spans="1:9" x14ac:dyDescent="0.45">
      <c r="A1103" t="s">
        <v>2268</v>
      </c>
      <c r="B1103" s="2">
        <v>45903</v>
      </c>
      <c r="C1103" t="s">
        <v>99</v>
      </c>
      <c r="D1103" t="s">
        <v>2269</v>
      </c>
      <c r="E1103" t="s">
        <v>46</v>
      </c>
      <c r="F1103">
        <v>1</v>
      </c>
      <c r="G1103" t="s">
        <v>43</v>
      </c>
      <c r="H1103" t="s">
        <v>14</v>
      </c>
      <c r="I1103" t="s">
        <v>19</v>
      </c>
    </row>
    <row r="1104" spans="1:9" x14ac:dyDescent="0.45">
      <c r="A1104" t="s">
        <v>2270</v>
      </c>
      <c r="B1104" s="2">
        <v>45821</v>
      </c>
      <c r="C1104" t="s">
        <v>66</v>
      </c>
      <c r="D1104" t="s">
        <v>2271</v>
      </c>
      <c r="E1104" t="s">
        <v>34</v>
      </c>
      <c r="F1104">
        <v>2</v>
      </c>
      <c r="G1104" t="s">
        <v>43</v>
      </c>
      <c r="H1104" t="s">
        <v>14</v>
      </c>
      <c r="I1104" t="s">
        <v>31</v>
      </c>
    </row>
    <row r="1105" spans="1:9" x14ac:dyDescent="0.45">
      <c r="A1105" t="s">
        <v>2272</v>
      </c>
      <c r="B1105" s="2">
        <v>45741</v>
      </c>
      <c r="C1105" t="s">
        <v>28</v>
      </c>
      <c r="D1105" t="s">
        <v>2273</v>
      </c>
      <c r="E1105" t="s">
        <v>38</v>
      </c>
      <c r="F1105">
        <v>5</v>
      </c>
      <c r="G1105" t="s">
        <v>18</v>
      </c>
      <c r="H1105" t="s">
        <v>14</v>
      </c>
      <c r="I1105" t="s">
        <v>47</v>
      </c>
    </row>
    <row r="1106" spans="1:9" x14ac:dyDescent="0.45">
      <c r="A1106" t="s">
        <v>2274</v>
      </c>
      <c r="B1106" s="2">
        <v>45897</v>
      </c>
      <c r="C1106" t="s">
        <v>28</v>
      </c>
      <c r="D1106" t="s">
        <v>2275</v>
      </c>
      <c r="E1106" t="s">
        <v>34</v>
      </c>
      <c r="F1106">
        <v>5</v>
      </c>
      <c r="G1106" t="s">
        <v>18</v>
      </c>
      <c r="H1106" t="s">
        <v>14</v>
      </c>
      <c r="I1106" t="s">
        <v>47</v>
      </c>
    </row>
    <row r="1107" spans="1:9" x14ac:dyDescent="0.45">
      <c r="A1107" t="s">
        <v>2276</v>
      </c>
      <c r="B1107" s="2">
        <v>45706</v>
      </c>
      <c r="C1107" t="s">
        <v>52</v>
      </c>
      <c r="D1107" t="s">
        <v>2277</v>
      </c>
      <c r="E1107" t="s">
        <v>71</v>
      </c>
      <c r="F1107">
        <v>3</v>
      </c>
      <c r="G1107" t="s">
        <v>43</v>
      </c>
      <c r="H1107" t="s">
        <v>14</v>
      </c>
      <c r="I1107" t="s">
        <v>60</v>
      </c>
    </row>
    <row r="1108" spans="1:9" x14ac:dyDescent="0.45">
      <c r="A1108" t="s">
        <v>2278</v>
      </c>
      <c r="B1108" s="2">
        <v>45865</v>
      </c>
      <c r="C1108" t="s">
        <v>66</v>
      </c>
      <c r="D1108" t="s">
        <v>2279</v>
      </c>
      <c r="E1108" t="s">
        <v>30</v>
      </c>
      <c r="F1108">
        <v>1</v>
      </c>
      <c r="G1108" t="s">
        <v>35</v>
      </c>
      <c r="H1108" t="s">
        <v>25</v>
      </c>
      <c r="I1108" t="s">
        <v>31</v>
      </c>
    </row>
    <row r="1109" spans="1:9" x14ac:dyDescent="0.45">
      <c r="A1109" t="s">
        <v>2280</v>
      </c>
      <c r="B1109" s="2">
        <v>45827</v>
      </c>
      <c r="C1109" t="s">
        <v>49</v>
      </c>
      <c r="D1109" t="s">
        <v>2281</v>
      </c>
      <c r="E1109" t="s">
        <v>42</v>
      </c>
      <c r="F1109">
        <v>5</v>
      </c>
      <c r="G1109" t="s">
        <v>43</v>
      </c>
      <c r="H1109" t="s">
        <v>14</v>
      </c>
      <c r="I1109" t="s">
        <v>26</v>
      </c>
    </row>
    <row r="1110" spans="1:9" x14ac:dyDescent="0.45">
      <c r="A1110" t="s">
        <v>2282</v>
      </c>
      <c r="B1110" s="2">
        <v>45897</v>
      </c>
      <c r="C1110" t="s">
        <v>52</v>
      </c>
      <c r="D1110" t="s">
        <v>2283</v>
      </c>
      <c r="E1110" t="s">
        <v>42</v>
      </c>
      <c r="F1110">
        <v>1</v>
      </c>
      <c r="G1110" t="s">
        <v>68</v>
      </c>
      <c r="H1110" t="s">
        <v>25</v>
      </c>
      <c r="I1110" t="s">
        <v>47</v>
      </c>
    </row>
    <row r="1111" spans="1:9" x14ac:dyDescent="0.45">
      <c r="A1111" t="s">
        <v>2284</v>
      </c>
      <c r="B1111" s="2">
        <v>45875</v>
      </c>
      <c r="C1111" t="s">
        <v>52</v>
      </c>
      <c r="D1111" t="s">
        <v>2285</v>
      </c>
      <c r="E1111" t="s">
        <v>46</v>
      </c>
      <c r="F1111">
        <v>4</v>
      </c>
      <c r="G1111" t="s">
        <v>43</v>
      </c>
      <c r="H1111" t="s">
        <v>14</v>
      </c>
      <c r="I1111" t="s">
        <v>31</v>
      </c>
    </row>
    <row r="1112" spans="1:9" x14ac:dyDescent="0.45">
      <c r="A1112" t="s">
        <v>2286</v>
      </c>
      <c r="B1112" s="2">
        <v>45760</v>
      </c>
      <c r="C1112" t="s">
        <v>28</v>
      </c>
      <c r="D1112" t="s">
        <v>2287</v>
      </c>
      <c r="E1112" t="s">
        <v>7973</v>
      </c>
      <c r="F1112">
        <v>7</v>
      </c>
      <c r="G1112" t="s">
        <v>43</v>
      </c>
      <c r="H1112" t="s">
        <v>14</v>
      </c>
      <c r="I1112" t="s">
        <v>39</v>
      </c>
    </row>
    <row r="1113" spans="1:9" x14ac:dyDescent="0.45">
      <c r="A1113" t="s">
        <v>2288</v>
      </c>
      <c r="B1113" s="2">
        <v>45686</v>
      </c>
      <c r="C1113" t="s">
        <v>28</v>
      </c>
      <c r="D1113" t="s">
        <v>2289</v>
      </c>
      <c r="E1113" t="s">
        <v>34</v>
      </c>
      <c r="F1113">
        <v>5</v>
      </c>
      <c r="G1113" t="s">
        <v>18</v>
      </c>
      <c r="H1113" t="s">
        <v>14</v>
      </c>
      <c r="I1113" t="s">
        <v>26</v>
      </c>
    </row>
    <row r="1114" spans="1:9" x14ac:dyDescent="0.45">
      <c r="A1114" t="s">
        <v>2290</v>
      </c>
      <c r="B1114" s="2">
        <v>45847</v>
      </c>
      <c r="C1114" t="s">
        <v>10</v>
      </c>
      <c r="D1114" t="s">
        <v>2291</v>
      </c>
      <c r="E1114" t="s">
        <v>7973</v>
      </c>
      <c r="F1114">
        <v>6</v>
      </c>
      <c r="G1114" t="s">
        <v>55</v>
      </c>
      <c r="H1114" t="s">
        <v>72</v>
      </c>
      <c r="I1114" t="s">
        <v>26</v>
      </c>
    </row>
    <row r="1115" spans="1:9" x14ac:dyDescent="0.45">
      <c r="A1115" t="s">
        <v>2292</v>
      </c>
      <c r="B1115" s="2">
        <v>45768</v>
      </c>
      <c r="C1115" t="s">
        <v>99</v>
      </c>
      <c r="D1115" t="s">
        <v>2293</v>
      </c>
      <c r="E1115" t="s">
        <v>58</v>
      </c>
      <c r="F1115">
        <v>8</v>
      </c>
      <c r="G1115" t="s">
        <v>55</v>
      </c>
      <c r="H1115" t="s">
        <v>72</v>
      </c>
      <c r="I1115" t="s">
        <v>26</v>
      </c>
    </row>
    <row r="1116" spans="1:9" x14ac:dyDescent="0.45">
      <c r="A1116" t="s">
        <v>2294</v>
      </c>
      <c r="B1116" s="2">
        <v>45833</v>
      </c>
      <c r="C1116" t="s">
        <v>49</v>
      </c>
      <c r="D1116" t="s">
        <v>2295</v>
      </c>
      <c r="E1116" t="s">
        <v>34</v>
      </c>
      <c r="F1116">
        <v>1</v>
      </c>
      <c r="G1116" t="s">
        <v>13</v>
      </c>
      <c r="H1116" t="s">
        <v>14</v>
      </c>
      <c r="I1116" t="s">
        <v>47</v>
      </c>
    </row>
    <row r="1117" spans="1:9" x14ac:dyDescent="0.45">
      <c r="A1117" t="s">
        <v>2296</v>
      </c>
      <c r="B1117" s="2">
        <v>45879</v>
      </c>
      <c r="C1117" t="s">
        <v>10</v>
      </c>
      <c r="D1117" t="s">
        <v>2297</v>
      </c>
      <c r="E1117" t="s">
        <v>46</v>
      </c>
      <c r="F1117">
        <v>1</v>
      </c>
      <c r="G1117" t="s">
        <v>43</v>
      </c>
      <c r="H1117" t="s">
        <v>14</v>
      </c>
      <c r="I1117" t="s">
        <v>26</v>
      </c>
    </row>
    <row r="1118" spans="1:9" x14ac:dyDescent="0.45">
      <c r="A1118" t="s">
        <v>2298</v>
      </c>
      <c r="B1118" s="2">
        <v>45796</v>
      </c>
      <c r="C1118" t="s">
        <v>49</v>
      </c>
      <c r="D1118" t="s">
        <v>2299</v>
      </c>
      <c r="E1118" t="s">
        <v>58</v>
      </c>
      <c r="F1118">
        <v>9</v>
      </c>
      <c r="G1118" t="s">
        <v>59</v>
      </c>
      <c r="H1118" t="s">
        <v>14</v>
      </c>
      <c r="I1118" t="s">
        <v>60</v>
      </c>
    </row>
    <row r="1119" spans="1:9" x14ac:dyDescent="0.45">
      <c r="A1119" t="s">
        <v>2300</v>
      </c>
      <c r="B1119" s="2">
        <v>45878</v>
      </c>
      <c r="C1119" t="s">
        <v>28</v>
      </c>
      <c r="D1119" t="s">
        <v>2301</v>
      </c>
      <c r="E1119" t="s">
        <v>75</v>
      </c>
      <c r="F1119">
        <v>1</v>
      </c>
      <c r="G1119" t="s">
        <v>13</v>
      </c>
      <c r="H1119" t="s">
        <v>14</v>
      </c>
      <c r="I1119" t="s">
        <v>31</v>
      </c>
    </row>
    <row r="1120" spans="1:9" x14ac:dyDescent="0.45">
      <c r="A1120" t="s">
        <v>2302</v>
      </c>
      <c r="B1120" s="2">
        <v>45809</v>
      </c>
      <c r="C1120" t="s">
        <v>49</v>
      </c>
      <c r="D1120" t="s">
        <v>2303</v>
      </c>
      <c r="E1120" t="s">
        <v>42</v>
      </c>
      <c r="F1120">
        <v>10</v>
      </c>
      <c r="G1120" t="s">
        <v>43</v>
      </c>
      <c r="H1120" t="s">
        <v>14</v>
      </c>
      <c r="I1120" t="s">
        <v>60</v>
      </c>
    </row>
    <row r="1121" spans="1:9" x14ac:dyDescent="0.45">
      <c r="A1121" t="s">
        <v>2304</v>
      </c>
      <c r="B1121" s="2">
        <v>45868</v>
      </c>
      <c r="C1121" t="s">
        <v>28</v>
      </c>
      <c r="D1121" t="s">
        <v>2305</v>
      </c>
      <c r="E1121" t="s">
        <v>34</v>
      </c>
      <c r="F1121">
        <v>3</v>
      </c>
      <c r="G1121" t="s">
        <v>24</v>
      </c>
      <c r="H1121" t="s">
        <v>25</v>
      </c>
      <c r="I1121" t="s">
        <v>26</v>
      </c>
    </row>
    <row r="1122" spans="1:9" x14ac:dyDescent="0.45">
      <c r="A1122" t="s">
        <v>2307</v>
      </c>
      <c r="B1122" s="2">
        <v>45677</v>
      </c>
      <c r="C1122" t="s">
        <v>16</v>
      </c>
      <c r="D1122" t="s">
        <v>2308</v>
      </c>
      <c r="E1122" t="s">
        <v>42</v>
      </c>
      <c r="F1122">
        <v>2</v>
      </c>
      <c r="G1122" t="s">
        <v>43</v>
      </c>
      <c r="H1122" t="s">
        <v>14</v>
      </c>
      <c r="I1122" t="s">
        <v>39</v>
      </c>
    </row>
    <row r="1123" spans="1:9" x14ac:dyDescent="0.45">
      <c r="A1123" t="s">
        <v>2309</v>
      </c>
      <c r="B1123" s="2">
        <v>45760</v>
      </c>
      <c r="C1123" t="s">
        <v>49</v>
      </c>
      <c r="D1123" t="s">
        <v>2310</v>
      </c>
      <c r="E1123" t="s">
        <v>46</v>
      </c>
      <c r="F1123">
        <v>1</v>
      </c>
      <c r="G1123" t="s">
        <v>43</v>
      </c>
      <c r="H1123" t="s">
        <v>14</v>
      </c>
      <c r="I1123" t="s">
        <v>47</v>
      </c>
    </row>
    <row r="1124" spans="1:9" x14ac:dyDescent="0.45">
      <c r="A1124" t="s">
        <v>2311</v>
      </c>
      <c r="B1124" s="2">
        <v>45724</v>
      </c>
      <c r="C1124" t="s">
        <v>21</v>
      </c>
      <c r="D1124" t="s">
        <v>2312</v>
      </c>
      <c r="E1124" t="s">
        <v>7973</v>
      </c>
      <c r="F1124">
        <v>2</v>
      </c>
      <c r="G1124" t="s">
        <v>35</v>
      </c>
      <c r="H1124" t="s">
        <v>25</v>
      </c>
      <c r="I1124" t="s">
        <v>60</v>
      </c>
    </row>
    <row r="1125" spans="1:9" x14ac:dyDescent="0.45">
      <c r="A1125" t="s">
        <v>2313</v>
      </c>
      <c r="B1125" s="2">
        <v>45723</v>
      </c>
      <c r="C1125" t="s">
        <v>66</v>
      </c>
      <c r="D1125" t="s">
        <v>2314</v>
      </c>
      <c r="E1125" t="s">
        <v>23</v>
      </c>
      <c r="F1125">
        <v>10</v>
      </c>
      <c r="G1125" t="s">
        <v>59</v>
      </c>
      <c r="H1125" t="s">
        <v>14</v>
      </c>
      <c r="I1125" t="s">
        <v>47</v>
      </c>
    </row>
    <row r="1126" spans="1:9" x14ac:dyDescent="0.45">
      <c r="A1126" t="s">
        <v>2315</v>
      </c>
      <c r="B1126" s="2">
        <v>45858</v>
      </c>
      <c r="C1126" t="s">
        <v>52</v>
      </c>
      <c r="D1126" t="s">
        <v>2316</v>
      </c>
      <c r="E1126" t="s">
        <v>54</v>
      </c>
      <c r="F1126">
        <v>2</v>
      </c>
      <c r="G1126" t="s">
        <v>35</v>
      </c>
      <c r="H1126" t="s">
        <v>25</v>
      </c>
      <c r="I1126" t="s">
        <v>31</v>
      </c>
    </row>
    <row r="1127" spans="1:9" x14ac:dyDescent="0.45">
      <c r="A1127" t="s">
        <v>2317</v>
      </c>
      <c r="B1127" s="2">
        <v>45861</v>
      </c>
      <c r="C1127" t="s">
        <v>52</v>
      </c>
      <c r="D1127" t="s">
        <v>2318</v>
      </c>
      <c r="E1127" t="s">
        <v>7973</v>
      </c>
      <c r="F1127">
        <v>1</v>
      </c>
      <c r="G1127" t="s">
        <v>68</v>
      </c>
      <c r="H1127" t="s">
        <v>25</v>
      </c>
      <c r="I1127" t="s">
        <v>26</v>
      </c>
    </row>
    <row r="1128" spans="1:9" x14ac:dyDescent="0.45">
      <c r="A1128" t="s">
        <v>2319</v>
      </c>
      <c r="B1128" s="2">
        <v>45685</v>
      </c>
      <c r="C1128" t="s">
        <v>66</v>
      </c>
      <c r="D1128" t="s">
        <v>2320</v>
      </c>
      <c r="E1128" t="s">
        <v>75</v>
      </c>
      <c r="F1128">
        <v>1</v>
      </c>
      <c r="G1128" t="s">
        <v>55</v>
      </c>
      <c r="H1128" t="s">
        <v>72</v>
      </c>
      <c r="I1128" t="s">
        <v>47</v>
      </c>
    </row>
    <row r="1129" spans="1:9" x14ac:dyDescent="0.45">
      <c r="A1129" t="s">
        <v>2321</v>
      </c>
      <c r="B1129" s="2">
        <v>45771</v>
      </c>
      <c r="C1129" t="s">
        <v>10</v>
      </c>
      <c r="D1129" t="s">
        <v>2322</v>
      </c>
      <c r="E1129" t="s">
        <v>54</v>
      </c>
      <c r="F1129">
        <v>8</v>
      </c>
      <c r="G1129" t="s">
        <v>43</v>
      </c>
      <c r="H1129" t="s">
        <v>14</v>
      </c>
      <c r="I1129" t="s">
        <v>60</v>
      </c>
    </row>
    <row r="1130" spans="1:9" x14ac:dyDescent="0.45">
      <c r="A1130" t="s">
        <v>2323</v>
      </c>
      <c r="B1130" s="2">
        <v>45773</v>
      </c>
      <c r="C1130" t="s">
        <v>16</v>
      </c>
      <c r="D1130" t="s">
        <v>2324</v>
      </c>
      <c r="E1130" t="s">
        <v>75</v>
      </c>
      <c r="F1130">
        <v>7</v>
      </c>
      <c r="G1130" t="s">
        <v>13</v>
      </c>
      <c r="H1130" t="s">
        <v>14</v>
      </c>
      <c r="I1130" t="s">
        <v>39</v>
      </c>
    </row>
    <row r="1131" spans="1:9" x14ac:dyDescent="0.45">
      <c r="A1131" t="s">
        <v>2325</v>
      </c>
      <c r="B1131" s="2">
        <v>45698</v>
      </c>
      <c r="C1131" t="s">
        <v>99</v>
      </c>
      <c r="D1131" t="s">
        <v>2326</v>
      </c>
      <c r="E1131" t="s">
        <v>34</v>
      </c>
      <c r="F1131">
        <v>6</v>
      </c>
      <c r="G1131" t="s">
        <v>55</v>
      </c>
      <c r="H1131" t="s">
        <v>72</v>
      </c>
      <c r="I1131" t="s">
        <v>47</v>
      </c>
    </row>
    <row r="1132" spans="1:9" x14ac:dyDescent="0.45">
      <c r="A1132" t="s">
        <v>2327</v>
      </c>
      <c r="B1132" s="2">
        <v>45702</v>
      </c>
      <c r="C1132" t="s">
        <v>49</v>
      </c>
      <c r="D1132" t="s">
        <v>2328</v>
      </c>
      <c r="E1132" t="s">
        <v>42</v>
      </c>
      <c r="F1132">
        <v>8</v>
      </c>
      <c r="G1132" t="s">
        <v>59</v>
      </c>
      <c r="H1132" t="s">
        <v>14</v>
      </c>
      <c r="I1132" t="s">
        <v>60</v>
      </c>
    </row>
    <row r="1133" spans="1:9" x14ac:dyDescent="0.45">
      <c r="A1133" t="s">
        <v>2329</v>
      </c>
      <c r="B1133" s="2">
        <v>45755</v>
      </c>
      <c r="C1133" t="s">
        <v>21</v>
      </c>
      <c r="D1133" t="s">
        <v>2330</v>
      </c>
      <c r="E1133" t="s">
        <v>42</v>
      </c>
      <c r="F1133">
        <v>1</v>
      </c>
      <c r="G1133" t="s">
        <v>55</v>
      </c>
      <c r="H1133" t="s">
        <v>72</v>
      </c>
      <c r="I1133" t="s">
        <v>19</v>
      </c>
    </row>
    <row r="1134" spans="1:9" x14ac:dyDescent="0.45">
      <c r="A1134" t="s">
        <v>2331</v>
      </c>
      <c r="B1134" s="2">
        <v>45706</v>
      </c>
      <c r="C1134" t="s">
        <v>10</v>
      </c>
      <c r="D1134" t="s">
        <v>2332</v>
      </c>
      <c r="E1134" t="s">
        <v>58</v>
      </c>
      <c r="F1134">
        <v>9</v>
      </c>
      <c r="G1134" t="s">
        <v>24</v>
      </c>
      <c r="H1134" t="s">
        <v>25</v>
      </c>
      <c r="I1134" t="s">
        <v>60</v>
      </c>
    </row>
    <row r="1135" spans="1:9" x14ac:dyDescent="0.45">
      <c r="A1135" t="s">
        <v>2333</v>
      </c>
      <c r="B1135" s="2">
        <v>45737</v>
      </c>
      <c r="C1135" t="s">
        <v>10</v>
      </c>
      <c r="D1135" t="s">
        <v>2334</v>
      </c>
      <c r="E1135" t="s">
        <v>42</v>
      </c>
      <c r="F1135">
        <v>1</v>
      </c>
      <c r="G1135" t="s">
        <v>68</v>
      </c>
      <c r="H1135" t="s">
        <v>25</v>
      </c>
      <c r="I1135" t="s">
        <v>47</v>
      </c>
    </row>
    <row r="1136" spans="1:9" x14ac:dyDescent="0.45">
      <c r="A1136" t="s">
        <v>2335</v>
      </c>
      <c r="B1136" s="2">
        <v>45813</v>
      </c>
      <c r="C1136" t="s">
        <v>16</v>
      </c>
      <c r="D1136" t="s">
        <v>2336</v>
      </c>
      <c r="E1136" t="s">
        <v>38</v>
      </c>
      <c r="F1136">
        <v>8</v>
      </c>
      <c r="G1136" t="s">
        <v>59</v>
      </c>
      <c r="H1136" t="s">
        <v>14</v>
      </c>
      <c r="I1136" t="s">
        <v>26</v>
      </c>
    </row>
    <row r="1137" spans="1:9" x14ac:dyDescent="0.45">
      <c r="A1137" t="s">
        <v>2337</v>
      </c>
      <c r="B1137" s="2">
        <v>45750</v>
      </c>
      <c r="C1137" t="s">
        <v>28</v>
      </c>
      <c r="D1137" t="s">
        <v>2338</v>
      </c>
      <c r="E1137" t="s">
        <v>23</v>
      </c>
      <c r="F1137">
        <v>5</v>
      </c>
      <c r="G1137" t="s">
        <v>35</v>
      </c>
      <c r="H1137" t="s">
        <v>25</v>
      </c>
      <c r="I1137" t="s">
        <v>19</v>
      </c>
    </row>
    <row r="1138" spans="1:9" x14ac:dyDescent="0.45">
      <c r="A1138" t="s">
        <v>2339</v>
      </c>
      <c r="B1138" s="2">
        <v>45840</v>
      </c>
      <c r="C1138" t="s">
        <v>52</v>
      </c>
      <c r="D1138" t="s">
        <v>2340</v>
      </c>
      <c r="E1138" t="s">
        <v>7973</v>
      </c>
      <c r="F1138">
        <v>5</v>
      </c>
      <c r="G1138" t="s">
        <v>55</v>
      </c>
      <c r="H1138" t="s">
        <v>72</v>
      </c>
      <c r="I1138" t="s">
        <v>31</v>
      </c>
    </row>
    <row r="1139" spans="1:9" x14ac:dyDescent="0.45">
      <c r="A1139" t="s">
        <v>2341</v>
      </c>
      <c r="B1139" s="2">
        <v>45820</v>
      </c>
      <c r="C1139" t="s">
        <v>52</v>
      </c>
      <c r="D1139" t="s">
        <v>2342</v>
      </c>
      <c r="E1139" t="s">
        <v>7974</v>
      </c>
      <c r="F1139">
        <v>9</v>
      </c>
      <c r="G1139" t="s">
        <v>18</v>
      </c>
      <c r="H1139" t="s">
        <v>14</v>
      </c>
      <c r="I1139" t="s">
        <v>47</v>
      </c>
    </row>
    <row r="1140" spans="1:9" x14ac:dyDescent="0.45">
      <c r="A1140" t="s">
        <v>2343</v>
      </c>
      <c r="B1140" s="2">
        <v>45768</v>
      </c>
      <c r="C1140" t="s">
        <v>52</v>
      </c>
      <c r="D1140" t="s">
        <v>2344</v>
      </c>
      <c r="E1140" t="s">
        <v>46</v>
      </c>
      <c r="F1140">
        <v>3</v>
      </c>
      <c r="G1140" t="s">
        <v>55</v>
      </c>
      <c r="H1140" t="s">
        <v>72</v>
      </c>
      <c r="I1140" t="s">
        <v>60</v>
      </c>
    </row>
    <row r="1141" spans="1:9" x14ac:dyDescent="0.45">
      <c r="A1141" t="s">
        <v>2345</v>
      </c>
      <c r="B1141" s="2">
        <v>45796</v>
      </c>
      <c r="C1141" t="s">
        <v>49</v>
      </c>
      <c r="D1141" t="s">
        <v>2346</v>
      </c>
      <c r="E1141" t="s">
        <v>46</v>
      </c>
      <c r="F1141">
        <v>2</v>
      </c>
      <c r="G1141" t="s">
        <v>13</v>
      </c>
      <c r="H1141" t="s">
        <v>14</v>
      </c>
      <c r="I1141" t="s">
        <v>60</v>
      </c>
    </row>
    <row r="1142" spans="1:9" x14ac:dyDescent="0.45">
      <c r="A1142" t="s">
        <v>2347</v>
      </c>
      <c r="B1142" s="2">
        <v>45680</v>
      </c>
      <c r="C1142" t="s">
        <v>10</v>
      </c>
      <c r="D1142" t="s">
        <v>2348</v>
      </c>
      <c r="E1142" t="s">
        <v>42</v>
      </c>
      <c r="F1142">
        <v>9</v>
      </c>
      <c r="G1142" t="s">
        <v>35</v>
      </c>
      <c r="H1142" t="s">
        <v>25</v>
      </c>
      <c r="I1142" t="s">
        <v>19</v>
      </c>
    </row>
    <row r="1143" spans="1:9" x14ac:dyDescent="0.45">
      <c r="A1143" t="s">
        <v>2349</v>
      </c>
      <c r="B1143" s="2">
        <v>45821</v>
      </c>
      <c r="C1143" t="s">
        <v>10</v>
      </c>
      <c r="D1143" t="s">
        <v>2350</v>
      </c>
      <c r="E1143" t="s">
        <v>42</v>
      </c>
      <c r="F1143">
        <v>2</v>
      </c>
      <c r="G1143" t="s">
        <v>35</v>
      </c>
      <c r="H1143" t="s">
        <v>25</v>
      </c>
      <c r="I1143" t="s">
        <v>31</v>
      </c>
    </row>
    <row r="1144" spans="1:9" x14ac:dyDescent="0.45">
      <c r="A1144" t="s">
        <v>2351</v>
      </c>
      <c r="B1144" s="2">
        <v>45741</v>
      </c>
      <c r="C1144" t="s">
        <v>66</v>
      </c>
      <c r="D1144" t="s">
        <v>2352</v>
      </c>
      <c r="E1144" t="s">
        <v>54</v>
      </c>
      <c r="F1144">
        <v>11</v>
      </c>
      <c r="G1144" t="s">
        <v>35</v>
      </c>
      <c r="H1144" t="s">
        <v>25</v>
      </c>
      <c r="I1144" t="s">
        <v>31</v>
      </c>
    </row>
    <row r="1145" spans="1:9" x14ac:dyDescent="0.45">
      <c r="A1145" t="s">
        <v>2353</v>
      </c>
      <c r="B1145" s="2">
        <v>45698</v>
      </c>
      <c r="C1145" t="s">
        <v>99</v>
      </c>
      <c r="D1145" t="s">
        <v>2354</v>
      </c>
      <c r="E1145" t="s">
        <v>58</v>
      </c>
      <c r="F1145">
        <v>6</v>
      </c>
      <c r="G1145" t="s">
        <v>18</v>
      </c>
      <c r="H1145" t="s">
        <v>14</v>
      </c>
      <c r="I1145" t="s">
        <v>26</v>
      </c>
    </row>
    <row r="1146" spans="1:9" x14ac:dyDescent="0.45">
      <c r="A1146" t="s">
        <v>2355</v>
      </c>
      <c r="B1146" s="2">
        <v>45709</v>
      </c>
      <c r="C1146" t="s">
        <v>52</v>
      </c>
      <c r="D1146" t="s">
        <v>2356</v>
      </c>
      <c r="E1146" t="s">
        <v>34</v>
      </c>
      <c r="F1146">
        <v>5</v>
      </c>
      <c r="G1146" t="s">
        <v>18</v>
      </c>
      <c r="H1146" t="s">
        <v>14</v>
      </c>
      <c r="I1146" t="s">
        <v>39</v>
      </c>
    </row>
    <row r="1147" spans="1:9" x14ac:dyDescent="0.45">
      <c r="A1147" t="s">
        <v>2357</v>
      </c>
      <c r="B1147" s="2">
        <v>45748</v>
      </c>
      <c r="C1147" t="s">
        <v>10</v>
      </c>
      <c r="D1147" t="s">
        <v>2358</v>
      </c>
      <c r="E1147" t="s">
        <v>38</v>
      </c>
      <c r="F1147">
        <v>4</v>
      </c>
      <c r="G1147" t="s">
        <v>59</v>
      </c>
      <c r="H1147" t="s">
        <v>14</v>
      </c>
      <c r="I1147" t="s">
        <v>31</v>
      </c>
    </row>
    <row r="1148" spans="1:9" x14ac:dyDescent="0.45">
      <c r="A1148" t="s">
        <v>2359</v>
      </c>
      <c r="B1148" s="2">
        <v>45813</v>
      </c>
      <c r="C1148" t="s">
        <v>66</v>
      </c>
      <c r="D1148" t="s">
        <v>2360</v>
      </c>
      <c r="E1148" t="s">
        <v>34</v>
      </c>
      <c r="F1148">
        <v>6</v>
      </c>
      <c r="G1148" t="s">
        <v>24</v>
      </c>
      <c r="H1148" t="s">
        <v>25</v>
      </c>
      <c r="I1148" t="s">
        <v>60</v>
      </c>
    </row>
    <row r="1149" spans="1:9" x14ac:dyDescent="0.45">
      <c r="A1149" t="s">
        <v>2361</v>
      </c>
      <c r="B1149" s="2">
        <v>45889</v>
      </c>
      <c r="C1149" t="s">
        <v>66</v>
      </c>
      <c r="D1149" t="s">
        <v>2362</v>
      </c>
      <c r="E1149" t="s">
        <v>71</v>
      </c>
      <c r="F1149">
        <v>2</v>
      </c>
      <c r="G1149" t="s">
        <v>35</v>
      </c>
      <c r="H1149" t="s">
        <v>25</v>
      </c>
      <c r="I1149" t="s">
        <v>26</v>
      </c>
    </row>
    <row r="1150" spans="1:9" x14ac:dyDescent="0.45">
      <c r="A1150" t="s">
        <v>2363</v>
      </c>
      <c r="B1150" s="2">
        <v>45690</v>
      </c>
      <c r="C1150" t="s">
        <v>10</v>
      </c>
      <c r="D1150" t="s">
        <v>2364</v>
      </c>
      <c r="E1150" t="s">
        <v>54</v>
      </c>
      <c r="F1150">
        <v>3</v>
      </c>
      <c r="G1150" t="s">
        <v>68</v>
      </c>
      <c r="H1150" t="s">
        <v>25</v>
      </c>
      <c r="I1150" t="s">
        <v>26</v>
      </c>
    </row>
    <row r="1151" spans="1:9" x14ac:dyDescent="0.45">
      <c r="A1151" t="s">
        <v>2365</v>
      </c>
      <c r="B1151" s="2">
        <v>45895</v>
      </c>
      <c r="C1151" t="s">
        <v>52</v>
      </c>
      <c r="D1151" t="s">
        <v>2366</v>
      </c>
      <c r="E1151" t="s">
        <v>58</v>
      </c>
      <c r="F1151">
        <v>2</v>
      </c>
      <c r="G1151" t="s">
        <v>35</v>
      </c>
      <c r="H1151" t="s">
        <v>25</v>
      </c>
      <c r="I1151" t="s">
        <v>60</v>
      </c>
    </row>
    <row r="1152" spans="1:9" x14ac:dyDescent="0.45">
      <c r="A1152" t="s">
        <v>2367</v>
      </c>
      <c r="B1152" s="2">
        <v>45898</v>
      </c>
      <c r="C1152" t="s">
        <v>52</v>
      </c>
      <c r="D1152" t="s">
        <v>2368</v>
      </c>
      <c r="E1152" t="s">
        <v>34</v>
      </c>
      <c r="F1152">
        <v>3</v>
      </c>
      <c r="G1152" t="s">
        <v>59</v>
      </c>
      <c r="H1152" t="s">
        <v>14</v>
      </c>
      <c r="I1152" t="s">
        <v>47</v>
      </c>
    </row>
    <row r="1153" spans="1:9" x14ac:dyDescent="0.45">
      <c r="A1153" t="s">
        <v>2369</v>
      </c>
      <c r="B1153" s="2">
        <v>45756</v>
      </c>
      <c r="C1153" t="s">
        <v>52</v>
      </c>
      <c r="D1153" t="s">
        <v>2370</v>
      </c>
      <c r="E1153" t="s">
        <v>23</v>
      </c>
      <c r="F1153">
        <v>9</v>
      </c>
      <c r="G1153" t="s">
        <v>59</v>
      </c>
      <c r="H1153" t="s">
        <v>14</v>
      </c>
      <c r="I1153" t="s">
        <v>60</v>
      </c>
    </row>
    <row r="1154" spans="1:9" x14ac:dyDescent="0.45">
      <c r="A1154" t="s">
        <v>2371</v>
      </c>
      <c r="B1154" s="2">
        <v>45884</v>
      </c>
      <c r="C1154" t="s">
        <v>66</v>
      </c>
      <c r="D1154" t="s">
        <v>2372</v>
      </c>
      <c r="E1154" t="s">
        <v>23</v>
      </c>
      <c r="F1154">
        <v>3</v>
      </c>
      <c r="G1154" t="s">
        <v>18</v>
      </c>
      <c r="H1154" t="s">
        <v>14</v>
      </c>
      <c r="I1154" t="s">
        <v>26</v>
      </c>
    </row>
    <row r="1155" spans="1:9" x14ac:dyDescent="0.45">
      <c r="A1155" t="s">
        <v>2373</v>
      </c>
      <c r="B1155" s="2">
        <v>45746</v>
      </c>
      <c r="C1155" t="s">
        <v>21</v>
      </c>
      <c r="D1155" t="s">
        <v>2374</v>
      </c>
      <c r="E1155" t="s">
        <v>38</v>
      </c>
      <c r="F1155">
        <v>7</v>
      </c>
      <c r="G1155" t="s">
        <v>24</v>
      </c>
      <c r="H1155" t="s">
        <v>25</v>
      </c>
      <c r="I1155" t="s">
        <v>19</v>
      </c>
    </row>
    <row r="1156" spans="1:9" x14ac:dyDescent="0.45">
      <c r="A1156" t="s">
        <v>2375</v>
      </c>
      <c r="B1156" s="2">
        <v>45688</v>
      </c>
      <c r="C1156" t="s">
        <v>52</v>
      </c>
      <c r="D1156" t="s">
        <v>2376</v>
      </c>
      <c r="E1156" t="s">
        <v>34</v>
      </c>
      <c r="F1156">
        <v>7</v>
      </c>
      <c r="G1156" t="s">
        <v>68</v>
      </c>
      <c r="H1156" t="s">
        <v>25</v>
      </c>
      <c r="I1156" t="s">
        <v>31</v>
      </c>
    </row>
    <row r="1157" spans="1:9" x14ac:dyDescent="0.45">
      <c r="A1157" t="s">
        <v>2377</v>
      </c>
      <c r="B1157" s="2">
        <v>45805</v>
      </c>
      <c r="C1157" t="s">
        <v>99</v>
      </c>
      <c r="D1157" t="s">
        <v>2378</v>
      </c>
      <c r="E1157" t="s">
        <v>7973</v>
      </c>
      <c r="F1157">
        <v>9</v>
      </c>
      <c r="G1157" t="s">
        <v>35</v>
      </c>
      <c r="H1157" t="s">
        <v>25</v>
      </c>
      <c r="I1157" t="s">
        <v>39</v>
      </c>
    </row>
    <row r="1158" spans="1:9" x14ac:dyDescent="0.45">
      <c r="A1158" t="s">
        <v>2379</v>
      </c>
      <c r="B1158" s="2">
        <v>45765</v>
      </c>
      <c r="C1158" t="s">
        <v>10</v>
      </c>
      <c r="D1158" t="s">
        <v>2380</v>
      </c>
      <c r="E1158" t="s">
        <v>46</v>
      </c>
      <c r="F1158">
        <v>11</v>
      </c>
      <c r="G1158" t="s">
        <v>18</v>
      </c>
      <c r="H1158" t="s">
        <v>14</v>
      </c>
      <c r="I1158" t="s">
        <v>47</v>
      </c>
    </row>
    <row r="1159" spans="1:9" x14ac:dyDescent="0.45">
      <c r="A1159" t="s">
        <v>2381</v>
      </c>
      <c r="B1159" s="2">
        <v>45805</v>
      </c>
      <c r="C1159" t="s">
        <v>99</v>
      </c>
      <c r="D1159" t="s">
        <v>2382</v>
      </c>
      <c r="E1159" t="s">
        <v>7974</v>
      </c>
      <c r="F1159">
        <v>4</v>
      </c>
      <c r="G1159" t="s">
        <v>59</v>
      </c>
      <c r="H1159" t="s">
        <v>14</v>
      </c>
      <c r="I1159" t="s">
        <v>60</v>
      </c>
    </row>
    <row r="1160" spans="1:9" x14ac:dyDescent="0.45">
      <c r="A1160" t="s">
        <v>2383</v>
      </c>
      <c r="B1160" s="2">
        <v>45764</v>
      </c>
      <c r="C1160" t="s">
        <v>28</v>
      </c>
      <c r="D1160" t="s">
        <v>2384</v>
      </c>
      <c r="E1160" t="s">
        <v>54</v>
      </c>
      <c r="F1160">
        <v>10</v>
      </c>
      <c r="G1160" t="s">
        <v>18</v>
      </c>
      <c r="H1160" t="s">
        <v>14</v>
      </c>
      <c r="I1160" t="s">
        <v>19</v>
      </c>
    </row>
    <row r="1161" spans="1:9" x14ac:dyDescent="0.45">
      <c r="A1161" t="s">
        <v>2385</v>
      </c>
      <c r="B1161" s="2">
        <v>45797</v>
      </c>
      <c r="C1161" t="s">
        <v>66</v>
      </c>
      <c r="D1161" t="s">
        <v>2386</v>
      </c>
      <c r="E1161" t="s">
        <v>75</v>
      </c>
      <c r="F1161">
        <v>4</v>
      </c>
      <c r="G1161" t="s">
        <v>18</v>
      </c>
      <c r="H1161" t="s">
        <v>14</v>
      </c>
      <c r="I1161" t="s">
        <v>19</v>
      </c>
    </row>
    <row r="1162" spans="1:9" x14ac:dyDescent="0.45">
      <c r="A1162" t="s">
        <v>2387</v>
      </c>
      <c r="B1162" s="2">
        <v>45875</v>
      </c>
      <c r="C1162" t="s">
        <v>16</v>
      </c>
      <c r="D1162" t="s">
        <v>2388</v>
      </c>
      <c r="E1162" t="s">
        <v>7974</v>
      </c>
      <c r="F1162">
        <v>6</v>
      </c>
      <c r="G1162" t="s">
        <v>59</v>
      </c>
      <c r="H1162" t="s">
        <v>14</v>
      </c>
      <c r="I1162" t="s">
        <v>26</v>
      </c>
    </row>
    <row r="1163" spans="1:9" x14ac:dyDescent="0.45">
      <c r="A1163" t="s">
        <v>2389</v>
      </c>
      <c r="B1163" s="2">
        <v>45846</v>
      </c>
      <c r="C1163" t="s">
        <v>16</v>
      </c>
      <c r="D1163" t="s">
        <v>2390</v>
      </c>
      <c r="E1163" t="s">
        <v>46</v>
      </c>
      <c r="F1163">
        <v>9</v>
      </c>
      <c r="G1163" t="s">
        <v>35</v>
      </c>
      <c r="H1163" t="s">
        <v>25</v>
      </c>
      <c r="I1163" t="s">
        <v>47</v>
      </c>
    </row>
    <row r="1164" spans="1:9" x14ac:dyDescent="0.45">
      <c r="A1164" t="s">
        <v>2391</v>
      </c>
      <c r="B1164" s="2">
        <v>45742</v>
      </c>
      <c r="C1164" t="s">
        <v>99</v>
      </c>
      <c r="D1164" t="s">
        <v>2392</v>
      </c>
      <c r="E1164" t="s">
        <v>46</v>
      </c>
      <c r="F1164">
        <v>5</v>
      </c>
      <c r="G1164" t="s">
        <v>55</v>
      </c>
      <c r="H1164" t="s">
        <v>72</v>
      </c>
      <c r="I1164" t="s">
        <v>31</v>
      </c>
    </row>
    <row r="1165" spans="1:9" x14ac:dyDescent="0.45">
      <c r="A1165" t="s">
        <v>2393</v>
      </c>
      <c r="B1165" s="2">
        <v>45902</v>
      </c>
      <c r="C1165" t="s">
        <v>52</v>
      </c>
      <c r="D1165" t="s">
        <v>2394</v>
      </c>
      <c r="E1165" t="s">
        <v>71</v>
      </c>
      <c r="F1165">
        <v>6</v>
      </c>
      <c r="G1165" t="s">
        <v>35</v>
      </c>
      <c r="H1165" t="s">
        <v>25</v>
      </c>
      <c r="I1165" t="s">
        <v>47</v>
      </c>
    </row>
    <row r="1166" spans="1:9" x14ac:dyDescent="0.45">
      <c r="A1166" t="s">
        <v>2395</v>
      </c>
      <c r="B1166" s="2">
        <v>45875</v>
      </c>
      <c r="C1166" t="s">
        <v>10</v>
      </c>
      <c r="D1166" t="s">
        <v>2396</v>
      </c>
      <c r="E1166" t="s">
        <v>54</v>
      </c>
      <c r="F1166">
        <v>5</v>
      </c>
      <c r="G1166" t="s">
        <v>55</v>
      </c>
      <c r="H1166" t="s">
        <v>72</v>
      </c>
      <c r="I1166" t="s">
        <v>31</v>
      </c>
    </row>
    <row r="1167" spans="1:9" x14ac:dyDescent="0.45">
      <c r="A1167" t="s">
        <v>2397</v>
      </c>
      <c r="B1167" s="2">
        <v>45848</v>
      </c>
      <c r="C1167" t="s">
        <v>16</v>
      </c>
      <c r="D1167" t="s">
        <v>2398</v>
      </c>
      <c r="E1167" t="s">
        <v>71</v>
      </c>
      <c r="F1167">
        <v>11</v>
      </c>
      <c r="G1167" t="s">
        <v>18</v>
      </c>
      <c r="H1167" t="s">
        <v>14</v>
      </c>
      <c r="I1167" t="s">
        <v>31</v>
      </c>
    </row>
    <row r="1168" spans="1:9" x14ac:dyDescent="0.45">
      <c r="A1168" t="s">
        <v>2399</v>
      </c>
      <c r="B1168" s="2">
        <v>45805</v>
      </c>
      <c r="C1168" t="s">
        <v>49</v>
      </c>
      <c r="D1168" t="s">
        <v>2400</v>
      </c>
      <c r="E1168" t="s">
        <v>38</v>
      </c>
      <c r="F1168">
        <v>4</v>
      </c>
      <c r="G1168" t="s">
        <v>43</v>
      </c>
      <c r="H1168" t="s">
        <v>14</v>
      </c>
      <c r="I1168" t="s">
        <v>47</v>
      </c>
    </row>
    <row r="1169" spans="1:9" x14ac:dyDescent="0.45">
      <c r="A1169" t="s">
        <v>2401</v>
      </c>
      <c r="B1169" s="2">
        <v>45838</v>
      </c>
      <c r="C1169" t="s">
        <v>52</v>
      </c>
      <c r="D1169" t="s">
        <v>2402</v>
      </c>
      <c r="E1169" t="s">
        <v>38</v>
      </c>
      <c r="F1169">
        <v>3</v>
      </c>
      <c r="G1169" t="s">
        <v>43</v>
      </c>
      <c r="H1169" t="s">
        <v>14</v>
      </c>
      <c r="I1169" t="s">
        <v>47</v>
      </c>
    </row>
    <row r="1170" spans="1:9" x14ac:dyDescent="0.45">
      <c r="A1170" t="s">
        <v>2403</v>
      </c>
      <c r="B1170" s="2">
        <v>45738</v>
      </c>
      <c r="C1170" t="s">
        <v>10</v>
      </c>
      <c r="D1170" t="s">
        <v>2404</v>
      </c>
      <c r="E1170" t="s">
        <v>30</v>
      </c>
      <c r="F1170">
        <v>3</v>
      </c>
      <c r="G1170" t="s">
        <v>18</v>
      </c>
      <c r="H1170" t="s">
        <v>14</v>
      </c>
      <c r="I1170" t="s">
        <v>47</v>
      </c>
    </row>
    <row r="1171" spans="1:9" x14ac:dyDescent="0.45">
      <c r="A1171" t="s">
        <v>2405</v>
      </c>
      <c r="B1171" s="2">
        <v>45695</v>
      </c>
      <c r="C1171" t="s">
        <v>49</v>
      </c>
      <c r="D1171" t="s">
        <v>2406</v>
      </c>
      <c r="E1171" t="s">
        <v>38</v>
      </c>
      <c r="F1171">
        <v>5</v>
      </c>
      <c r="G1171" t="s">
        <v>55</v>
      </c>
      <c r="H1171" t="s">
        <v>72</v>
      </c>
      <c r="I1171" t="s">
        <v>19</v>
      </c>
    </row>
    <row r="1172" spans="1:9" x14ac:dyDescent="0.45">
      <c r="A1172" t="s">
        <v>2407</v>
      </c>
      <c r="B1172" s="2">
        <v>45894</v>
      </c>
      <c r="C1172" t="s">
        <v>16</v>
      </c>
      <c r="D1172" t="s">
        <v>2408</v>
      </c>
      <c r="E1172" t="s">
        <v>7967</v>
      </c>
      <c r="F1172">
        <v>2</v>
      </c>
      <c r="G1172" t="s">
        <v>68</v>
      </c>
      <c r="H1172" t="s">
        <v>25</v>
      </c>
      <c r="I1172" t="s">
        <v>26</v>
      </c>
    </row>
    <row r="1173" spans="1:9" x14ac:dyDescent="0.45">
      <c r="A1173" t="s">
        <v>2409</v>
      </c>
      <c r="B1173" s="2">
        <v>45865</v>
      </c>
      <c r="C1173" t="s">
        <v>99</v>
      </c>
      <c r="D1173" t="s">
        <v>2410</v>
      </c>
      <c r="E1173" t="s">
        <v>58</v>
      </c>
      <c r="F1173">
        <v>9</v>
      </c>
      <c r="G1173" t="s">
        <v>55</v>
      </c>
      <c r="H1173" t="s">
        <v>72</v>
      </c>
      <c r="I1173" t="s">
        <v>26</v>
      </c>
    </row>
    <row r="1174" spans="1:9" x14ac:dyDescent="0.45">
      <c r="A1174" t="s">
        <v>2411</v>
      </c>
      <c r="B1174" s="2">
        <v>45671</v>
      </c>
      <c r="C1174" t="s">
        <v>66</v>
      </c>
      <c r="D1174" t="s">
        <v>2412</v>
      </c>
      <c r="E1174" t="s">
        <v>34</v>
      </c>
      <c r="F1174">
        <v>8</v>
      </c>
      <c r="G1174" t="s">
        <v>43</v>
      </c>
      <c r="H1174" t="s">
        <v>14</v>
      </c>
      <c r="I1174" t="s">
        <v>19</v>
      </c>
    </row>
    <row r="1175" spans="1:9" x14ac:dyDescent="0.45">
      <c r="A1175" t="s">
        <v>2413</v>
      </c>
      <c r="B1175" s="2">
        <v>45668</v>
      </c>
      <c r="C1175" t="s">
        <v>49</v>
      </c>
      <c r="D1175" t="s">
        <v>2414</v>
      </c>
      <c r="E1175" t="s">
        <v>38</v>
      </c>
      <c r="F1175">
        <v>4</v>
      </c>
      <c r="G1175" t="s">
        <v>55</v>
      </c>
      <c r="H1175" t="s">
        <v>72</v>
      </c>
      <c r="I1175" t="s">
        <v>31</v>
      </c>
    </row>
    <row r="1176" spans="1:9" x14ac:dyDescent="0.45">
      <c r="A1176" t="s">
        <v>2415</v>
      </c>
      <c r="B1176" s="2">
        <v>45860</v>
      </c>
      <c r="C1176" t="s">
        <v>49</v>
      </c>
      <c r="D1176" t="s">
        <v>2416</v>
      </c>
      <c r="E1176" t="s">
        <v>58</v>
      </c>
      <c r="F1176">
        <v>11</v>
      </c>
      <c r="G1176" t="s">
        <v>24</v>
      </c>
      <c r="H1176" t="s">
        <v>25</v>
      </c>
      <c r="I1176" t="s">
        <v>47</v>
      </c>
    </row>
    <row r="1177" spans="1:9" x14ac:dyDescent="0.45">
      <c r="A1177" t="s">
        <v>2417</v>
      </c>
      <c r="B1177" s="2">
        <v>45718</v>
      </c>
      <c r="C1177" t="s">
        <v>49</v>
      </c>
      <c r="D1177" t="s">
        <v>2418</v>
      </c>
      <c r="E1177" t="s">
        <v>7973</v>
      </c>
      <c r="F1177">
        <v>5</v>
      </c>
      <c r="G1177" t="s">
        <v>24</v>
      </c>
      <c r="H1177" t="s">
        <v>25</v>
      </c>
      <c r="I1177" t="s">
        <v>60</v>
      </c>
    </row>
    <row r="1178" spans="1:9" x14ac:dyDescent="0.45">
      <c r="A1178" t="s">
        <v>2419</v>
      </c>
      <c r="B1178" s="2">
        <v>45832</v>
      </c>
      <c r="C1178" t="s">
        <v>28</v>
      </c>
      <c r="D1178" t="s">
        <v>2420</v>
      </c>
      <c r="E1178" t="s">
        <v>58</v>
      </c>
      <c r="F1178">
        <v>6</v>
      </c>
      <c r="G1178" t="s">
        <v>59</v>
      </c>
      <c r="H1178" t="s">
        <v>14</v>
      </c>
      <c r="I1178" t="s">
        <v>47</v>
      </c>
    </row>
    <row r="1179" spans="1:9" x14ac:dyDescent="0.45">
      <c r="A1179" t="s">
        <v>2421</v>
      </c>
      <c r="B1179" s="2">
        <v>45770</v>
      </c>
      <c r="C1179" t="s">
        <v>52</v>
      </c>
      <c r="D1179" t="s">
        <v>2422</v>
      </c>
      <c r="E1179" t="s">
        <v>75</v>
      </c>
      <c r="F1179">
        <v>6</v>
      </c>
      <c r="G1179" t="s">
        <v>59</v>
      </c>
      <c r="H1179" t="s">
        <v>14</v>
      </c>
      <c r="I1179" t="s">
        <v>31</v>
      </c>
    </row>
    <row r="1180" spans="1:9" x14ac:dyDescent="0.45">
      <c r="A1180" t="s">
        <v>2423</v>
      </c>
      <c r="B1180" s="2">
        <v>45724</v>
      </c>
      <c r="C1180" t="s">
        <v>52</v>
      </c>
      <c r="D1180" t="s">
        <v>2424</v>
      </c>
      <c r="E1180" t="s">
        <v>42</v>
      </c>
      <c r="F1180">
        <v>1</v>
      </c>
      <c r="G1180" t="s">
        <v>55</v>
      </c>
      <c r="H1180" t="s">
        <v>72</v>
      </c>
      <c r="I1180" t="s">
        <v>39</v>
      </c>
    </row>
    <row r="1181" spans="1:9" x14ac:dyDescent="0.45">
      <c r="A1181" t="s">
        <v>2425</v>
      </c>
      <c r="B1181" s="2">
        <v>45739</v>
      </c>
      <c r="C1181" t="s">
        <v>10</v>
      </c>
      <c r="D1181" t="s">
        <v>2426</v>
      </c>
      <c r="E1181" t="s">
        <v>58</v>
      </c>
      <c r="F1181">
        <v>2</v>
      </c>
      <c r="G1181" t="s">
        <v>18</v>
      </c>
      <c r="H1181" t="s">
        <v>14</v>
      </c>
      <c r="I1181" t="s">
        <v>31</v>
      </c>
    </row>
    <row r="1182" spans="1:9" x14ac:dyDescent="0.45">
      <c r="A1182" t="s">
        <v>2427</v>
      </c>
      <c r="B1182" s="2">
        <v>45752</v>
      </c>
      <c r="C1182" t="s">
        <v>16</v>
      </c>
      <c r="D1182" t="s">
        <v>2428</v>
      </c>
      <c r="E1182" t="s">
        <v>42</v>
      </c>
      <c r="F1182">
        <v>8</v>
      </c>
      <c r="G1182" t="s">
        <v>68</v>
      </c>
      <c r="H1182" t="s">
        <v>25</v>
      </c>
      <c r="I1182" t="s">
        <v>31</v>
      </c>
    </row>
    <row r="1183" spans="1:9" x14ac:dyDescent="0.45">
      <c r="A1183" t="s">
        <v>2429</v>
      </c>
      <c r="B1183" s="2">
        <v>45866</v>
      </c>
      <c r="C1183" t="s">
        <v>28</v>
      </c>
      <c r="D1183" t="s">
        <v>2430</v>
      </c>
      <c r="E1183" t="s">
        <v>42</v>
      </c>
      <c r="F1183">
        <v>6</v>
      </c>
      <c r="G1183" t="s">
        <v>18</v>
      </c>
      <c r="H1183" t="s">
        <v>14</v>
      </c>
      <c r="I1183" t="s">
        <v>60</v>
      </c>
    </row>
    <row r="1184" spans="1:9" x14ac:dyDescent="0.45">
      <c r="A1184" t="s">
        <v>2431</v>
      </c>
      <c r="B1184" s="2">
        <v>45810</v>
      </c>
      <c r="C1184" t="s">
        <v>16</v>
      </c>
      <c r="D1184" t="s">
        <v>2432</v>
      </c>
      <c r="E1184" t="s">
        <v>34</v>
      </c>
      <c r="F1184">
        <v>9</v>
      </c>
      <c r="G1184" t="s">
        <v>55</v>
      </c>
      <c r="H1184" t="s">
        <v>72</v>
      </c>
      <c r="I1184" t="s">
        <v>60</v>
      </c>
    </row>
    <row r="1185" spans="1:9" x14ac:dyDescent="0.45">
      <c r="A1185" t="s">
        <v>2433</v>
      </c>
      <c r="B1185" s="2">
        <v>45774</v>
      </c>
      <c r="C1185" t="s">
        <v>52</v>
      </c>
      <c r="D1185" t="s">
        <v>2434</v>
      </c>
      <c r="E1185" t="s">
        <v>34</v>
      </c>
      <c r="F1185">
        <v>1</v>
      </c>
      <c r="G1185" t="s">
        <v>18</v>
      </c>
      <c r="H1185" t="s">
        <v>14</v>
      </c>
      <c r="I1185" t="s">
        <v>31</v>
      </c>
    </row>
    <row r="1186" spans="1:9" x14ac:dyDescent="0.45">
      <c r="A1186" t="s">
        <v>2435</v>
      </c>
      <c r="B1186" s="2">
        <v>45819</v>
      </c>
      <c r="C1186" t="s">
        <v>16</v>
      </c>
      <c r="D1186" t="s">
        <v>2436</v>
      </c>
      <c r="E1186" t="s">
        <v>38</v>
      </c>
      <c r="F1186">
        <v>11</v>
      </c>
      <c r="G1186" t="s">
        <v>18</v>
      </c>
      <c r="H1186" t="s">
        <v>14</v>
      </c>
      <c r="I1186" t="s">
        <v>60</v>
      </c>
    </row>
    <row r="1187" spans="1:9" x14ac:dyDescent="0.45">
      <c r="A1187" t="s">
        <v>2437</v>
      </c>
      <c r="B1187" s="2">
        <v>45717</v>
      </c>
      <c r="C1187" t="s">
        <v>66</v>
      </c>
      <c r="D1187" t="s">
        <v>2438</v>
      </c>
      <c r="E1187" t="s">
        <v>42</v>
      </c>
      <c r="F1187">
        <v>2</v>
      </c>
      <c r="G1187" t="s">
        <v>18</v>
      </c>
      <c r="H1187" t="s">
        <v>14</v>
      </c>
      <c r="I1187" t="s">
        <v>26</v>
      </c>
    </row>
    <row r="1188" spans="1:9" x14ac:dyDescent="0.45">
      <c r="A1188" t="s">
        <v>2439</v>
      </c>
      <c r="B1188" s="2">
        <v>45706</v>
      </c>
      <c r="C1188" t="s">
        <v>16</v>
      </c>
      <c r="D1188" t="s">
        <v>2440</v>
      </c>
      <c r="E1188" t="s">
        <v>71</v>
      </c>
      <c r="F1188">
        <v>5</v>
      </c>
      <c r="G1188" t="s">
        <v>35</v>
      </c>
      <c r="H1188" t="s">
        <v>25</v>
      </c>
      <c r="I1188" t="s">
        <v>39</v>
      </c>
    </row>
    <row r="1189" spans="1:9" x14ac:dyDescent="0.45">
      <c r="A1189" t="s">
        <v>2441</v>
      </c>
      <c r="B1189" s="2">
        <v>45765</v>
      </c>
      <c r="C1189" t="s">
        <v>16</v>
      </c>
      <c r="D1189" t="s">
        <v>2442</v>
      </c>
      <c r="E1189" t="s">
        <v>75</v>
      </c>
      <c r="F1189">
        <v>7</v>
      </c>
      <c r="G1189" t="s">
        <v>55</v>
      </c>
      <c r="H1189" t="s">
        <v>72</v>
      </c>
      <c r="I1189" t="s">
        <v>26</v>
      </c>
    </row>
    <row r="1190" spans="1:9" x14ac:dyDescent="0.45">
      <c r="A1190" t="s">
        <v>2443</v>
      </c>
      <c r="B1190" s="2">
        <v>45903</v>
      </c>
      <c r="C1190" t="s">
        <v>52</v>
      </c>
      <c r="D1190" t="s">
        <v>2444</v>
      </c>
      <c r="E1190" t="s">
        <v>7974</v>
      </c>
      <c r="F1190">
        <v>9</v>
      </c>
      <c r="G1190" t="s">
        <v>68</v>
      </c>
      <c r="H1190" t="s">
        <v>25</v>
      </c>
      <c r="I1190" t="s">
        <v>19</v>
      </c>
    </row>
    <row r="1191" spans="1:9" x14ac:dyDescent="0.45">
      <c r="A1191" t="s">
        <v>2445</v>
      </c>
      <c r="B1191" s="2">
        <v>45830</v>
      </c>
      <c r="C1191" t="s">
        <v>28</v>
      </c>
      <c r="D1191" t="s">
        <v>2446</v>
      </c>
      <c r="E1191" t="s">
        <v>75</v>
      </c>
      <c r="F1191">
        <v>4</v>
      </c>
      <c r="G1191" t="s">
        <v>68</v>
      </c>
      <c r="H1191" t="s">
        <v>25</v>
      </c>
      <c r="I1191" t="s">
        <v>26</v>
      </c>
    </row>
    <row r="1192" spans="1:9" x14ac:dyDescent="0.45">
      <c r="A1192" t="s">
        <v>2447</v>
      </c>
      <c r="B1192" s="2">
        <v>45847</v>
      </c>
      <c r="C1192" t="s">
        <v>99</v>
      </c>
      <c r="D1192" t="s">
        <v>2448</v>
      </c>
      <c r="E1192" t="s">
        <v>58</v>
      </c>
      <c r="F1192">
        <v>1</v>
      </c>
      <c r="G1192" t="s">
        <v>68</v>
      </c>
      <c r="H1192" t="s">
        <v>25</v>
      </c>
      <c r="I1192" t="s">
        <v>31</v>
      </c>
    </row>
    <row r="1193" spans="1:9" x14ac:dyDescent="0.45">
      <c r="A1193" t="s">
        <v>2449</v>
      </c>
      <c r="B1193" s="2">
        <v>45698</v>
      </c>
      <c r="C1193" t="s">
        <v>49</v>
      </c>
      <c r="D1193" t="s">
        <v>2450</v>
      </c>
      <c r="E1193" t="s">
        <v>38</v>
      </c>
      <c r="F1193">
        <v>4</v>
      </c>
      <c r="G1193" t="s">
        <v>68</v>
      </c>
      <c r="H1193" t="s">
        <v>25</v>
      </c>
      <c r="I1193" t="s">
        <v>47</v>
      </c>
    </row>
    <row r="1194" spans="1:9" x14ac:dyDescent="0.45">
      <c r="A1194" t="s">
        <v>2451</v>
      </c>
      <c r="B1194" s="2">
        <v>45721</v>
      </c>
      <c r="C1194" t="s">
        <v>52</v>
      </c>
      <c r="D1194" t="s">
        <v>2452</v>
      </c>
      <c r="E1194" t="s">
        <v>58</v>
      </c>
      <c r="F1194">
        <v>11</v>
      </c>
      <c r="G1194" t="s">
        <v>13</v>
      </c>
      <c r="H1194" t="s">
        <v>14</v>
      </c>
      <c r="I1194" t="s">
        <v>39</v>
      </c>
    </row>
    <row r="1195" spans="1:9" x14ac:dyDescent="0.45">
      <c r="A1195" t="s">
        <v>2453</v>
      </c>
      <c r="B1195" s="2">
        <v>45672</v>
      </c>
      <c r="C1195" t="s">
        <v>52</v>
      </c>
      <c r="D1195" t="s">
        <v>2454</v>
      </c>
      <c r="E1195" t="s">
        <v>38</v>
      </c>
      <c r="F1195">
        <v>7</v>
      </c>
      <c r="G1195" t="s">
        <v>18</v>
      </c>
      <c r="H1195" t="s">
        <v>14</v>
      </c>
      <c r="I1195" t="s">
        <v>47</v>
      </c>
    </row>
    <row r="1196" spans="1:9" x14ac:dyDescent="0.45">
      <c r="A1196" t="s">
        <v>2455</v>
      </c>
      <c r="B1196" s="2">
        <v>45795</v>
      </c>
      <c r="C1196" t="s">
        <v>16</v>
      </c>
      <c r="D1196" t="s">
        <v>2456</v>
      </c>
      <c r="E1196" t="s">
        <v>46</v>
      </c>
      <c r="F1196">
        <v>9</v>
      </c>
      <c r="G1196" t="s">
        <v>24</v>
      </c>
      <c r="H1196" t="s">
        <v>25</v>
      </c>
      <c r="I1196" t="s">
        <v>47</v>
      </c>
    </row>
    <row r="1197" spans="1:9" x14ac:dyDescent="0.45">
      <c r="A1197" t="s">
        <v>2457</v>
      </c>
      <c r="B1197" s="2">
        <v>45903</v>
      </c>
      <c r="C1197" t="s">
        <v>16</v>
      </c>
      <c r="D1197" t="s">
        <v>2458</v>
      </c>
      <c r="E1197" t="s">
        <v>46</v>
      </c>
      <c r="F1197">
        <v>9</v>
      </c>
      <c r="G1197" t="s">
        <v>13</v>
      </c>
      <c r="H1197" t="s">
        <v>14</v>
      </c>
      <c r="I1197" t="s">
        <v>19</v>
      </c>
    </row>
    <row r="1198" spans="1:9" x14ac:dyDescent="0.45">
      <c r="A1198" t="s">
        <v>2459</v>
      </c>
      <c r="B1198" s="2">
        <v>45875</v>
      </c>
      <c r="C1198" t="s">
        <v>28</v>
      </c>
      <c r="D1198" t="s">
        <v>2460</v>
      </c>
      <c r="E1198" t="s">
        <v>75</v>
      </c>
      <c r="F1198">
        <v>9</v>
      </c>
      <c r="G1198" t="s">
        <v>35</v>
      </c>
      <c r="H1198" t="s">
        <v>25</v>
      </c>
      <c r="I1198" t="s">
        <v>60</v>
      </c>
    </row>
    <row r="1199" spans="1:9" x14ac:dyDescent="0.45">
      <c r="A1199" t="s">
        <v>2461</v>
      </c>
      <c r="B1199" s="2">
        <v>45872</v>
      </c>
      <c r="C1199" t="s">
        <v>10</v>
      </c>
      <c r="D1199" t="s">
        <v>2462</v>
      </c>
      <c r="E1199" t="s">
        <v>7973</v>
      </c>
      <c r="F1199">
        <v>5</v>
      </c>
      <c r="G1199" t="s">
        <v>24</v>
      </c>
      <c r="H1199" t="s">
        <v>25</v>
      </c>
      <c r="I1199" t="s">
        <v>39</v>
      </c>
    </row>
    <row r="1200" spans="1:9" x14ac:dyDescent="0.45">
      <c r="A1200" t="s">
        <v>2463</v>
      </c>
      <c r="B1200" s="2">
        <v>45761</v>
      </c>
      <c r="C1200" t="s">
        <v>21</v>
      </c>
      <c r="D1200" t="s">
        <v>2464</v>
      </c>
      <c r="E1200" t="s">
        <v>38</v>
      </c>
      <c r="F1200">
        <v>10</v>
      </c>
      <c r="G1200" t="s">
        <v>43</v>
      </c>
      <c r="H1200" t="s">
        <v>14</v>
      </c>
      <c r="I1200" t="s">
        <v>26</v>
      </c>
    </row>
    <row r="1201" spans="1:9" x14ac:dyDescent="0.45">
      <c r="A1201" t="s">
        <v>2465</v>
      </c>
      <c r="B1201" s="2">
        <v>45736</v>
      </c>
      <c r="C1201" t="s">
        <v>52</v>
      </c>
      <c r="D1201" t="s">
        <v>2466</v>
      </c>
      <c r="E1201" t="s">
        <v>23</v>
      </c>
      <c r="F1201">
        <v>10</v>
      </c>
      <c r="G1201" t="s">
        <v>18</v>
      </c>
      <c r="H1201" t="s">
        <v>14</v>
      </c>
      <c r="I1201" t="s">
        <v>19</v>
      </c>
    </row>
    <row r="1202" spans="1:9" x14ac:dyDescent="0.45">
      <c r="A1202" t="s">
        <v>2467</v>
      </c>
      <c r="B1202" s="2">
        <v>45866</v>
      </c>
      <c r="C1202" t="s">
        <v>28</v>
      </c>
      <c r="D1202" t="s">
        <v>2468</v>
      </c>
      <c r="E1202" t="s">
        <v>23</v>
      </c>
      <c r="F1202">
        <v>12</v>
      </c>
      <c r="G1202" t="s">
        <v>55</v>
      </c>
      <c r="H1202" t="s">
        <v>72</v>
      </c>
      <c r="I1202" t="s">
        <v>39</v>
      </c>
    </row>
    <row r="1203" spans="1:9" x14ac:dyDescent="0.45">
      <c r="A1203" t="s">
        <v>2469</v>
      </c>
      <c r="B1203" s="2">
        <v>45702</v>
      </c>
      <c r="C1203" t="s">
        <v>66</v>
      </c>
      <c r="D1203" t="s">
        <v>2470</v>
      </c>
      <c r="E1203" t="s">
        <v>34</v>
      </c>
      <c r="F1203">
        <v>12</v>
      </c>
      <c r="G1203" t="s">
        <v>55</v>
      </c>
      <c r="H1203" t="s">
        <v>72</v>
      </c>
      <c r="I1203" t="s">
        <v>60</v>
      </c>
    </row>
    <row r="1204" spans="1:9" x14ac:dyDescent="0.45">
      <c r="A1204" t="s">
        <v>2471</v>
      </c>
      <c r="B1204" s="2">
        <v>45879</v>
      </c>
      <c r="C1204" t="s">
        <v>99</v>
      </c>
      <c r="D1204" t="s">
        <v>2472</v>
      </c>
      <c r="E1204" t="s">
        <v>54</v>
      </c>
      <c r="F1204">
        <v>5</v>
      </c>
      <c r="G1204" t="s">
        <v>13</v>
      </c>
      <c r="H1204" t="s">
        <v>14</v>
      </c>
      <c r="I1204" t="s">
        <v>47</v>
      </c>
    </row>
    <row r="1205" spans="1:9" x14ac:dyDescent="0.45">
      <c r="A1205" t="s">
        <v>2473</v>
      </c>
      <c r="B1205" s="2">
        <v>45695</v>
      </c>
      <c r="C1205" t="s">
        <v>16</v>
      </c>
      <c r="D1205" t="s">
        <v>2474</v>
      </c>
      <c r="E1205" t="s">
        <v>30</v>
      </c>
      <c r="F1205">
        <v>3</v>
      </c>
      <c r="G1205" t="s">
        <v>55</v>
      </c>
      <c r="H1205" t="s">
        <v>72</v>
      </c>
      <c r="I1205" t="s">
        <v>31</v>
      </c>
    </row>
    <row r="1206" spans="1:9" x14ac:dyDescent="0.45">
      <c r="A1206" t="s">
        <v>2475</v>
      </c>
      <c r="B1206" s="2">
        <v>45706</v>
      </c>
      <c r="C1206" t="s">
        <v>10</v>
      </c>
      <c r="D1206" t="s">
        <v>2476</v>
      </c>
      <c r="E1206" t="s">
        <v>71</v>
      </c>
      <c r="F1206">
        <v>2</v>
      </c>
      <c r="G1206" t="s">
        <v>55</v>
      </c>
      <c r="H1206" t="s">
        <v>72</v>
      </c>
      <c r="I1206" t="s">
        <v>31</v>
      </c>
    </row>
    <row r="1207" spans="1:9" x14ac:dyDescent="0.45">
      <c r="A1207" t="s">
        <v>2477</v>
      </c>
      <c r="B1207" s="2">
        <v>45696</v>
      </c>
      <c r="C1207" t="s">
        <v>49</v>
      </c>
      <c r="D1207" t="s">
        <v>2478</v>
      </c>
      <c r="E1207" t="s">
        <v>23</v>
      </c>
      <c r="F1207">
        <v>5</v>
      </c>
      <c r="G1207" t="s">
        <v>59</v>
      </c>
      <c r="H1207" t="s">
        <v>14</v>
      </c>
      <c r="I1207" t="s">
        <v>39</v>
      </c>
    </row>
    <row r="1208" spans="1:9" x14ac:dyDescent="0.45">
      <c r="A1208" t="s">
        <v>2479</v>
      </c>
      <c r="B1208" s="2">
        <v>45724</v>
      </c>
      <c r="C1208" t="s">
        <v>16</v>
      </c>
      <c r="D1208" t="s">
        <v>2480</v>
      </c>
      <c r="E1208" t="s">
        <v>23</v>
      </c>
      <c r="F1208">
        <v>1</v>
      </c>
      <c r="G1208" t="s">
        <v>35</v>
      </c>
      <c r="H1208" t="s">
        <v>25</v>
      </c>
      <c r="I1208" t="s">
        <v>26</v>
      </c>
    </row>
    <row r="1209" spans="1:9" x14ac:dyDescent="0.45">
      <c r="A1209" t="s">
        <v>2481</v>
      </c>
      <c r="B1209" s="2">
        <v>45849</v>
      </c>
      <c r="C1209" t="s">
        <v>10</v>
      </c>
      <c r="D1209" t="s">
        <v>2482</v>
      </c>
      <c r="E1209" t="s">
        <v>46</v>
      </c>
      <c r="F1209">
        <v>1</v>
      </c>
      <c r="G1209" t="s">
        <v>13</v>
      </c>
      <c r="H1209" t="s">
        <v>14</v>
      </c>
      <c r="I1209" t="s">
        <v>19</v>
      </c>
    </row>
    <row r="1210" spans="1:9" x14ac:dyDescent="0.45">
      <c r="A1210" t="s">
        <v>2483</v>
      </c>
      <c r="B1210" s="2">
        <v>45667</v>
      </c>
      <c r="C1210" t="s">
        <v>52</v>
      </c>
      <c r="D1210" t="s">
        <v>2484</v>
      </c>
      <c r="E1210" t="s">
        <v>23</v>
      </c>
      <c r="F1210">
        <v>7</v>
      </c>
      <c r="G1210" t="s">
        <v>68</v>
      </c>
      <c r="H1210" t="s">
        <v>25</v>
      </c>
      <c r="I1210" t="s">
        <v>19</v>
      </c>
    </row>
    <row r="1211" spans="1:9" x14ac:dyDescent="0.45">
      <c r="A1211" t="s">
        <v>2485</v>
      </c>
      <c r="B1211" s="2">
        <v>45694</v>
      </c>
      <c r="C1211" t="s">
        <v>28</v>
      </c>
      <c r="D1211" t="s">
        <v>2486</v>
      </c>
      <c r="E1211" t="s">
        <v>42</v>
      </c>
      <c r="F1211">
        <v>4</v>
      </c>
      <c r="G1211" t="s">
        <v>55</v>
      </c>
      <c r="H1211" t="s">
        <v>72</v>
      </c>
      <c r="I1211" t="s">
        <v>31</v>
      </c>
    </row>
    <row r="1212" spans="1:9" x14ac:dyDescent="0.45">
      <c r="A1212" t="s">
        <v>2487</v>
      </c>
      <c r="B1212" s="2">
        <v>45759</v>
      </c>
      <c r="C1212" t="s">
        <v>52</v>
      </c>
      <c r="D1212" t="s">
        <v>2488</v>
      </c>
      <c r="E1212" t="s">
        <v>7974</v>
      </c>
      <c r="F1212">
        <v>7</v>
      </c>
      <c r="G1212" t="s">
        <v>24</v>
      </c>
      <c r="H1212" t="s">
        <v>25</v>
      </c>
      <c r="I1212" t="s">
        <v>47</v>
      </c>
    </row>
    <row r="1213" spans="1:9" x14ac:dyDescent="0.45">
      <c r="A1213" t="s">
        <v>2489</v>
      </c>
      <c r="B1213" s="2">
        <v>45771</v>
      </c>
      <c r="C1213" t="s">
        <v>52</v>
      </c>
      <c r="D1213" t="s">
        <v>2490</v>
      </c>
      <c r="E1213" t="s">
        <v>7974</v>
      </c>
      <c r="F1213">
        <v>3</v>
      </c>
      <c r="G1213" t="s">
        <v>59</v>
      </c>
      <c r="H1213" t="s">
        <v>14</v>
      </c>
      <c r="I1213" t="s">
        <v>31</v>
      </c>
    </row>
    <row r="1214" spans="1:9" x14ac:dyDescent="0.45">
      <c r="A1214" t="s">
        <v>2491</v>
      </c>
      <c r="B1214" s="2">
        <v>45716</v>
      </c>
      <c r="C1214" t="s">
        <v>49</v>
      </c>
      <c r="D1214" t="s">
        <v>2492</v>
      </c>
      <c r="E1214" t="s">
        <v>30</v>
      </c>
      <c r="F1214">
        <v>9</v>
      </c>
      <c r="G1214" t="s">
        <v>18</v>
      </c>
      <c r="H1214" t="s">
        <v>14</v>
      </c>
      <c r="I1214" t="s">
        <v>19</v>
      </c>
    </row>
    <row r="1215" spans="1:9" x14ac:dyDescent="0.45">
      <c r="A1215" t="s">
        <v>2493</v>
      </c>
      <c r="B1215" s="2">
        <v>45759</v>
      </c>
      <c r="C1215" t="s">
        <v>28</v>
      </c>
      <c r="D1215" t="s">
        <v>2494</v>
      </c>
      <c r="E1215" t="s">
        <v>71</v>
      </c>
      <c r="F1215">
        <v>2</v>
      </c>
      <c r="G1215" t="s">
        <v>43</v>
      </c>
      <c r="H1215" t="s">
        <v>14</v>
      </c>
      <c r="I1215" t="s">
        <v>47</v>
      </c>
    </row>
    <row r="1216" spans="1:9" x14ac:dyDescent="0.45">
      <c r="A1216" t="s">
        <v>2495</v>
      </c>
      <c r="B1216" s="2">
        <v>45856</v>
      </c>
      <c r="C1216" t="s">
        <v>49</v>
      </c>
      <c r="D1216" t="s">
        <v>2496</v>
      </c>
      <c r="E1216" t="s">
        <v>58</v>
      </c>
      <c r="F1216">
        <v>4</v>
      </c>
      <c r="G1216" t="s">
        <v>68</v>
      </c>
      <c r="H1216" t="s">
        <v>25</v>
      </c>
      <c r="I1216" t="s">
        <v>47</v>
      </c>
    </row>
    <row r="1217" spans="1:9" x14ac:dyDescent="0.45">
      <c r="A1217" t="s">
        <v>2497</v>
      </c>
      <c r="B1217" s="2">
        <v>45742</v>
      </c>
      <c r="C1217" t="s">
        <v>16</v>
      </c>
      <c r="D1217" t="s">
        <v>2498</v>
      </c>
      <c r="E1217" t="s">
        <v>46</v>
      </c>
      <c r="F1217">
        <v>9</v>
      </c>
      <c r="G1217" t="s">
        <v>59</v>
      </c>
      <c r="H1217" t="s">
        <v>14</v>
      </c>
      <c r="I1217" t="s">
        <v>47</v>
      </c>
    </row>
    <row r="1218" spans="1:9" x14ac:dyDescent="0.45">
      <c r="A1218" t="s">
        <v>2499</v>
      </c>
      <c r="B1218" s="2">
        <v>45852</v>
      </c>
      <c r="C1218" t="s">
        <v>99</v>
      </c>
      <c r="D1218" t="s">
        <v>2500</v>
      </c>
      <c r="E1218" t="s">
        <v>54</v>
      </c>
      <c r="F1218">
        <v>3</v>
      </c>
      <c r="G1218" t="s">
        <v>35</v>
      </c>
      <c r="H1218" t="s">
        <v>25</v>
      </c>
      <c r="I1218" t="s">
        <v>39</v>
      </c>
    </row>
    <row r="1219" spans="1:9" x14ac:dyDescent="0.45">
      <c r="A1219" t="s">
        <v>2501</v>
      </c>
      <c r="B1219" s="2">
        <v>45670</v>
      </c>
      <c r="C1219" t="s">
        <v>66</v>
      </c>
      <c r="D1219" t="s">
        <v>2502</v>
      </c>
      <c r="E1219" t="s">
        <v>7974</v>
      </c>
      <c r="F1219">
        <v>3</v>
      </c>
      <c r="G1219" t="s">
        <v>43</v>
      </c>
      <c r="H1219" t="s">
        <v>14</v>
      </c>
      <c r="I1219" t="s">
        <v>31</v>
      </c>
    </row>
    <row r="1220" spans="1:9" x14ac:dyDescent="0.45">
      <c r="A1220" t="s">
        <v>2503</v>
      </c>
      <c r="B1220" s="2">
        <v>45723</v>
      </c>
      <c r="C1220" t="s">
        <v>28</v>
      </c>
      <c r="D1220" t="s">
        <v>2504</v>
      </c>
      <c r="E1220" t="s">
        <v>42</v>
      </c>
      <c r="F1220">
        <v>6</v>
      </c>
      <c r="G1220" t="s">
        <v>43</v>
      </c>
      <c r="H1220" t="s">
        <v>14</v>
      </c>
      <c r="I1220" t="s">
        <v>19</v>
      </c>
    </row>
    <row r="1221" spans="1:9" x14ac:dyDescent="0.45">
      <c r="A1221" t="s">
        <v>2505</v>
      </c>
      <c r="B1221" s="2">
        <v>45852</v>
      </c>
      <c r="C1221" t="s">
        <v>28</v>
      </c>
      <c r="D1221" t="s">
        <v>2506</v>
      </c>
      <c r="E1221" t="s">
        <v>38</v>
      </c>
      <c r="F1221">
        <v>6</v>
      </c>
      <c r="G1221" t="s">
        <v>59</v>
      </c>
      <c r="H1221" t="s">
        <v>14</v>
      </c>
      <c r="I1221" t="s">
        <v>26</v>
      </c>
    </row>
    <row r="1222" spans="1:9" x14ac:dyDescent="0.45">
      <c r="A1222" t="s">
        <v>2507</v>
      </c>
      <c r="B1222" s="2">
        <v>45727</v>
      </c>
      <c r="C1222" t="s">
        <v>21</v>
      </c>
      <c r="D1222" t="s">
        <v>2508</v>
      </c>
      <c r="E1222" t="s">
        <v>46</v>
      </c>
      <c r="F1222">
        <v>11</v>
      </c>
      <c r="G1222" t="s">
        <v>18</v>
      </c>
      <c r="H1222" t="s">
        <v>14</v>
      </c>
      <c r="I1222" t="s">
        <v>26</v>
      </c>
    </row>
    <row r="1223" spans="1:9" x14ac:dyDescent="0.45">
      <c r="A1223" t="s">
        <v>2509</v>
      </c>
      <c r="B1223" s="2">
        <v>45810</v>
      </c>
      <c r="C1223" t="s">
        <v>16</v>
      </c>
      <c r="D1223" t="s">
        <v>2510</v>
      </c>
      <c r="E1223" t="s">
        <v>23</v>
      </c>
      <c r="F1223">
        <v>1</v>
      </c>
      <c r="G1223" t="s">
        <v>55</v>
      </c>
      <c r="H1223" t="s">
        <v>72</v>
      </c>
      <c r="I1223" t="s">
        <v>26</v>
      </c>
    </row>
    <row r="1224" spans="1:9" x14ac:dyDescent="0.45">
      <c r="A1224" t="s">
        <v>2511</v>
      </c>
      <c r="B1224" s="2">
        <v>45692</v>
      </c>
      <c r="C1224" t="s">
        <v>16</v>
      </c>
      <c r="D1224" t="s">
        <v>2512</v>
      </c>
      <c r="E1224" t="s">
        <v>42</v>
      </c>
      <c r="F1224">
        <v>7</v>
      </c>
      <c r="G1224" t="s">
        <v>7967</v>
      </c>
      <c r="H1224" t="s">
        <v>25</v>
      </c>
      <c r="I1224" t="s">
        <v>19</v>
      </c>
    </row>
    <row r="1225" spans="1:9" x14ac:dyDescent="0.45">
      <c r="A1225" t="s">
        <v>2513</v>
      </c>
      <c r="B1225" s="2">
        <v>45860</v>
      </c>
      <c r="C1225" t="s">
        <v>99</v>
      </c>
      <c r="D1225" t="s">
        <v>2514</v>
      </c>
      <c r="E1225" t="s">
        <v>42</v>
      </c>
      <c r="F1225">
        <v>12</v>
      </c>
      <c r="G1225" t="s">
        <v>35</v>
      </c>
      <c r="H1225" t="s">
        <v>25</v>
      </c>
      <c r="I1225" t="s">
        <v>60</v>
      </c>
    </row>
    <row r="1226" spans="1:9" x14ac:dyDescent="0.45">
      <c r="A1226" t="s">
        <v>2515</v>
      </c>
      <c r="B1226" s="2">
        <v>45751</v>
      </c>
      <c r="C1226" t="s">
        <v>21</v>
      </c>
      <c r="D1226" t="s">
        <v>2516</v>
      </c>
      <c r="E1226" t="s">
        <v>71</v>
      </c>
      <c r="F1226">
        <v>4</v>
      </c>
      <c r="G1226" t="s">
        <v>18</v>
      </c>
      <c r="H1226" t="s">
        <v>14</v>
      </c>
      <c r="I1226" t="s">
        <v>39</v>
      </c>
    </row>
    <row r="1227" spans="1:9" x14ac:dyDescent="0.45">
      <c r="A1227" t="s">
        <v>2517</v>
      </c>
      <c r="B1227" s="2">
        <v>45888</v>
      </c>
      <c r="C1227" t="s">
        <v>21</v>
      </c>
      <c r="D1227" t="s">
        <v>2518</v>
      </c>
      <c r="E1227" t="s">
        <v>38</v>
      </c>
      <c r="F1227">
        <v>10</v>
      </c>
      <c r="G1227" t="s">
        <v>43</v>
      </c>
      <c r="H1227" t="s">
        <v>14</v>
      </c>
      <c r="I1227" t="s">
        <v>26</v>
      </c>
    </row>
    <row r="1228" spans="1:9" x14ac:dyDescent="0.45">
      <c r="A1228" t="s">
        <v>2519</v>
      </c>
      <c r="B1228" s="2">
        <v>45889</v>
      </c>
      <c r="C1228" t="s">
        <v>49</v>
      </c>
      <c r="D1228" t="s">
        <v>2520</v>
      </c>
      <c r="E1228" t="s">
        <v>75</v>
      </c>
      <c r="F1228">
        <v>9</v>
      </c>
      <c r="G1228" t="s">
        <v>55</v>
      </c>
      <c r="H1228" t="s">
        <v>72</v>
      </c>
      <c r="I1228" t="s">
        <v>31</v>
      </c>
    </row>
    <row r="1229" spans="1:9" x14ac:dyDescent="0.45">
      <c r="A1229" t="s">
        <v>2521</v>
      </c>
      <c r="B1229" s="2">
        <v>45736</v>
      </c>
      <c r="C1229" t="s">
        <v>99</v>
      </c>
      <c r="D1229" t="s">
        <v>2522</v>
      </c>
      <c r="E1229" t="s">
        <v>46</v>
      </c>
      <c r="F1229">
        <v>1</v>
      </c>
      <c r="G1229" t="s">
        <v>68</v>
      </c>
      <c r="H1229" t="s">
        <v>25</v>
      </c>
      <c r="I1229" t="s">
        <v>47</v>
      </c>
    </row>
    <row r="1230" spans="1:9" x14ac:dyDescent="0.45">
      <c r="A1230" t="s">
        <v>2523</v>
      </c>
      <c r="B1230" s="2">
        <v>45679</v>
      </c>
      <c r="C1230" t="s">
        <v>52</v>
      </c>
      <c r="D1230" t="s">
        <v>2524</v>
      </c>
      <c r="E1230" t="s">
        <v>54</v>
      </c>
      <c r="F1230">
        <v>5</v>
      </c>
      <c r="G1230" t="s">
        <v>43</v>
      </c>
      <c r="H1230" t="s">
        <v>14</v>
      </c>
      <c r="I1230" t="s">
        <v>47</v>
      </c>
    </row>
    <row r="1231" spans="1:9" x14ac:dyDescent="0.45">
      <c r="A1231" t="s">
        <v>2525</v>
      </c>
      <c r="B1231" s="2">
        <v>45799</v>
      </c>
      <c r="C1231" t="s">
        <v>99</v>
      </c>
      <c r="D1231" t="s">
        <v>2526</v>
      </c>
      <c r="E1231" t="s">
        <v>30</v>
      </c>
      <c r="F1231">
        <v>9</v>
      </c>
      <c r="G1231" t="s">
        <v>18</v>
      </c>
      <c r="H1231" t="s">
        <v>14</v>
      </c>
      <c r="I1231" t="s">
        <v>7967</v>
      </c>
    </row>
    <row r="1232" spans="1:9" x14ac:dyDescent="0.45">
      <c r="A1232" t="s">
        <v>2527</v>
      </c>
      <c r="B1232" s="2">
        <v>45753</v>
      </c>
      <c r="C1232" t="s">
        <v>49</v>
      </c>
      <c r="D1232" t="s">
        <v>2528</v>
      </c>
      <c r="E1232" t="s">
        <v>7973</v>
      </c>
      <c r="F1232">
        <v>6</v>
      </c>
      <c r="G1232" t="s">
        <v>35</v>
      </c>
      <c r="H1232" t="s">
        <v>25</v>
      </c>
      <c r="I1232" t="s">
        <v>19</v>
      </c>
    </row>
    <row r="1233" spans="1:9" x14ac:dyDescent="0.45">
      <c r="A1233" t="s">
        <v>2529</v>
      </c>
      <c r="B1233" s="2">
        <v>45695</v>
      </c>
      <c r="C1233" t="s">
        <v>49</v>
      </c>
      <c r="D1233" t="s">
        <v>2530</v>
      </c>
      <c r="E1233" t="s">
        <v>30</v>
      </c>
      <c r="F1233">
        <v>11</v>
      </c>
      <c r="G1233" t="s">
        <v>68</v>
      </c>
      <c r="H1233" t="s">
        <v>25</v>
      </c>
      <c r="I1233" t="s">
        <v>19</v>
      </c>
    </row>
    <row r="1234" spans="1:9" x14ac:dyDescent="0.45">
      <c r="A1234" t="s">
        <v>2531</v>
      </c>
      <c r="B1234" s="2">
        <v>45818</v>
      </c>
      <c r="C1234" t="s">
        <v>52</v>
      </c>
      <c r="D1234" t="s">
        <v>2532</v>
      </c>
      <c r="E1234" t="s">
        <v>7974</v>
      </c>
      <c r="F1234">
        <v>3</v>
      </c>
      <c r="G1234" t="s">
        <v>68</v>
      </c>
      <c r="H1234" t="s">
        <v>25</v>
      </c>
      <c r="I1234" t="s">
        <v>60</v>
      </c>
    </row>
    <row r="1235" spans="1:9" x14ac:dyDescent="0.45">
      <c r="A1235" t="s">
        <v>2533</v>
      </c>
      <c r="B1235" s="2">
        <v>45839</v>
      </c>
      <c r="C1235" t="s">
        <v>16</v>
      </c>
      <c r="D1235" t="s">
        <v>2534</v>
      </c>
      <c r="E1235" t="s">
        <v>42</v>
      </c>
      <c r="F1235">
        <v>9</v>
      </c>
      <c r="G1235" t="s">
        <v>59</v>
      </c>
      <c r="H1235" t="s">
        <v>14</v>
      </c>
      <c r="I1235" t="s">
        <v>47</v>
      </c>
    </row>
    <row r="1236" spans="1:9" x14ac:dyDescent="0.45">
      <c r="A1236" t="s">
        <v>2535</v>
      </c>
      <c r="B1236" s="2">
        <v>45748</v>
      </c>
      <c r="C1236" t="s">
        <v>10</v>
      </c>
      <c r="D1236" t="s">
        <v>2536</v>
      </c>
      <c r="E1236" t="s">
        <v>75</v>
      </c>
      <c r="F1236">
        <v>8</v>
      </c>
      <c r="G1236" t="s">
        <v>35</v>
      </c>
      <c r="H1236" t="s">
        <v>25</v>
      </c>
      <c r="I1236" t="s">
        <v>19</v>
      </c>
    </row>
    <row r="1237" spans="1:9" x14ac:dyDescent="0.45">
      <c r="A1237" t="s">
        <v>2537</v>
      </c>
      <c r="B1237" s="2">
        <v>45834</v>
      </c>
      <c r="C1237" t="s">
        <v>66</v>
      </c>
      <c r="D1237" t="s">
        <v>2538</v>
      </c>
      <c r="E1237" t="s">
        <v>58</v>
      </c>
      <c r="F1237">
        <v>10</v>
      </c>
      <c r="G1237" t="s">
        <v>7967</v>
      </c>
      <c r="H1237" t="s">
        <v>25</v>
      </c>
      <c r="I1237" t="s">
        <v>39</v>
      </c>
    </row>
    <row r="1238" spans="1:9" x14ac:dyDescent="0.45">
      <c r="A1238" t="s">
        <v>2539</v>
      </c>
      <c r="B1238" s="2">
        <v>45789</v>
      </c>
      <c r="C1238" t="s">
        <v>28</v>
      </c>
      <c r="D1238" t="s">
        <v>2540</v>
      </c>
      <c r="E1238" t="s">
        <v>42</v>
      </c>
      <c r="F1238">
        <v>4</v>
      </c>
      <c r="G1238" t="s">
        <v>35</v>
      </c>
      <c r="H1238" t="s">
        <v>25</v>
      </c>
      <c r="I1238" t="s">
        <v>26</v>
      </c>
    </row>
    <row r="1239" spans="1:9" x14ac:dyDescent="0.45">
      <c r="A1239" t="s">
        <v>2541</v>
      </c>
      <c r="B1239" s="2">
        <v>45662</v>
      </c>
      <c r="C1239" t="s">
        <v>16</v>
      </c>
      <c r="D1239" t="s">
        <v>2542</v>
      </c>
      <c r="E1239" t="s">
        <v>71</v>
      </c>
      <c r="F1239">
        <v>10</v>
      </c>
      <c r="G1239" t="s">
        <v>13</v>
      </c>
      <c r="H1239" t="s">
        <v>14</v>
      </c>
      <c r="I1239" t="s">
        <v>26</v>
      </c>
    </row>
    <row r="1240" spans="1:9" x14ac:dyDescent="0.45">
      <c r="A1240" t="s">
        <v>2543</v>
      </c>
      <c r="B1240" s="2">
        <v>45886</v>
      </c>
      <c r="C1240" t="s">
        <v>16</v>
      </c>
      <c r="D1240" t="s">
        <v>2544</v>
      </c>
      <c r="E1240" t="s">
        <v>71</v>
      </c>
      <c r="F1240">
        <v>4</v>
      </c>
      <c r="G1240" t="s">
        <v>13</v>
      </c>
      <c r="H1240" t="s">
        <v>14</v>
      </c>
      <c r="I1240" t="s">
        <v>19</v>
      </c>
    </row>
    <row r="1241" spans="1:9" x14ac:dyDescent="0.45">
      <c r="A1241" t="s">
        <v>2545</v>
      </c>
      <c r="B1241" s="2">
        <v>45682</v>
      </c>
      <c r="C1241" t="s">
        <v>28</v>
      </c>
      <c r="D1241" t="s">
        <v>2546</v>
      </c>
      <c r="E1241" t="s">
        <v>75</v>
      </c>
      <c r="F1241">
        <v>12</v>
      </c>
      <c r="G1241" t="s">
        <v>68</v>
      </c>
      <c r="H1241" t="s">
        <v>25</v>
      </c>
      <c r="I1241" t="s">
        <v>39</v>
      </c>
    </row>
    <row r="1242" spans="1:9" x14ac:dyDescent="0.45">
      <c r="A1242" t="s">
        <v>2547</v>
      </c>
      <c r="B1242" s="2">
        <v>45761</v>
      </c>
      <c r="C1242" t="s">
        <v>99</v>
      </c>
      <c r="D1242" t="s">
        <v>2548</v>
      </c>
      <c r="E1242" t="s">
        <v>54</v>
      </c>
      <c r="F1242">
        <v>3</v>
      </c>
      <c r="G1242" t="s">
        <v>55</v>
      </c>
      <c r="H1242" t="s">
        <v>72</v>
      </c>
      <c r="I1242" t="s">
        <v>60</v>
      </c>
    </row>
    <row r="1243" spans="1:9" x14ac:dyDescent="0.45">
      <c r="A1243" t="s">
        <v>2549</v>
      </c>
      <c r="B1243" s="2">
        <v>45807</v>
      </c>
      <c r="C1243" t="s">
        <v>28</v>
      </c>
      <c r="D1243" t="s">
        <v>2550</v>
      </c>
      <c r="E1243" t="s">
        <v>42</v>
      </c>
      <c r="F1243">
        <v>2</v>
      </c>
      <c r="G1243" t="s">
        <v>59</v>
      </c>
      <c r="H1243" t="s">
        <v>14</v>
      </c>
      <c r="I1243" t="s">
        <v>39</v>
      </c>
    </row>
    <row r="1244" spans="1:9" x14ac:dyDescent="0.45">
      <c r="A1244" t="s">
        <v>2551</v>
      </c>
      <c r="B1244" s="2">
        <v>45847</v>
      </c>
      <c r="C1244" t="s">
        <v>66</v>
      </c>
      <c r="D1244" t="s">
        <v>2552</v>
      </c>
      <c r="E1244" t="s">
        <v>38</v>
      </c>
      <c r="F1244">
        <v>7</v>
      </c>
      <c r="G1244" t="s">
        <v>55</v>
      </c>
      <c r="H1244" t="s">
        <v>72</v>
      </c>
      <c r="I1244" t="s">
        <v>31</v>
      </c>
    </row>
    <row r="1245" spans="1:9" x14ac:dyDescent="0.45">
      <c r="A1245" t="s">
        <v>2553</v>
      </c>
      <c r="B1245" s="2">
        <v>45663</v>
      </c>
      <c r="C1245" t="s">
        <v>21</v>
      </c>
      <c r="D1245" t="s">
        <v>2554</v>
      </c>
      <c r="E1245" t="s">
        <v>7973</v>
      </c>
      <c r="F1245">
        <v>1</v>
      </c>
      <c r="G1245" t="s">
        <v>55</v>
      </c>
      <c r="H1245" t="s">
        <v>72</v>
      </c>
      <c r="I1245" t="s">
        <v>31</v>
      </c>
    </row>
    <row r="1246" spans="1:9" x14ac:dyDescent="0.45">
      <c r="A1246" t="s">
        <v>2555</v>
      </c>
      <c r="B1246" s="2">
        <v>45830</v>
      </c>
      <c r="C1246" t="s">
        <v>49</v>
      </c>
      <c r="D1246" t="s">
        <v>2556</v>
      </c>
      <c r="E1246" t="s">
        <v>42</v>
      </c>
      <c r="F1246">
        <v>10</v>
      </c>
      <c r="G1246" t="s">
        <v>68</v>
      </c>
      <c r="H1246" t="s">
        <v>25</v>
      </c>
      <c r="I1246" t="s">
        <v>31</v>
      </c>
    </row>
    <row r="1247" spans="1:9" x14ac:dyDescent="0.45">
      <c r="A1247" t="s">
        <v>2557</v>
      </c>
      <c r="B1247" s="2">
        <v>45857</v>
      </c>
      <c r="C1247" t="s">
        <v>16</v>
      </c>
      <c r="D1247" t="s">
        <v>2558</v>
      </c>
      <c r="E1247" t="s">
        <v>42</v>
      </c>
      <c r="F1247">
        <v>7</v>
      </c>
      <c r="G1247" t="s">
        <v>13</v>
      </c>
      <c r="H1247" t="s">
        <v>14</v>
      </c>
      <c r="I1247" t="s">
        <v>60</v>
      </c>
    </row>
    <row r="1248" spans="1:9" x14ac:dyDescent="0.45">
      <c r="A1248" t="s">
        <v>2559</v>
      </c>
      <c r="B1248" s="2">
        <v>45660</v>
      </c>
      <c r="C1248" t="s">
        <v>49</v>
      </c>
      <c r="D1248" t="s">
        <v>2560</v>
      </c>
      <c r="E1248" t="s">
        <v>23</v>
      </c>
      <c r="F1248">
        <v>11</v>
      </c>
      <c r="G1248" t="s">
        <v>68</v>
      </c>
      <c r="H1248" t="s">
        <v>25</v>
      </c>
      <c r="I1248" t="s">
        <v>19</v>
      </c>
    </row>
    <row r="1249" spans="1:9" x14ac:dyDescent="0.45">
      <c r="A1249" t="s">
        <v>2561</v>
      </c>
      <c r="B1249" s="2">
        <v>45872</v>
      </c>
      <c r="C1249" t="s">
        <v>49</v>
      </c>
      <c r="D1249" t="s">
        <v>2562</v>
      </c>
      <c r="E1249" t="s">
        <v>7974</v>
      </c>
      <c r="F1249">
        <v>5</v>
      </c>
      <c r="G1249" t="s">
        <v>18</v>
      </c>
      <c r="H1249" t="s">
        <v>14</v>
      </c>
      <c r="I1249" t="s">
        <v>39</v>
      </c>
    </row>
    <row r="1250" spans="1:9" x14ac:dyDescent="0.45">
      <c r="A1250" t="s">
        <v>2563</v>
      </c>
      <c r="B1250" s="2">
        <v>45799</v>
      </c>
      <c r="C1250" t="s">
        <v>16</v>
      </c>
      <c r="D1250" t="s">
        <v>2564</v>
      </c>
      <c r="E1250" t="s">
        <v>71</v>
      </c>
      <c r="F1250">
        <v>12</v>
      </c>
      <c r="G1250" t="s">
        <v>68</v>
      </c>
      <c r="H1250" t="s">
        <v>25</v>
      </c>
      <c r="I1250" t="s">
        <v>39</v>
      </c>
    </row>
    <row r="1251" spans="1:9" x14ac:dyDescent="0.45">
      <c r="A1251" t="s">
        <v>2565</v>
      </c>
      <c r="B1251" s="2">
        <v>45826</v>
      </c>
      <c r="C1251" t="s">
        <v>28</v>
      </c>
      <c r="D1251" t="s">
        <v>2566</v>
      </c>
      <c r="E1251" t="s">
        <v>54</v>
      </c>
      <c r="F1251">
        <v>10</v>
      </c>
      <c r="G1251" t="s">
        <v>59</v>
      </c>
      <c r="H1251" t="s">
        <v>14</v>
      </c>
      <c r="I1251" t="s">
        <v>47</v>
      </c>
    </row>
    <row r="1252" spans="1:9" x14ac:dyDescent="0.45">
      <c r="A1252" t="s">
        <v>2567</v>
      </c>
      <c r="B1252" s="2">
        <v>45730</v>
      </c>
      <c r="C1252" t="s">
        <v>10</v>
      </c>
      <c r="D1252" t="s">
        <v>2568</v>
      </c>
      <c r="E1252" t="s">
        <v>54</v>
      </c>
      <c r="F1252">
        <v>8</v>
      </c>
      <c r="G1252" t="s">
        <v>59</v>
      </c>
      <c r="H1252" t="s">
        <v>14</v>
      </c>
      <c r="I1252" t="s">
        <v>26</v>
      </c>
    </row>
    <row r="1253" spans="1:9" x14ac:dyDescent="0.45">
      <c r="A1253" t="s">
        <v>2569</v>
      </c>
      <c r="B1253" s="2">
        <v>45823</v>
      </c>
      <c r="C1253" t="s">
        <v>49</v>
      </c>
      <c r="D1253" t="s">
        <v>2570</v>
      </c>
      <c r="E1253" t="s">
        <v>42</v>
      </c>
      <c r="F1253">
        <v>7</v>
      </c>
      <c r="G1253" t="s">
        <v>18</v>
      </c>
      <c r="H1253" t="s">
        <v>14</v>
      </c>
      <c r="I1253" t="s">
        <v>47</v>
      </c>
    </row>
    <row r="1254" spans="1:9" x14ac:dyDescent="0.45">
      <c r="A1254" t="s">
        <v>2571</v>
      </c>
      <c r="B1254" s="2">
        <v>45740</v>
      </c>
      <c r="C1254" t="s">
        <v>10</v>
      </c>
      <c r="D1254" t="s">
        <v>2572</v>
      </c>
      <c r="E1254" t="s">
        <v>71</v>
      </c>
      <c r="F1254">
        <v>2</v>
      </c>
      <c r="G1254" t="s">
        <v>68</v>
      </c>
      <c r="H1254" t="s">
        <v>25</v>
      </c>
      <c r="I1254" t="s">
        <v>26</v>
      </c>
    </row>
    <row r="1255" spans="1:9" x14ac:dyDescent="0.45">
      <c r="A1255" t="s">
        <v>2573</v>
      </c>
      <c r="B1255" s="2">
        <v>45720</v>
      </c>
      <c r="C1255" t="s">
        <v>66</v>
      </c>
      <c r="D1255" t="s">
        <v>2574</v>
      </c>
      <c r="E1255" t="s">
        <v>54</v>
      </c>
      <c r="F1255">
        <v>10</v>
      </c>
      <c r="G1255" t="s">
        <v>35</v>
      </c>
      <c r="H1255" t="s">
        <v>25</v>
      </c>
      <c r="I1255" t="s">
        <v>39</v>
      </c>
    </row>
    <row r="1256" spans="1:9" x14ac:dyDescent="0.45">
      <c r="A1256" t="s">
        <v>2575</v>
      </c>
      <c r="B1256" s="2">
        <v>45803</v>
      </c>
      <c r="C1256" t="s">
        <v>52</v>
      </c>
      <c r="D1256" t="s">
        <v>2576</v>
      </c>
      <c r="E1256" t="s">
        <v>46</v>
      </c>
      <c r="F1256">
        <v>5</v>
      </c>
      <c r="G1256" t="s">
        <v>24</v>
      </c>
      <c r="H1256" t="s">
        <v>25</v>
      </c>
      <c r="I1256" t="s">
        <v>19</v>
      </c>
    </row>
    <row r="1257" spans="1:9" x14ac:dyDescent="0.45">
      <c r="A1257" t="s">
        <v>2577</v>
      </c>
      <c r="B1257" s="2">
        <v>45715</v>
      </c>
      <c r="C1257" t="s">
        <v>21</v>
      </c>
      <c r="D1257" t="s">
        <v>2578</v>
      </c>
      <c r="E1257" t="s">
        <v>23</v>
      </c>
      <c r="F1257">
        <v>10</v>
      </c>
      <c r="G1257" t="s">
        <v>35</v>
      </c>
      <c r="H1257" t="s">
        <v>25</v>
      </c>
      <c r="I1257" t="s">
        <v>26</v>
      </c>
    </row>
    <row r="1258" spans="1:9" x14ac:dyDescent="0.45">
      <c r="A1258" t="s">
        <v>2579</v>
      </c>
      <c r="B1258" s="2">
        <v>45673</v>
      </c>
      <c r="C1258" t="s">
        <v>16</v>
      </c>
      <c r="D1258" t="s">
        <v>2580</v>
      </c>
      <c r="E1258" t="s">
        <v>7974</v>
      </c>
      <c r="F1258">
        <v>9</v>
      </c>
      <c r="G1258" t="s">
        <v>35</v>
      </c>
      <c r="H1258" t="s">
        <v>25</v>
      </c>
      <c r="I1258" t="s">
        <v>31</v>
      </c>
    </row>
    <row r="1259" spans="1:9" x14ac:dyDescent="0.45">
      <c r="A1259" t="s">
        <v>2581</v>
      </c>
      <c r="B1259" s="2">
        <v>45687</v>
      </c>
      <c r="C1259" t="s">
        <v>99</v>
      </c>
      <c r="D1259" t="s">
        <v>2582</v>
      </c>
      <c r="E1259" t="s">
        <v>46</v>
      </c>
      <c r="F1259">
        <v>10</v>
      </c>
      <c r="G1259" t="s">
        <v>55</v>
      </c>
      <c r="H1259" t="s">
        <v>72</v>
      </c>
      <c r="I1259" t="s">
        <v>60</v>
      </c>
    </row>
    <row r="1260" spans="1:9" x14ac:dyDescent="0.45">
      <c r="A1260" t="s">
        <v>2583</v>
      </c>
      <c r="B1260" s="2">
        <v>45693</v>
      </c>
      <c r="C1260" t="s">
        <v>66</v>
      </c>
      <c r="D1260" t="s">
        <v>2584</v>
      </c>
      <c r="E1260" t="s">
        <v>58</v>
      </c>
      <c r="F1260">
        <v>6</v>
      </c>
      <c r="G1260" t="s">
        <v>35</v>
      </c>
      <c r="H1260" t="s">
        <v>25</v>
      </c>
      <c r="I1260" t="s">
        <v>31</v>
      </c>
    </row>
    <row r="1261" spans="1:9" x14ac:dyDescent="0.45">
      <c r="A1261" t="s">
        <v>2585</v>
      </c>
      <c r="B1261" s="2">
        <v>45811</v>
      </c>
      <c r="C1261" t="s">
        <v>28</v>
      </c>
      <c r="D1261" t="s">
        <v>2586</v>
      </c>
      <c r="E1261" t="s">
        <v>7973</v>
      </c>
      <c r="F1261">
        <v>2</v>
      </c>
      <c r="G1261" t="s">
        <v>18</v>
      </c>
      <c r="H1261" t="s">
        <v>14</v>
      </c>
      <c r="I1261" t="s">
        <v>19</v>
      </c>
    </row>
    <row r="1262" spans="1:9" x14ac:dyDescent="0.45">
      <c r="A1262" t="s">
        <v>2587</v>
      </c>
      <c r="B1262" s="2">
        <v>45698</v>
      </c>
      <c r="C1262" t="s">
        <v>99</v>
      </c>
      <c r="D1262" t="s">
        <v>2588</v>
      </c>
      <c r="E1262" t="s">
        <v>34</v>
      </c>
      <c r="F1262">
        <v>12</v>
      </c>
      <c r="G1262" t="s">
        <v>18</v>
      </c>
      <c r="H1262" t="s">
        <v>14</v>
      </c>
      <c r="I1262" t="s">
        <v>31</v>
      </c>
    </row>
    <row r="1263" spans="1:9" x14ac:dyDescent="0.45">
      <c r="A1263" t="s">
        <v>2589</v>
      </c>
      <c r="B1263" s="2">
        <v>45660</v>
      </c>
      <c r="C1263" t="s">
        <v>49</v>
      </c>
      <c r="D1263" t="s">
        <v>2590</v>
      </c>
      <c r="E1263" t="s">
        <v>34</v>
      </c>
      <c r="F1263">
        <v>9</v>
      </c>
      <c r="G1263" t="s">
        <v>43</v>
      </c>
      <c r="H1263" t="s">
        <v>14</v>
      </c>
      <c r="I1263" t="s">
        <v>26</v>
      </c>
    </row>
    <row r="1264" spans="1:9" x14ac:dyDescent="0.45">
      <c r="A1264" t="s">
        <v>2591</v>
      </c>
      <c r="B1264" s="2">
        <v>45888</v>
      </c>
      <c r="C1264" t="s">
        <v>66</v>
      </c>
      <c r="D1264" t="s">
        <v>2592</v>
      </c>
      <c r="E1264" t="s">
        <v>58</v>
      </c>
      <c r="F1264">
        <v>4</v>
      </c>
      <c r="G1264" t="s">
        <v>59</v>
      </c>
      <c r="H1264" t="s">
        <v>14</v>
      </c>
      <c r="I1264" t="s">
        <v>26</v>
      </c>
    </row>
    <row r="1265" spans="1:9" x14ac:dyDescent="0.45">
      <c r="A1265" t="s">
        <v>2593</v>
      </c>
      <c r="B1265" s="2">
        <v>45715</v>
      </c>
      <c r="C1265" t="s">
        <v>52</v>
      </c>
      <c r="D1265" t="s">
        <v>2594</v>
      </c>
      <c r="E1265" t="s">
        <v>42</v>
      </c>
      <c r="F1265">
        <v>8</v>
      </c>
      <c r="G1265" t="s">
        <v>24</v>
      </c>
      <c r="H1265" t="s">
        <v>25</v>
      </c>
      <c r="I1265" t="s">
        <v>7967</v>
      </c>
    </row>
    <row r="1266" spans="1:9" x14ac:dyDescent="0.45">
      <c r="A1266" t="s">
        <v>2595</v>
      </c>
      <c r="B1266" s="2">
        <v>45748</v>
      </c>
      <c r="C1266" t="s">
        <v>28</v>
      </c>
      <c r="D1266" t="s">
        <v>2596</v>
      </c>
      <c r="E1266" t="s">
        <v>7974</v>
      </c>
      <c r="F1266">
        <v>2</v>
      </c>
      <c r="G1266" t="s">
        <v>13</v>
      </c>
      <c r="H1266" t="s">
        <v>14</v>
      </c>
      <c r="I1266" t="s">
        <v>26</v>
      </c>
    </row>
    <row r="1267" spans="1:9" x14ac:dyDescent="0.45">
      <c r="A1267" t="s">
        <v>2597</v>
      </c>
      <c r="B1267" s="2">
        <v>45875</v>
      </c>
      <c r="C1267" t="s">
        <v>21</v>
      </c>
      <c r="D1267" t="s">
        <v>2598</v>
      </c>
      <c r="E1267" t="s">
        <v>75</v>
      </c>
      <c r="F1267">
        <v>5</v>
      </c>
      <c r="G1267" t="s">
        <v>18</v>
      </c>
      <c r="H1267" t="s">
        <v>14</v>
      </c>
      <c r="I1267" t="s">
        <v>19</v>
      </c>
    </row>
    <row r="1268" spans="1:9" x14ac:dyDescent="0.45">
      <c r="A1268" t="s">
        <v>2599</v>
      </c>
      <c r="B1268" s="2">
        <v>45854</v>
      </c>
      <c r="C1268" t="s">
        <v>52</v>
      </c>
      <c r="D1268" t="s">
        <v>2600</v>
      </c>
      <c r="E1268" t="s">
        <v>75</v>
      </c>
      <c r="F1268">
        <v>1</v>
      </c>
      <c r="G1268" t="s">
        <v>13</v>
      </c>
      <c r="H1268" t="s">
        <v>14</v>
      </c>
      <c r="I1268" t="s">
        <v>31</v>
      </c>
    </row>
    <row r="1269" spans="1:9" x14ac:dyDescent="0.45">
      <c r="A1269" t="s">
        <v>2601</v>
      </c>
      <c r="B1269" s="2">
        <v>45854</v>
      </c>
      <c r="C1269" t="s">
        <v>28</v>
      </c>
      <c r="D1269" t="s">
        <v>2602</v>
      </c>
      <c r="E1269" t="s">
        <v>7974</v>
      </c>
      <c r="F1269">
        <v>9</v>
      </c>
      <c r="G1269" t="s">
        <v>24</v>
      </c>
      <c r="H1269" t="s">
        <v>25</v>
      </c>
      <c r="I1269" t="s">
        <v>26</v>
      </c>
    </row>
    <row r="1270" spans="1:9" x14ac:dyDescent="0.45">
      <c r="A1270" t="s">
        <v>2603</v>
      </c>
      <c r="B1270" s="2">
        <v>45683</v>
      </c>
      <c r="C1270" t="s">
        <v>16</v>
      </c>
      <c r="D1270" t="s">
        <v>2604</v>
      </c>
      <c r="E1270" t="s">
        <v>54</v>
      </c>
      <c r="F1270">
        <v>10</v>
      </c>
      <c r="G1270" t="s">
        <v>13</v>
      </c>
      <c r="H1270" t="s">
        <v>14</v>
      </c>
      <c r="I1270" t="s">
        <v>31</v>
      </c>
    </row>
    <row r="1271" spans="1:9" x14ac:dyDescent="0.45">
      <c r="A1271" t="s">
        <v>2605</v>
      </c>
      <c r="B1271" s="2">
        <v>45827</v>
      </c>
      <c r="C1271" t="s">
        <v>28</v>
      </c>
      <c r="D1271" t="s">
        <v>2606</v>
      </c>
      <c r="E1271" t="s">
        <v>34</v>
      </c>
      <c r="F1271">
        <v>1</v>
      </c>
      <c r="G1271" t="s">
        <v>35</v>
      </c>
      <c r="H1271" t="s">
        <v>25</v>
      </c>
      <c r="I1271" t="s">
        <v>26</v>
      </c>
    </row>
    <row r="1272" spans="1:9" x14ac:dyDescent="0.45">
      <c r="A1272" t="s">
        <v>2607</v>
      </c>
      <c r="B1272" s="2">
        <v>45807</v>
      </c>
      <c r="C1272" t="s">
        <v>21</v>
      </c>
      <c r="D1272" t="s">
        <v>2608</v>
      </c>
      <c r="E1272" t="s">
        <v>38</v>
      </c>
      <c r="F1272">
        <v>3</v>
      </c>
      <c r="G1272" t="s">
        <v>24</v>
      </c>
      <c r="H1272" t="s">
        <v>25</v>
      </c>
      <c r="I1272" t="s">
        <v>19</v>
      </c>
    </row>
    <row r="1273" spans="1:9" x14ac:dyDescent="0.45">
      <c r="A1273" t="s">
        <v>2609</v>
      </c>
      <c r="B1273" s="2">
        <v>45833</v>
      </c>
      <c r="C1273" t="s">
        <v>52</v>
      </c>
      <c r="D1273" t="s">
        <v>2610</v>
      </c>
      <c r="E1273" t="s">
        <v>75</v>
      </c>
      <c r="F1273">
        <v>3</v>
      </c>
      <c r="G1273" t="s">
        <v>43</v>
      </c>
      <c r="H1273" t="s">
        <v>14</v>
      </c>
      <c r="I1273" t="s">
        <v>47</v>
      </c>
    </row>
    <row r="1274" spans="1:9" x14ac:dyDescent="0.45">
      <c r="A1274" t="s">
        <v>2611</v>
      </c>
      <c r="B1274" s="2">
        <v>45776</v>
      </c>
      <c r="C1274" t="s">
        <v>52</v>
      </c>
      <c r="D1274" t="s">
        <v>2612</v>
      </c>
      <c r="E1274" t="s">
        <v>38</v>
      </c>
      <c r="F1274">
        <v>4</v>
      </c>
      <c r="G1274" t="s">
        <v>13</v>
      </c>
      <c r="H1274" t="s">
        <v>14</v>
      </c>
      <c r="I1274" t="s">
        <v>47</v>
      </c>
    </row>
    <row r="1275" spans="1:9" x14ac:dyDescent="0.45">
      <c r="A1275" t="s">
        <v>2613</v>
      </c>
      <c r="B1275" s="2">
        <v>45832</v>
      </c>
      <c r="C1275" t="s">
        <v>10</v>
      </c>
      <c r="D1275" t="s">
        <v>2614</v>
      </c>
      <c r="E1275" t="s">
        <v>34</v>
      </c>
      <c r="F1275">
        <v>8</v>
      </c>
      <c r="G1275" t="s">
        <v>55</v>
      </c>
      <c r="H1275" t="s">
        <v>72</v>
      </c>
      <c r="I1275" t="s">
        <v>19</v>
      </c>
    </row>
    <row r="1276" spans="1:9" x14ac:dyDescent="0.45">
      <c r="A1276" t="s">
        <v>2615</v>
      </c>
      <c r="B1276" s="2">
        <v>45666</v>
      </c>
      <c r="C1276" t="s">
        <v>52</v>
      </c>
      <c r="D1276" t="s">
        <v>2616</v>
      </c>
      <c r="E1276" t="s">
        <v>30</v>
      </c>
      <c r="F1276">
        <v>10</v>
      </c>
      <c r="G1276" t="s">
        <v>43</v>
      </c>
      <c r="H1276" t="s">
        <v>14</v>
      </c>
      <c r="I1276" t="s">
        <v>31</v>
      </c>
    </row>
    <row r="1277" spans="1:9" x14ac:dyDescent="0.45">
      <c r="A1277" t="s">
        <v>2617</v>
      </c>
      <c r="B1277" s="2">
        <v>45822</v>
      </c>
      <c r="C1277" t="s">
        <v>66</v>
      </c>
      <c r="D1277" t="s">
        <v>2618</v>
      </c>
      <c r="E1277" t="s">
        <v>7973</v>
      </c>
      <c r="F1277">
        <v>1</v>
      </c>
      <c r="G1277" t="s">
        <v>55</v>
      </c>
      <c r="H1277" t="s">
        <v>72</v>
      </c>
      <c r="I1277" t="s">
        <v>26</v>
      </c>
    </row>
    <row r="1278" spans="1:9" x14ac:dyDescent="0.45">
      <c r="A1278" t="s">
        <v>2619</v>
      </c>
      <c r="B1278" s="2">
        <v>45681</v>
      </c>
      <c r="C1278" t="s">
        <v>52</v>
      </c>
      <c r="D1278" t="s">
        <v>2620</v>
      </c>
      <c r="E1278" t="s">
        <v>75</v>
      </c>
      <c r="F1278">
        <v>4</v>
      </c>
      <c r="G1278" t="s">
        <v>13</v>
      </c>
      <c r="H1278" t="s">
        <v>14</v>
      </c>
      <c r="I1278" t="s">
        <v>19</v>
      </c>
    </row>
    <row r="1279" spans="1:9" x14ac:dyDescent="0.45">
      <c r="A1279" t="s">
        <v>2621</v>
      </c>
      <c r="B1279" s="2">
        <v>45669</v>
      </c>
      <c r="C1279" t="s">
        <v>16</v>
      </c>
      <c r="D1279" t="s">
        <v>2622</v>
      </c>
      <c r="E1279" t="s">
        <v>23</v>
      </c>
      <c r="F1279">
        <v>8</v>
      </c>
      <c r="G1279" t="s">
        <v>7967</v>
      </c>
      <c r="H1279" t="s">
        <v>14</v>
      </c>
      <c r="I1279" t="s">
        <v>31</v>
      </c>
    </row>
    <row r="1280" spans="1:9" x14ac:dyDescent="0.45">
      <c r="A1280" t="s">
        <v>2623</v>
      </c>
      <c r="B1280" s="2">
        <v>45717</v>
      </c>
      <c r="C1280" t="s">
        <v>16</v>
      </c>
      <c r="D1280" t="s">
        <v>2624</v>
      </c>
      <c r="E1280" t="s">
        <v>30</v>
      </c>
      <c r="F1280">
        <v>10</v>
      </c>
      <c r="G1280" t="s">
        <v>35</v>
      </c>
      <c r="H1280" t="s">
        <v>25</v>
      </c>
      <c r="I1280" t="s">
        <v>26</v>
      </c>
    </row>
    <row r="1281" spans="1:9" x14ac:dyDescent="0.45">
      <c r="A1281" t="s">
        <v>2625</v>
      </c>
      <c r="B1281" s="2">
        <v>45687</v>
      </c>
      <c r="C1281" t="s">
        <v>28</v>
      </c>
      <c r="D1281" t="s">
        <v>2626</v>
      </c>
      <c r="E1281" t="s">
        <v>58</v>
      </c>
      <c r="F1281">
        <v>8</v>
      </c>
      <c r="G1281" t="s">
        <v>24</v>
      </c>
      <c r="H1281" t="s">
        <v>25</v>
      </c>
      <c r="I1281" t="s">
        <v>26</v>
      </c>
    </row>
    <row r="1282" spans="1:9" x14ac:dyDescent="0.45">
      <c r="A1282" t="s">
        <v>2627</v>
      </c>
      <c r="B1282" s="2">
        <v>45716</v>
      </c>
      <c r="C1282" t="s">
        <v>21</v>
      </c>
      <c r="D1282" t="s">
        <v>2628</v>
      </c>
      <c r="E1282" t="s">
        <v>46</v>
      </c>
      <c r="F1282">
        <v>12</v>
      </c>
      <c r="G1282" t="s">
        <v>55</v>
      </c>
      <c r="H1282" t="s">
        <v>72</v>
      </c>
      <c r="I1282" t="s">
        <v>19</v>
      </c>
    </row>
    <row r="1283" spans="1:9" x14ac:dyDescent="0.45">
      <c r="A1283" t="s">
        <v>2629</v>
      </c>
      <c r="B1283" s="2">
        <v>45791</v>
      </c>
      <c r="C1283" t="s">
        <v>10</v>
      </c>
      <c r="D1283" t="s">
        <v>2630</v>
      </c>
      <c r="E1283" t="s">
        <v>7974</v>
      </c>
      <c r="F1283">
        <v>1</v>
      </c>
      <c r="G1283" t="s">
        <v>24</v>
      </c>
      <c r="H1283" t="s">
        <v>25</v>
      </c>
      <c r="I1283" t="s">
        <v>39</v>
      </c>
    </row>
    <row r="1284" spans="1:9" x14ac:dyDescent="0.45">
      <c r="A1284" t="s">
        <v>2631</v>
      </c>
      <c r="B1284" s="2">
        <v>45769</v>
      </c>
      <c r="C1284" t="s">
        <v>10</v>
      </c>
      <c r="D1284" t="s">
        <v>2632</v>
      </c>
      <c r="E1284" t="s">
        <v>7974</v>
      </c>
      <c r="F1284">
        <v>6</v>
      </c>
      <c r="G1284" t="s">
        <v>18</v>
      </c>
      <c r="H1284" t="s">
        <v>14</v>
      </c>
      <c r="I1284" t="s">
        <v>47</v>
      </c>
    </row>
    <row r="1285" spans="1:9" x14ac:dyDescent="0.45">
      <c r="A1285" t="s">
        <v>2633</v>
      </c>
      <c r="B1285" s="2">
        <v>45779</v>
      </c>
      <c r="C1285" t="s">
        <v>52</v>
      </c>
      <c r="D1285" t="s">
        <v>2634</v>
      </c>
      <c r="E1285" t="s">
        <v>54</v>
      </c>
      <c r="F1285">
        <v>1</v>
      </c>
      <c r="G1285" t="s">
        <v>24</v>
      </c>
      <c r="H1285" t="s">
        <v>25</v>
      </c>
      <c r="I1285" t="s">
        <v>31</v>
      </c>
    </row>
    <row r="1286" spans="1:9" x14ac:dyDescent="0.45">
      <c r="A1286" t="s">
        <v>2635</v>
      </c>
      <c r="B1286" s="2">
        <v>45772</v>
      </c>
      <c r="C1286" t="s">
        <v>28</v>
      </c>
      <c r="D1286" t="s">
        <v>2636</v>
      </c>
      <c r="E1286" t="s">
        <v>30</v>
      </c>
      <c r="F1286">
        <v>8</v>
      </c>
      <c r="G1286" t="s">
        <v>68</v>
      </c>
      <c r="H1286" t="s">
        <v>25</v>
      </c>
      <c r="I1286" t="s">
        <v>31</v>
      </c>
    </row>
    <row r="1287" spans="1:9" x14ac:dyDescent="0.45">
      <c r="A1287" t="s">
        <v>2637</v>
      </c>
      <c r="B1287" s="2">
        <v>45731</v>
      </c>
      <c r="C1287" t="s">
        <v>10</v>
      </c>
      <c r="D1287" t="s">
        <v>2638</v>
      </c>
      <c r="E1287" t="s">
        <v>7967</v>
      </c>
      <c r="F1287">
        <v>3</v>
      </c>
      <c r="G1287" t="s">
        <v>35</v>
      </c>
      <c r="H1287" t="s">
        <v>25</v>
      </c>
      <c r="I1287" t="s">
        <v>39</v>
      </c>
    </row>
    <row r="1288" spans="1:9" x14ac:dyDescent="0.45">
      <c r="A1288" t="s">
        <v>2639</v>
      </c>
      <c r="B1288" s="2">
        <v>45688</v>
      </c>
      <c r="C1288" t="s">
        <v>21</v>
      </c>
      <c r="D1288" t="s">
        <v>2640</v>
      </c>
      <c r="E1288" t="s">
        <v>7973</v>
      </c>
      <c r="F1288">
        <v>4</v>
      </c>
      <c r="G1288" t="s">
        <v>35</v>
      </c>
      <c r="H1288" t="s">
        <v>25</v>
      </c>
      <c r="I1288" t="s">
        <v>60</v>
      </c>
    </row>
    <row r="1289" spans="1:9" x14ac:dyDescent="0.45">
      <c r="A1289" t="s">
        <v>2641</v>
      </c>
      <c r="B1289" s="2">
        <v>45716</v>
      </c>
      <c r="C1289" t="s">
        <v>99</v>
      </c>
      <c r="D1289" t="s">
        <v>2642</v>
      </c>
      <c r="E1289" t="s">
        <v>54</v>
      </c>
      <c r="F1289">
        <v>8</v>
      </c>
      <c r="G1289" t="s">
        <v>55</v>
      </c>
      <c r="H1289" t="s">
        <v>72</v>
      </c>
      <c r="I1289" t="s">
        <v>39</v>
      </c>
    </row>
    <row r="1290" spans="1:9" x14ac:dyDescent="0.45">
      <c r="A1290" t="s">
        <v>2643</v>
      </c>
      <c r="B1290" s="2">
        <v>45707</v>
      </c>
      <c r="C1290" t="s">
        <v>21</v>
      </c>
      <c r="D1290" t="s">
        <v>2644</v>
      </c>
      <c r="E1290" t="s">
        <v>23</v>
      </c>
      <c r="F1290">
        <v>1</v>
      </c>
      <c r="G1290" t="s">
        <v>43</v>
      </c>
      <c r="H1290" t="s">
        <v>14</v>
      </c>
      <c r="I1290" t="s">
        <v>39</v>
      </c>
    </row>
    <row r="1291" spans="1:9" x14ac:dyDescent="0.45">
      <c r="A1291" t="s">
        <v>2645</v>
      </c>
      <c r="B1291" s="2">
        <v>45868</v>
      </c>
      <c r="C1291" t="s">
        <v>10</v>
      </c>
      <c r="D1291" t="s">
        <v>2646</v>
      </c>
      <c r="E1291" t="s">
        <v>7967</v>
      </c>
      <c r="F1291">
        <v>7</v>
      </c>
      <c r="G1291" t="s">
        <v>68</v>
      </c>
      <c r="H1291" t="s">
        <v>25</v>
      </c>
      <c r="I1291" t="s">
        <v>31</v>
      </c>
    </row>
    <row r="1292" spans="1:9" x14ac:dyDescent="0.45">
      <c r="A1292" t="s">
        <v>2647</v>
      </c>
      <c r="B1292" s="2">
        <v>45701</v>
      </c>
      <c r="C1292" t="s">
        <v>16</v>
      </c>
      <c r="D1292" t="s">
        <v>2648</v>
      </c>
      <c r="E1292" t="s">
        <v>54</v>
      </c>
      <c r="F1292">
        <v>6</v>
      </c>
      <c r="G1292" t="s">
        <v>55</v>
      </c>
      <c r="H1292" t="s">
        <v>72</v>
      </c>
      <c r="I1292" t="s">
        <v>31</v>
      </c>
    </row>
    <row r="1293" spans="1:9" x14ac:dyDescent="0.45">
      <c r="A1293" t="s">
        <v>2649</v>
      </c>
      <c r="B1293" s="2">
        <v>45892</v>
      </c>
      <c r="C1293" t="s">
        <v>28</v>
      </c>
      <c r="D1293" t="s">
        <v>2650</v>
      </c>
      <c r="E1293" t="s">
        <v>54</v>
      </c>
      <c r="F1293">
        <v>12</v>
      </c>
      <c r="G1293" t="s">
        <v>18</v>
      </c>
      <c r="H1293" t="s">
        <v>14</v>
      </c>
      <c r="I1293" t="s">
        <v>60</v>
      </c>
    </row>
    <row r="1294" spans="1:9" x14ac:dyDescent="0.45">
      <c r="A1294" t="s">
        <v>2651</v>
      </c>
      <c r="B1294" s="2">
        <v>45685</v>
      </c>
      <c r="C1294" t="s">
        <v>21</v>
      </c>
      <c r="D1294" t="s">
        <v>2652</v>
      </c>
      <c r="E1294" t="s">
        <v>38</v>
      </c>
      <c r="F1294">
        <v>5</v>
      </c>
      <c r="G1294" t="s">
        <v>13</v>
      </c>
      <c r="H1294" t="s">
        <v>14</v>
      </c>
      <c r="I1294" t="s">
        <v>19</v>
      </c>
    </row>
    <row r="1295" spans="1:9" x14ac:dyDescent="0.45">
      <c r="A1295" t="s">
        <v>2653</v>
      </c>
      <c r="B1295" s="2">
        <v>45698</v>
      </c>
      <c r="C1295" t="s">
        <v>10</v>
      </c>
      <c r="D1295" t="s">
        <v>2654</v>
      </c>
      <c r="E1295" t="s">
        <v>54</v>
      </c>
      <c r="F1295">
        <v>8</v>
      </c>
      <c r="G1295" t="s">
        <v>43</v>
      </c>
      <c r="H1295" t="s">
        <v>14</v>
      </c>
      <c r="I1295" t="s">
        <v>60</v>
      </c>
    </row>
    <row r="1296" spans="1:9" x14ac:dyDescent="0.45">
      <c r="A1296" t="s">
        <v>2655</v>
      </c>
      <c r="B1296" s="2">
        <v>45883</v>
      </c>
      <c r="C1296" t="s">
        <v>52</v>
      </c>
      <c r="D1296" t="s">
        <v>2656</v>
      </c>
      <c r="E1296" t="s">
        <v>46</v>
      </c>
      <c r="F1296">
        <v>4</v>
      </c>
      <c r="G1296" t="s">
        <v>18</v>
      </c>
      <c r="H1296" t="s">
        <v>14</v>
      </c>
      <c r="I1296" t="s">
        <v>26</v>
      </c>
    </row>
    <row r="1297" spans="1:9" x14ac:dyDescent="0.45">
      <c r="A1297" t="s">
        <v>2657</v>
      </c>
      <c r="B1297" s="2">
        <v>45795</v>
      </c>
      <c r="C1297" t="s">
        <v>52</v>
      </c>
      <c r="D1297" t="s">
        <v>2658</v>
      </c>
      <c r="E1297" t="s">
        <v>58</v>
      </c>
      <c r="F1297">
        <v>8</v>
      </c>
      <c r="G1297" t="s">
        <v>55</v>
      </c>
      <c r="H1297" t="s">
        <v>72</v>
      </c>
      <c r="I1297" t="s">
        <v>60</v>
      </c>
    </row>
    <row r="1298" spans="1:9" x14ac:dyDescent="0.45">
      <c r="A1298" t="s">
        <v>2659</v>
      </c>
      <c r="B1298" s="2">
        <v>45886</v>
      </c>
      <c r="C1298" t="s">
        <v>28</v>
      </c>
      <c r="D1298" t="s">
        <v>2660</v>
      </c>
      <c r="E1298" t="s">
        <v>75</v>
      </c>
      <c r="F1298">
        <v>12</v>
      </c>
      <c r="G1298" t="s">
        <v>35</v>
      </c>
      <c r="H1298" t="s">
        <v>25</v>
      </c>
      <c r="I1298" t="s">
        <v>60</v>
      </c>
    </row>
    <row r="1299" spans="1:9" x14ac:dyDescent="0.45">
      <c r="A1299" t="s">
        <v>2661</v>
      </c>
      <c r="B1299" s="2">
        <v>45706</v>
      </c>
      <c r="C1299" t="s">
        <v>52</v>
      </c>
      <c r="D1299" t="s">
        <v>2662</v>
      </c>
      <c r="E1299" t="s">
        <v>7973</v>
      </c>
      <c r="F1299">
        <v>8</v>
      </c>
      <c r="G1299" t="s">
        <v>13</v>
      </c>
      <c r="H1299" t="s">
        <v>14</v>
      </c>
      <c r="I1299" t="s">
        <v>19</v>
      </c>
    </row>
    <row r="1300" spans="1:9" x14ac:dyDescent="0.45">
      <c r="A1300" t="s">
        <v>2663</v>
      </c>
      <c r="B1300" s="2">
        <v>45667</v>
      </c>
      <c r="C1300" t="s">
        <v>66</v>
      </c>
      <c r="D1300" t="s">
        <v>2664</v>
      </c>
      <c r="E1300" t="s">
        <v>7973</v>
      </c>
      <c r="F1300">
        <v>4</v>
      </c>
      <c r="G1300" t="s">
        <v>18</v>
      </c>
      <c r="H1300" t="s">
        <v>14</v>
      </c>
      <c r="I1300" t="s">
        <v>31</v>
      </c>
    </row>
    <row r="1301" spans="1:9" x14ac:dyDescent="0.45">
      <c r="A1301" t="s">
        <v>2665</v>
      </c>
      <c r="B1301" s="2">
        <v>45702</v>
      </c>
      <c r="C1301" t="s">
        <v>16</v>
      </c>
      <c r="D1301" t="s">
        <v>2666</v>
      </c>
      <c r="E1301" t="s">
        <v>30</v>
      </c>
      <c r="F1301">
        <v>3</v>
      </c>
      <c r="G1301" t="s">
        <v>24</v>
      </c>
      <c r="H1301" t="s">
        <v>25</v>
      </c>
      <c r="I1301" t="s">
        <v>31</v>
      </c>
    </row>
    <row r="1302" spans="1:9" x14ac:dyDescent="0.45">
      <c r="A1302" t="s">
        <v>2667</v>
      </c>
      <c r="B1302" s="2">
        <v>45660</v>
      </c>
      <c r="C1302" t="s">
        <v>52</v>
      </c>
      <c r="D1302" t="s">
        <v>2668</v>
      </c>
      <c r="E1302" t="s">
        <v>58</v>
      </c>
      <c r="F1302">
        <v>3</v>
      </c>
      <c r="G1302" t="s">
        <v>55</v>
      </c>
      <c r="H1302" t="s">
        <v>72</v>
      </c>
      <c r="I1302" t="s">
        <v>19</v>
      </c>
    </row>
    <row r="1303" spans="1:9" x14ac:dyDescent="0.45">
      <c r="A1303" t="s">
        <v>2669</v>
      </c>
      <c r="B1303" s="2">
        <v>45772</v>
      </c>
      <c r="C1303" t="s">
        <v>52</v>
      </c>
      <c r="D1303" t="s">
        <v>2670</v>
      </c>
      <c r="E1303" t="s">
        <v>46</v>
      </c>
      <c r="F1303">
        <v>8</v>
      </c>
      <c r="G1303" t="s">
        <v>35</v>
      </c>
      <c r="H1303" t="s">
        <v>25</v>
      </c>
      <c r="I1303" t="s">
        <v>19</v>
      </c>
    </row>
    <row r="1304" spans="1:9" x14ac:dyDescent="0.45">
      <c r="A1304" t="s">
        <v>2671</v>
      </c>
      <c r="B1304" s="2">
        <v>45894</v>
      </c>
      <c r="C1304" t="s">
        <v>49</v>
      </c>
      <c r="D1304" t="s">
        <v>2672</v>
      </c>
      <c r="E1304" t="s">
        <v>34</v>
      </c>
      <c r="F1304">
        <v>1</v>
      </c>
      <c r="G1304" t="s">
        <v>18</v>
      </c>
      <c r="H1304" t="s">
        <v>14</v>
      </c>
      <c r="I1304" t="s">
        <v>19</v>
      </c>
    </row>
    <row r="1305" spans="1:9" x14ac:dyDescent="0.45">
      <c r="A1305" t="s">
        <v>2673</v>
      </c>
      <c r="B1305" s="2">
        <v>45885</v>
      </c>
      <c r="C1305" t="s">
        <v>66</v>
      </c>
      <c r="D1305" t="s">
        <v>2674</v>
      </c>
      <c r="E1305" t="s">
        <v>71</v>
      </c>
      <c r="F1305">
        <v>5</v>
      </c>
      <c r="G1305" t="s">
        <v>35</v>
      </c>
      <c r="H1305" t="s">
        <v>25</v>
      </c>
      <c r="I1305" t="s">
        <v>19</v>
      </c>
    </row>
    <row r="1306" spans="1:9" x14ac:dyDescent="0.45">
      <c r="A1306" t="s">
        <v>2675</v>
      </c>
      <c r="B1306" s="2">
        <v>45800</v>
      </c>
      <c r="C1306" t="s">
        <v>52</v>
      </c>
      <c r="D1306" t="s">
        <v>2676</v>
      </c>
      <c r="E1306" t="s">
        <v>7974</v>
      </c>
      <c r="F1306">
        <v>7</v>
      </c>
      <c r="G1306" t="s">
        <v>59</v>
      </c>
      <c r="H1306" t="s">
        <v>14</v>
      </c>
      <c r="I1306" t="s">
        <v>26</v>
      </c>
    </row>
    <row r="1307" spans="1:9" x14ac:dyDescent="0.45">
      <c r="A1307" t="s">
        <v>2677</v>
      </c>
      <c r="B1307" s="2">
        <v>45776</v>
      </c>
      <c r="C1307" t="s">
        <v>16</v>
      </c>
      <c r="D1307" t="s">
        <v>2678</v>
      </c>
      <c r="E1307" t="s">
        <v>34</v>
      </c>
      <c r="F1307">
        <v>3</v>
      </c>
      <c r="G1307" t="s">
        <v>24</v>
      </c>
      <c r="H1307" t="s">
        <v>25</v>
      </c>
      <c r="I1307" t="s">
        <v>47</v>
      </c>
    </row>
    <row r="1308" spans="1:9" x14ac:dyDescent="0.45">
      <c r="A1308" t="s">
        <v>2679</v>
      </c>
      <c r="B1308" s="2">
        <v>45663</v>
      </c>
      <c r="C1308" t="s">
        <v>16</v>
      </c>
      <c r="D1308" t="s">
        <v>2680</v>
      </c>
      <c r="E1308" t="s">
        <v>58</v>
      </c>
      <c r="F1308">
        <v>8</v>
      </c>
      <c r="G1308" t="s">
        <v>35</v>
      </c>
      <c r="H1308" t="s">
        <v>25</v>
      </c>
      <c r="I1308" t="s">
        <v>60</v>
      </c>
    </row>
    <row r="1309" spans="1:9" x14ac:dyDescent="0.45">
      <c r="A1309" t="s">
        <v>2681</v>
      </c>
      <c r="B1309" s="2">
        <v>45720</v>
      </c>
      <c r="C1309" t="s">
        <v>10</v>
      </c>
      <c r="D1309" t="s">
        <v>2682</v>
      </c>
      <c r="E1309" t="s">
        <v>38</v>
      </c>
      <c r="F1309">
        <v>7</v>
      </c>
      <c r="G1309" t="s">
        <v>55</v>
      </c>
      <c r="H1309" t="s">
        <v>72</v>
      </c>
      <c r="I1309" t="s">
        <v>47</v>
      </c>
    </row>
    <row r="1310" spans="1:9" x14ac:dyDescent="0.45">
      <c r="A1310" t="s">
        <v>2683</v>
      </c>
      <c r="B1310" s="2">
        <v>45700</v>
      </c>
      <c r="C1310" t="s">
        <v>66</v>
      </c>
      <c r="D1310" t="s">
        <v>2684</v>
      </c>
      <c r="E1310" t="s">
        <v>34</v>
      </c>
      <c r="F1310">
        <v>2</v>
      </c>
      <c r="G1310" t="s">
        <v>55</v>
      </c>
      <c r="H1310" t="s">
        <v>72</v>
      </c>
      <c r="I1310" t="s">
        <v>47</v>
      </c>
    </row>
    <row r="1311" spans="1:9" x14ac:dyDescent="0.45">
      <c r="A1311" t="s">
        <v>2685</v>
      </c>
      <c r="B1311" s="2">
        <v>45789</v>
      </c>
      <c r="C1311" t="s">
        <v>66</v>
      </c>
      <c r="D1311" t="s">
        <v>2686</v>
      </c>
      <c r="E1311" t="s">
        <v>42</v>
      </c>
      <c r="F1311">
        <v>9</v>
      </c>
      <c r="G1311" t="s">
        <v>35</v>
      </c>
      <c r="H1311" t="s">
        <v>25</v>
      </c>
      <c r="I1311" t="s">
        <v>39</v>
      </c>
    </row>
    <row r="1312" spans="1:9" x14ac:dyDescent="0.45">
      <c r="A1312" t="s">
        <v>2687</v>
      </c>
      <c r="B1312" s="2">
        <v>45677</v>
      </c>
      <c r="C1312" t="s">
        <v>28</v>
      </c>
      <c r="D1312" t="s">
        <v>2688</v>
      </c>
      <c r="E1312" t="s">
        <v>7974</v>
      </c>
      <c r="F1312">
        <v>12</v>
      </c>
      <c r="G1312" t="s">
        <v>59</v>
      </c>
      <c r="H1312" t="s">
        <v>14</v>
      </c>
      <c r="I1312" t="s">
        <v>47</v>
      </c>
    </row>
    <row r="1313" spans="1:9" x14ac:dyDescent="0.45">
      <c r="A1313" t="s">
        <v>2689</v>
      </c>
      <c r="B1313" s="2">
        <v>45735</v>
      </c>
      <c r="C1313" t="s">
        <v>49</v>
      </c>
      <c r="D1313" t="s">
        <v>2690</v>
      </c>
      <c r="E1313" t="s">
        <v>30</v>
      </c>
      <c r="F1313">
        <v>3</v>
      </c>
      <c r="G1313" t="s">
        <v>55</v>
      </c>
      <c r="H1313" t="s">
        <v>72</v>
      </c>
      <c r="I1313" t="s">
        <v>31</v>
      </c>
    </row>
    <row r="1314" spans="1:9" x14ac:dyDescent="0.45">
      <c r="A1314" t="s">
        <v>2691</v>
      </c>
      <c r="B1314" s="2">
        <v>45755</v>
      </c>
      <c r="C1314" t="s">
        <v>28</v>
      </c>
      <c r="D1314" t="s">
        <v>2692</v>
      </c>
      <c r="E1314" t="s">
        <v>30</v>
      </c>
      <c r="F1314">
        <v>7</v>
      </c>
      <c r="G1314" t="s">
        <v>18</v>
      </c>
      <c r="H1314" t="s">
        <v>14</v>
      </c>
      <c r="I1314" t="s">
        <v>19</v>
      </c>
    </row>
    <row r="1315" spans="1:9" x14ac:dyDescent="0.45">
      <c r="A1315" t="s">
        <v>2693</v>
      </c>
      <c r="B1315" s="2">
        <v>45846</v>
      </c>
      <c r="C1315" t="s">
        <v>16</v>
      </c>
      <c r="D1315" t="s">
        <v>2694</v>
      </c>
      <c r="E1315" t="s">
        <v>54</v>
      </c>
      <c r="F1315">
        <v>3</v>
      </c>
      <c r="G1315" t="s">
        <v>13</v>
      </c>
      <c r="H1315" t="s">
        <v>14</v>
      </c>
      <c r="I1315" t="s">
        <v>39</v>
      </c>
    </row>
    <row r="1316" spans="1:9" x14ac:dyDescent="0.45">
      <c r="A1316" t="s">
        <v>2695</v>
      </c>
      <c r="B1316" s="2">
        <v>45658</v>
      </c>
      <c r="C1316" t="s">
        <v>49</v>
      </c>
      <c r="D1316" t="s">
        <v>2696</v>
      </c>
      <c r="E1316" t="s">
        <v>46</v>
      </c>
      <c r="F1316">
        <v>11</v>
      </c>
      <c r="G1316" t="s">
        <v>24</v>
      </c>
      <c r="H1316" t="s">
        <v>25</v>
      </c>
      <c r="I1316" t="s">
        <v>26</v>
      </c>
    </row>
    <row r="1317" spans="1:9" x14ac:dyDescent="0.45">
      <c r="A1317" t="s">
        <v>2697</v>
      </c>
      <c r="B1317" s="2">
        <v>45895</v>
      </c>
      <c r="C1317" t="s">
        <v>16</v>
      </c>
      <c r="D1317" t="s">
        <v>2698</v>
      </c>
      <c r="E1317" t="s">
        <v>42</v>
      </c>
      <c r="F1317">
        <v>11</v>
      </c>
      <c r="G1317" t="s">
        <v>35</v>
      </c>
      <c r="H1317" t="s">
        <v>25</v>
      </c>
      <c r="I1317" t="s">
        <v>19</v>
      </c>
    </row>
    <row r="1318" spans="1:9" x14ac:dyDescent="0.45">
      <c r="A1318" t="s">
        <v>2699</v>
      </c>
      <c r="B1318" s="2">
        <v>45725</v>
      </c>
      <c r="C1318" t="s">
        <v>16</v>
      </c>
      <c r="D1318" t="s">
        <v>2700</v>
      </c>
      <c r="E1318" t="s">
        <v>46</v>
      </c>
      <c r="F1318">
        <v>7</v>
      </c>
      <c r="G1318" t="s">
        <v>43</v>
      </c>
      <c r="H1318" t="s">
        <v>14</v>
      </c>
      <c r="I1318" t="s">
        <v>47</v>
      </c>
    </row>
    <row r="1319" spans="1:9" x14ac:dyDescent="0.45">
      <c r="A1319" t="s">
        <v>2701</v>
      </c>
      <c r="B1319" s="2">
        <v>45735</v>
      </c>
      <c r="C1319" t="s">
        <v>10</v>
      </c>
      <c r="D1319" t="s">
        <v>2702</v>
      </c>
      <c r="E1319" t="s">
        <v>30</v>
      </c>
      <c r="F1319">
        <v>11</v>
      </c>
      <c r="G1319" t="s">
        <v>13</v>
      </c>
      <c r="H1319" t="s">
        <v>14</v>
      </c>
      <c r="I1319" t="s">
        <v>39</v>
      </c>
    </row>
    <row r="1320" spans="1:9" x14ac:dyDescent="0.45">
      <c r="A1320" t="s">
        <v>2703</v>
      </c>
      <c r="B1320" s="2">
        <v>45736</v>
      </c>
      <c r="C1320" t="s">
        <v>28</v>
      </c>
      <c r="D1320" t="s">
        <v>2704</v>
      </c>
      <c r="E1320" t="s">
        <v>58</v>
      </c>
      <c r="F1320">
        <v>4</v>
      </c>
      <c r="G1320" t="s">
        <v>13</v>
      </c>
      <c r="H1320" t="s">
        <v>14</v>
      </c>
      <c r="I1320" t="s">
        <v>26</v>
      </c>
    </row>
    <row r="1321" spans="1:9" x14ac:dyDescent="0.45">
      <c r="A1321" t="s">
        <v>2705</v>
      </c>
      <c r="B1321" s="2">
        <v>45823</v>
      </c>
      <c r="C1321" t="s">
        <v>66</v>
      </c>
      <c r="D1321" t="s">
        <v>2706</v>
      </c>
      <c r="E1321" t="s">
        <v>71</v>
      </c>
      <c r="F1321">
        <v>1</v>
      </c>
      <c r="G1321" t="s">
        <v>68</v>
      </c>
      <c r="H1321" t="s">
        <v>25</v>
      </c>
      <c r="I1321" t="s">
        <v>39</v>
      </c>
    </row>
    <row r="1322" spans="1:9" x14ac:dyDescent="0.45">
      <c r="A1322" t="s">
        <v>2707</v>
      </c>
      <c r="B1322" s="2">
        <v>45717</v>
      </c>
      <c r="C1322" t="s">
        <v>16</v>
      </c>
      <c r="D1322" t="s">
        <v>2708</v>
      </c>
      <c r="E1322" t="s">
        <v>75</v>
      </c>
      <c r="F1322">
        <v>12</v>
      </c>
      <c r="G1322" t="s">
        <v>24</v>
      </c>
      <c r="H1322" t="s">
        <v>25</v>
      </c>
      <c r="I1322" t="s">
        <v>19</v>
      </c>
    </row>
    <row r="1323" spans="1:9" x14ac:dyDescent="0.45">
      <c r="A1323" t="s">
        <v>2709</v>
      </c>
      <c r="B1323" s="2">
        <v>45899</v>
      </c>
      <c r="C1323" t="s">
        <v>16</v>
      </c>
      <c r="D1323" t="s">
        <v>2710</v>
      </c>
      <c r="E1323" t="s">
        <v>7973</v>
      </c>
      <c r="F1323">
        <v>4</v>
      </c>
      <c r="G1323" t="s">
        <v>13</v>
      </c>
      <c r="H1323" t="s">
        <v>14</v>
      </c>
      <c r="I1323" t="s">
        <v>31</v>
      </c>
    </row>
    <row r="1324" spans="1:9" x14ac:dyDescent="0.45">
      <c r="A1324" t="s">
        <v>2711</v>
      </c>
      <c r="B1324" s="2">
        <v>45866</v>
      </c>
      <c r="C1324" t="s">
        <v>16</v>
      </c>
      <c r="D1324" t="s">
        <v>2712</v>
      </c>
      <c r="E1324" t="s">
        <v>75</v>
      </c>
      <c r="F1324">
        <v>9</v>
      </c>
      <c r="G1324" t="s">
        <v>59</v>
      </c>
      <c r="H1324" t="s">
        <v>14</v>
      </c>
      <c r="I1324" t="s">
        <v>39</v>
      </c>
    </row>
    <row r="1325" spans="1:9" x14ac:dyDescent="0.45">
      <c r="A1325" t="s">
        <v>2713</v>
      </c>
      <c r="B1325" s="2">
        <v>45707</v>
      </c>
      <c r="C1325" t="s">
        <v>49</v>
      </c>
      <c r="D1325" t="s">
        <v>2714</v>
      </c>
      <c r="E1325" t="s">
        <v>23</v>
      </c>
      <c r="F1325">
        <v>11</v>
      </c>
      <c r="G1325" t="s">
        <v>59</v>
      </c>
      <c r="H1325" t="s">
        <v>14</v>
      </c>
      <c r="I1325" t="s">
        <v>39</v>
      </c>
    </row>
    <row r="1326" spans="1:9" x14ac:dyDescent="0.45">
      <c r="A1326" t="s">
        <v>2715</v>
      </c>
      <c r="B1326" s="2">
        <v>45742</v>
      </c>
      <c r="C1326" t="s">
        <v>52</v>
      </c>
      <c r="D1326" t="s">
        <v>2716</v>
      </c>
      <c r="E1326" t="s">
        <v>42</v>
      </c>
      <c r="F1326">
        <v>10</v>
      </c>
      <c r="G1326" t="s">
        <v>68</v>
      </c>
      <c r="H1326" t="s">
        <v>25</v>
      </c>
      <c r="I1326" t="s">
        <v>60</v>
      </c>
    </row>
    <row r="1327" spans="1:9" x14ac:dyDescent="0.45">
      <c r="A1327" t="s">
        <v>2717</v>
      </c>
      <c r="B1327" s="2">
        <v>45664</v>
      </c>
      <c r="C1327" t="s">
        <v>52</v>
      </c>
      <c r="D1327" t="s">
        <v>2718</v>
      </c>
      <c r="E1327" t="s">
        <v>46</v>
      </c>
      <c r="F1327">
        <v>7</v>
      </c>
      <c r="G1327" t="s">
        <v>13</v>
      </c>
      <c r="H1327" t="s">
        <v>14</v>
      </c>
      <c r="I1327" t="s">
        <v>47</v>
      </c>
    </row>
    <row r="1328" spans="1:9" x14ac:dyDescent="0.45">
      <c r="A1328" t="s">
        <v>2719</v>
      </c>
      <c r="B1328" s="2">
        <v>45764</v>
      </c>
      <c r="C1328" t="s">
        <v>49</v>
      </c>
      <c r="D1328" t="s">
        <v>2720</v>
      </c>
      <c r="E1328" t="s">
        <v>58</v>
      </c>
      <c r="F1328">
        <v>5</v>
      </c>
      <c r="G1328" t="s">
        <v>59</v>
      </c>
      <c r="H1328" t="s">
        <v>14</v>
      </c>
      <c r="I1328" t="s">
        <v>31</v>
      </c>
    </row>
    <row r="1329" spans="1:9" x14ac:dyDescent="0.45">
      <c r="A1329" t="s">
        <v>2721</v>
      </c>
      <c r="B1329" s="2">
        <v>45806</v>
      </c>
      <c r="C1329" t="s">
        <v>16</v>
      </c>
      <c r="D1329" t="s">
        <v>2722</v>
      </c>
      <c r="E1329" t="s">
        <v>46</v>
      </c>
      <c r="F1329">
        <v>7</v>
      </c>
      <c r="G1329" t="s">
        <v>68</v>
      </c>
      <c r="H1329" t="s">
        <v>25</v>
      </c>
      <c r="I1329" t="s">
        <v>47</v>
      </c>
    </row>
    <row r="1330" spans="1:9" x14ac:dyDescent="0.45">
      <c r="A1330" t="s">
        <v>2723</v>
      </c>
      <c r="B1330" s="2">
        <v>45841</v>
      </c>
      <c r="C1330" t="s">
        <v>16</v>
      </c>
      <c r="D1330" t="s">
        <v>2724</v>
      </c>
      <c r="E1330" t="s">
        <v>34</v>
      </c>
      <c r="F1330">
        <v>9</v>
      </c>
      <c r="G1330" t="s">
        <v>55</v>
      </c>
      <c r="H1330" t="s">
        <v>72</v>
      </c>
      <c r="I1330" t="s">
        <v>26</v>
      </c>
    </row>
    <row r="1331" spans="1:9" x14ac:dyDescent="0.45">
      <c r="A1331" t="s">
        <v>2725</v>
      </c>
      <c r="B1331" s="2">
        <v>45830</v>
      </c>
      <c r="C1331" t="s">
        <v>99</v>
      </c>
      <c r="D1331" t="s">
        <v>2726</v>
      </c>
      <c r="E1331" t="s">
        <v>30</v>
      </c>
      <c r="F1331">
        <v>1</v>
      </c>
      <c r="G1331" t="s">
        <v>24</v>
      </c>
      <c r="H1331" t="s">
        <v>25</v>
      </c>
      <c r="I1331" t="s">
        <v>26</v>
      </c>
    </row>
    <row r="1332" spans="1:9" x14ac:dyDescent="0.45">
      <c r="A1332" t="s">
        <v>2727</v>
      </c>
      <c r="B1332" s="2">
        <v>45858</v>
      </c>
      <c r="C1332" t="s">
        <v>10</v>
      </c>
      <c r="D1332" t="s">
        <v>2728</v>
      </c>
      <c r="E1332" t="s">
        <v>46</v>
      </c>
      <c r="F1332">
        <v>8</v>
      </c>
      <c r="G1332" t="s">
        <v>18</v>
      </c>
      <c r="H1332" t="s">
        <v>14</v>
      </c>
      <c r="I1332" t="s">
        <v>47</v>
      </c>
    </row>
    <row r="1333" spans="1:9" x14ac:dyDescent="0.45">
      <c r="A1333" t="s">
        <v>2729</v>
      </c>
      <c r="B1333" s="2">
        <v>45902</v>
      </c>
      <c r="C1333" t="s">
        <v>21</v>
      </c>
      <c r="D1333" t="s">
        <v>2730</v>
      </c>
      <c r="E1333" t="s">
        <v>7973</v>
      </c>
      <c r="F1333">
        <v>2</v>
      </c>
      <c r="G1333" t="s">
        <v>18</v>
      </c>
      <c r="H1333" t="s">
        <v>14</v>
      </c>
      <c r="I1333" t="s">
        <v>31</v>
      </c>
    </row>
    <row r="1334" spans="1:9" x14ac:dyDescent="0.45">
      <c r="A1334" t="s">
        <v>2731</v>
      </c>
      <c r="B1334" s="2">
        <v>45692</v>
      </c>
      <c r="C1334" t="s">
        <v>16</v>
      </c>
      <c r="D1334" t="s">
        <v>2732</v>
      </c>
      <c r="E1334" t="s">
        <v>71</v>
      </c>
      <c r="F1334">
        <v>3</v>
      </c>
      <c r="G1334" t="s">
        <v>55</v>
      </c>
      <c r="H1334" t="s">
        <v>72</v>
      </c>
      <c r="I1334" t="s">
        <v>7967</v>
      </c>
    </row>
    <row r="1335" spans="1:9" x14ac:dyDescent="0.45">
      <c r="A1335" t="s">
        <v>2733</v>
      </c>
      <c r="B1335" s="2">
        <v>45868</v>
      </c>
      <c r="C1335" t="s">
        <v>16</v>
      </c>
      <c r="D1335" t="s">
        <v>2734</v>
      </c>
      <c r="E1335" t="s">
        <v>23</v>
      </c>
      <c r="F1335">
        <v>3</v>
      </c>
      <c r="G1335" t="s">
        <v>35</v>
      </c>
      <c r="H1335" t="s">
        <v>25</v>
      </c>
      <c r="I1335" t="s">
        <v>31</v>
      </c>
    </row>
    <row r="1336" spans="1:9" x14ac:dyDescent="0.45">
      <c r="A1336" t="s">
        <v>2735</v>
      </c>
      <c r="B1336" s="2">
        <v>45742</v>
      </c>
      <c r="C1336" t="s">
        <v>66</v>
      </c>
      <c r="D1336" t="s">
        <v>2736</v>
      </c>
      <c r="E1336" t="s">
        <v>34</v>
      </c>
      <c r="F1336">
        <v>7</v>
      </c>
      <c r="G1336" t="s">
        <v>18</v>
      </c>
      <c r="H1336" t="s">
        <v>14</v>
      </c>
      <c r="I1336" t="s">
        <v>31</v>
      </c>
    </row>
    <row r="1337" spans="1:9" x14ac:dyDescent="0.45">
      <c r="A1337" t="s">
        <v>2737</v>
      </c>
      <c r="B1337" s="2">
        <v>45886</v>
      </c>
      <c r="C1337" t="s">
        <v>52</v>
      </c>
      <c r="D1337" t="s">
        <v>2738</v>
      </c>
      <c r="E1337" t="s">
        <v>38</v>
      </c>
      <c r="F1337">
        <v>1</v>
      </c>
      <c r="G1337" t="s">
        <v>43</v>
      </c>
      <c r="H1337" t="s">
        <v>14</v>
      </c>
      <c r="I1337" t="s">
        <v>26</v>
      </c>
    </row>
    <row r="1338" spans="1:9" x14ac:dyDescent="0.45">
      <c r="A1338" t="s">
        <v>2739</v>
      </c>
      <c r="B1338" s="2">
        <v>45852</v>
      </c>
      <c r="C1338" t="s">
        <v>28</v>
      </c>
      <c r="D1338" t="s">
        <v>2740</v>
      </c>
      <c r="E1338" t="s">
        <v>42</v>
      </c>
      <c r="F1338">
        <v>12</v>
      </c>
      <c r="G1338" t="s">
        <v>18</v>
      </c>
      <c r="H1338" t="s">
        <v>14</v>
      </c>
      <c r="I1338" t="s">
        <v>47</v>
      </c>
    </row>
    <row r="1339" spans="1:9" x14ac:dyDescent="0.45">
      <c r="A1339" t="s">
        <v>2741</v>
      </c>
      <c r="B1339" s="2">
        <v>45870</v>
      </c>
      <c r="C1339" t="s">
        <v>16</v>
      </c>
      <c r="D1339" t="s">
        <v>2742</v>
      </c>
      <c r="E1339" t="s">
        <v>75</v>
      </c>
      <c r="F1339">
        <v>7</v>
      </c>
      <c r="G1339" t="s">
        <v>35</v>
      </c>
      <c r="H1339" t="s">
        <v>25</v>
      </c>
      <c r="I1339" t="s">
        <v>31</v>
      </c>
    </row>
    <row r="1340" spans="1:9" x14ac:dyDescent="0.45">
      <c r="A1340" t="s">
        <v>2743</v>
      </c>
      <c r="B1340" s="2">
        <v>45792</v>
      </c>
      <c r="C1340" t="s">
        <v>16</v>
      </c>
      <c r="D1340" t="s">
        <v>2744</v>
      </c>
      <c r="E1340" t="s">
        <v>71</v>
      </c>
      <c r="F1340">
        <v>11</v>
      </c>
      <c r="G1340" t="s">
        <v>59</v>
      </c>
      <c r="H1340" t="s">
        <v>14</v>
      </c>
      <c r="I1340" t="s">
        <v>60</v>
      </c>
    </row>
    <row r="1341" spans="1:9" x14ac:dyDescent="0.45">
      <c r="A1341" t="s">
        <v>2745</v>
      </c>
      <c r="B1341" s="2">
        <v>45771</v>
      </c>
      <c r="C1341" t="s">
        <v>99</v>
      </c>
      <c r="D1341" t="s">
        <v>2746</v>
      </c>
      <c r="E1341" t="s">
        <v>46</v>
      </c>
      <c r="F1341">
        <v>10</v>
      </c>
      <c r="G1341" t="s">
        <v>24</v>
      </c>
      <c r="H1341" t="s">
        <v>25</v>
      </c>
      <c r="I1341" t="s">
        <v>60</v>
      </c>
    </row>
    <row r="1342" spans="1:9" x14ac:dyDescent="0.45">
      <c r="A1342" t="s">
        <v>2747</v>
      </c>
      <c r="B1342" s="2">
        <v>45689</v>
      </c>
      <c r="C1342" t="s">
        <v>49</v>
      </c>
      <c r="D1342" t="s">
        <v>2748</v>
      </c>
      <c r="E1342" t="s">
        <v>7974</v>
      </c>
      <c r="F1342">
        <v>2</v>
      </c>
      <c r="G1342" t="s">
        <v>35</v>
      </c>
      <c r="H1342" t="s">
        <v>25</v>
      </c>
      <c r="I1342" t="s">
        <v>39</v>
      </c>
    </row>
    <row r="1343" spans="1:9" x14ac:dyDescent="0.45">
      <c r="A1343" t="s">
        <v>2749</v>
      </c>
      <c r="B1343" s="2">
        <v>45836</v>
      </c>
      <c r="C1343" t="s">
        <v>99</v>
      </c>
      <c r="D1343" t="s">
        <v>2750</v>
      </c>
      <c r="E1343" t="s">
        <v>23</v>
      </c>
      <c r="F1343">
        <v>9</v>
      </c>
      <c r="G1343" t="s">
        <v>55</v>
      </c>
      <c r="H1343" t="s">
        <v>72</v>
      </c>
      <c r="I1343" t="s">
        <v>26</v>
      </c>
    </row>
    <row r="1344" spans="1:9" x14ac:dyDescent="0.45">
      <c r="A1344" t="s">
        <v>2751</v>
      </c>
      <c r="B1344" s="2">
        <v>45838</v>
      </c>
      <c r="C1344" t="s">
        <v>21</v>
      </c>
      <c r="D1344" t="s">
        <v>2752</v>
      </c>
      <c r="E1344" t="s">
        <v>23</v>
      </c>
      <c r="F1344">
        <v>2</v>
      </c>
      <c r="G1344" t="s">
        <v>24</v>
      </c>
      <c r="H1344" t="s">
        <v>25</v>
      </c>
      <c r="I1344" t="s">
        <v>26</v>
      </c>
    </row>
    <row r="1345" spans="1:9" x14ac:dyDescent="0.45">
      <c r="A1345" t="s">
        <v>2753</v>
      </c>
      <c r="B1345" s="2">
        <v>45797</v>
      </c>
      <c r="C1345" t="s">
        <v>21</v>
      </c>
      <c r="D1345" t="s">
        <v>2754</v>
      </c>
      <c r="E1345" t="s">
        <v>71</v>
      </c>
      <c r="F1345">
        <v>7</v>
      </c>
      <c r="G1345" t="s">
        <v>18</v>
      </c>
      <c r="H1345" t="s">
        <v>14</v>
      </c>
      <c r="I1345" t="s">
        <v>19</v>
      </c>
    </row>
    <row r="1346" spans="1:9" x14ac:dyDescent="0.45">
      <c r="A1346" t="s">
        <v>2755</v>
      </c>
      <c r="B1346" s="2">
        <v>45750</v>
      </c>
      <c r="C1346" t="s">
        <v>10</v>
      </c>
      <c r="D1346" t="s">
        <v>2756</v>
      </c>
      <c r="E1346" t="s">
        <v>7974</v>
      </c>
      <c r="F1346">
        <v>7</v>
      </c>
      <c r="G1346" t="s">
        <v>68</v>
      </c>
      <c r="H1346" t="s">
        <v>25</v>
      </c>
      <c r="I1346" t="s">
        <v>19</v>
      </c>
    </row>
    <row r="1347" spans="1:9" x14ac:dyDescent="0.45">
      <c r="A1347" t="s">
        <v>2757</v>
      </c>
      <c r="B1347" s="2">
        <v>45732</v>
      </c>
      <c r="C1347" t="s">
        <v>16</v>
      </c>
      <c r="D1347" t="s">
        <v>2758</v>
      </c>
      <c r="E1347" t="s">
        <v>30</v>
      </c>
      <c r="F1347">
        <v>9</v>
      </c>
      <c r="G1347" t="s">
        <v>24</v>
      </c>
      <c r="H1347" t="s">
        <v>25</v>
      </c>
      <c r="I1347" t="s">
        <v>60</v>
      </c>
    </row>
    <row r="1348" spans="1:9" x14ac:dyDescent="0.45">
      <c r="A1348" t="s">
        <v>2759</v>
      </c>
      <c r="B1348" s="2">
        <v>45867</v>
      </c>
      <c r="C1348" t="s">
        <v>21</v>
      </c>
      <c r="D1348" t="s">
        <v>2760</v>
      </c>
      <c r="E1348" t="s">
        <v>58</v>
      </c>
      <c r="F1348">
        <v>3</v>
      </c>
      <c r="G1348" t="s">
        <v>35</v>
      </c>
      <c r="H1348" t="s">
        <v>25</v>
      </c>
      <c r="I1348" t="s">
        <v>47</v>
      </c>
    </row>
    <row r="1349" spans="1:9" x14ac:dyDescent="0.45">
      <c r="A1349" t="s">
        <v>2761</v>
      </c>
      <c r="B1349" s="2">
        <v>45837</v>
      </c>
      <c r="C1349" t="s">
        <v>99</v>
      </c>
      <c r="D1349" t="s">
        <v>2762</v>
      </c>
      <c r="E1349" t="s">
        <v>46</v>
      </c>
      <c r="F1349">
        <v>12</v>
      </c>
      <c r="G1349" t="s">
        <v>59</v>
      </c>
      <c r="H1349" t="s">
        <v>14</v>
      </c>
      <c r="I1349" t="s">
        <v>60</v>
      </c>
    </row>
    <row r="1350" spans="1:9" x14ac:dyDescent="0.45">
      <c r="A1350" t="s">
        <v>2763</v>
      </c>
      <c r="B1350" s="2">
        <v>45792</v>
      </c>
      <c r="C1350" t="s">
        <v>66</v>
      </c>
      <c r="D1350" t="s">
        <v>2764</v>
      </c>
      <c r="E1350" t="s">
        <v>75</v>
      </c>
      <c r="F1350">
        <v>12</v>
      </c>
      <c r="G1350" t="s">
        <v>24</v>
      </c>
      <c r="H1350" t="s">
        <v>25</v>
      </c>
      <c r="I1350" t="s">
        <v>26</v>
      </c>
    </row>
    <row r="1351" spans="1:9" x14ac:dyDescent="0.45">
      <c r="A1351" t="s">
        <v>2765</v>
      </c>
      <c r="B1351" s="2">
        <v>45890</v>
      </c>
      <c r="C1351" t="s">
        <v>99</v>
      </c>
      <c r="D1351" t="s">
        <v>2766</v>
      </c>
      <c r="E1351" t="s">
        <v>58</v>
      </c>
      <c r="F1351">
        <v>1</v>
      </c>
      <c r="G1351" t="s">
        <v>13</v>
      </c>
      <c r="H1351" t="s">
        <v>14</v>
      </c>
      <c r="I1351" t="s">
        <v>19</v>
      </c>
    </row>
    <row r="1352" spans="1:9" x14ac:dyDescent="0.45">
      <c r="A1352" t="s">
        <v>2767</v>
      </c>
      <c r="B1352" s="2">
        <v>45813</v>
      </c>
      <c r="C1352" t="s">
        <v>28</v>
      </c>
      <c r="D1352" t="s">
        <v>2768</v>
      </c>
      <c r="E1352" t="s">
        <v>58</v>
      </c>
      <c r="F1352">
        <v>2</v>
      </c>
      <c r="G1352" t="s">
        <v>18</v>
      </c>
      <c r="H1352" t="s">
        <v>14</v>
      </c>
      <c r="I1352" t="s">
        <v>60</v>
      </c>
    </row>
    <row r="1353" spans="1:9" x14ac:dyDescent="0.45">
      <c r="A1353" t="s">
        <v>2769</v>
      </c>
      <c r="B1353" s="2">
        <v>45736</v>
      </c>
      <c r="C1353" t="s">
        <v>66</v>
      </c>
      <c r="D1353" t="s">
        <v>2770</v>
      </c>
      <c r="E1353" t="s">
        <v>7973</v>
      </c>
      <c r="F1353">
        <v>2</v>
      </c>
      <c r="G1353" t="s">
        <v>13</v>
      </c>
      <c r="H1353" t="s">
        <v>14</v>
      </c>
      <c r="I1353" t="s">
        <v>60</v>
      </c>
    </row>
    <row r="1354" spans="1:9" x14ac:dyDescent="0.45">
      <c r="A1354" t="s">
        <v>2771</v>
      </c>
      <c r="B1354" s="2">
        <v>45788</v>
      </c>
      <c r="C1354" t="s">
        <v>21</v>
      </c>
      <c r="D1354" t="s">
        <v>2772</v>
      </c>
      <c r="E1354" t="s">
        <v>54</v>
      </c>
      <c r="F1354">
        <v>2</v>
      </c>
      <c r="G1354" t="s">
        <v>59</v>
      </c>
      <c r="H1354" t="s">
        <v>14</v>
      </c>
      <c r="I1354" t="s">
        <v>19</v>
      </c>
    </row>
    <row r="1355" spans="1:9" x14ac:dyDescent="0.45">
      <c r="A1355" t="s">
        <v>2773</v>
      </c>
      <c r="B1355" s="2">
        <v>45808</v>
      </c>
      <c r="C1355" t="s">
        <v>28</v>
      </c>
      <c r="D1355" t="s">
        <v>2774</v>
      </c>
      <c r="E1355" t="s">
        <v>71</v>
      </c>
      <c r="F1355">
        <v>10</v>
      </c>
      <c r="G1355" t="s">
        <v>55</v>
      </c>
      <c r="H1355" t="s">
        <v>72</v>
      </c>
      <c r="I1355" t="s">
        <v>60</v>
      </c>
    </row>
    <row r="1356" spans="1:9" x14ac:dyDescent="0.45">
      <c r="A1356" t="s">
        <v>2775</v>
      </c>
      <c r="B1356" s="2">
        <v>45684</v>
      </c>
      <c r="C1356" t="s">
        <v>52</v>
      </c>
      <c r="D1356" t="s">
        <v>2776</v>
      </c>
      <c r="E1356" t="s">
        <v>42</v>
      </c>
      <c r="F1356">
        <v>8</v>
      </c>
      <c r="G1356" t="s">
        <v>13</v>
      </c>
      <c r="H1356" t="s">
        <v>14</v>
      </c>
      <c r="I1356" t="s">
        <v>19</v>
      </c>
    </row>
    <row r="1357" spans="1:9" x14ac:dyDescent="0.45">
      <c r="A1357" t="s">
        <v>2777</v>
      </c>
      <c r="B1357" s="2">
        <v>45681</v>
      </c>
      <c r="C1357" t="s">
        <v>28</v>
      </c>
      <c r="D1357" t="s">
        <v>2778</v>
      </c>
      <c r="E1357" t="s">
        <v>7974</v>
      </c>
      <c r="F1357">
        <v>7</v>
      </c>
      <c r="G1357" t="s">
        <v>55</v>
      </c>
      <c r="H1357" t="s">
        <v>72</v>
      </c>
      <c r="I1357" t="s">
        <v>60</v>
      </c>
    </row>
    <row r="1358" spans="1:9" x14ac:dyDescent="0.45">
      <c r="A1358" t="s">
        <v>2779</v>
      </c>
      <c r="B1358" s="2">
        <v>45778</v>
      </c>
      <c r="C1358" t="s">
        <v>52</v>
      </c>
      <c r="D1358" t="s">
        <v>2780</v>
      </c>
      <c r="E1358" t="s">
        <v>54</v>
      </c>
      <c r="F1358">
        <v>1</v>
      </c>
      <c r="G1358" t="s">
        <v>18</v>
      </c>
      <c r="H1358" t="s">
        <v>14</v>
      </c>
      <c r="I1358" t="s">
        <v>39</v>
      </c>
    </row>
    <row r="1359" spans="1:9" x14ac:dyDescent="0.45">
      <c r="A1359" t="s">
        <v>2781</v>
      </c>
      <c r="B1359" s="2">
        <v>45882</v>
      </c>
      <c r="C1359" t="s">
        <v>28</v>
      </c>
      <c r="D1359" t="s">
        <v>2782</v>
      </c>
      <c r="E1359" t="s">
        <v>30</v>
      </c>
      <c r="F1359">
        <v>9</v>
      </c>
      <c r="G1359" t="s">
        <v>18</v>
      </c>
      <c r="H1359" t="s">
        <v>14</v>
      </c>
      <c r="I1359" t="s">
        <v>47</v>
      </c>
    </row>
    <row r="1360" spans="1:9" x14ac:dyDescent="0.45">
      <c r="A1360" t="s">
        <v>2783</v>
      </c>
      <c r="B1360" s="2">
        <v>45674</v>
      </c>
      <c r="C1360" t="s">
        <v>52</v>
      </c>
      <c r="D1360" t="s">
        <v>2784</v>
      </c>
      <c r="E1360" t="s">
        <v>7974</v>
      </c>
      <c r="F1360">
        <v>4</v>
      </c>
      <c r="G1360" t="s">
        <v>24</v>
      </c>
      <c r="H1360" t="s">
        <v>25</v>
      </c>
      <c r="I1360" t="s">
        <v>47</v>
      </c>
    </row>
    <row r="1361" spans="1:9" x14ac:dyDescent="0.45">
      <c r="A1361" t="s">
        <v>2785</v>
      </c>
      <c r="B1361" s="2">
        <v>45815</v>
      </c>
      <c r="C1361" t="s">
        <v>49</v>
      </c>
      <c r="D1361" t="s">
        <v>2786</v>
      </c>
      <c r="E1361" t="s">
        <v>58</v>
      </c>
      <c r="F1361">
        <v>9</v>
      </c>
      <c r="G1361" t="s">
        <v>13</v>
      </c>
      <c r="H1361" t="s">
        <v>14</v>
      </c>
      <c r="I1361" t="s">
        <v>26</v>
      </c>
    </row>
    <row r="1362" spans="1:9" x14ac:dyDescent="0.45">
      <c r="A1362" t="s">
        <v>2787</v>
      </c>
      <c r="B1362" s="2">
        <v>45868</v>
      </c>
      <c r="C1362" t="s">
        <v>21</v>
      </c>
      <c r="D1362" t="s">
        <v>2788</v>
      </c>
      <c r="E1362" t="s">
        <v>7974</v>
      </c>
      <c r="F1362">
        <v>10</v>
      </c>
      <c r="G1362" t="s">
        <v>59</v>
      </c>
      <c r="H1362" t="s">
        <v>14</v>
      </c>
      <c r="I1362" t="s">
        <v>19</v>
      </c>
    </row>
    <row r="1363" spans="1:9" x14ac:dyDescent="0.45">
      <c r="A1363" t="s">
        <v>2789</v>
      </c>
      <c r="B1363" s="2">
        <v>45833</v>
      </c>
      <c r="C1363" t="s">
        <v>52</v>
      </c>
      <c r="D1363" t="s">
        <v>2790</v>
      </c>
      <c r="E1363" t="s">
        <v>23</v>
      </c>
      <c r="F1363">
        <v>6</v>
      </c>
      <c r="G1363" t="s">
        <v>24</v>
      </c>
      <c r="H1363" t="s">
        <v>25</v>
      </c>
      <c r="I1363" t="s">
        <v>26</v>
      </c>
    </row>
    <row r="1364" spans="1:9" x14ac:dyDescent="0.45">
      <c r="A1364" t="s">
        <v>2791</v>
      </c>
      <c r="B1364" s="2">
        <v>45760</v>
      </c>
      <c r="C1364" t="s">
        <v>16</v>
      </c>
      <c r="D1364" t="s">
        <v>2792</v>
      </c>
      <c r="E1364" t="s">
        <v>42</v>
      </c>
      <c r="F1364">
        <v>5</v>
      </c>
      <c r="G1364" t="s">
        <v>43</v>
      </c>
      <c r="H1364" t="s">
        <v>14</v>
      </c>
      <c r="I1364" t="s">
        <v>60</v>
      </c>
    </row>
    <row r="1365" spans="1:9" x14ac:dyDescent="0.45">
      <c r="A1365" t="s">
        <v>2793</v>
      </c>
      <c r="B1365" s="2">
        <v>45782</v>
      </c>
      <c r="C1365" t="s">
        <v>10</v>
      </c>
      <c r="D1365" t="s">
        <v>2794</v>
      </c>
      <c r="E1365" t="s">
        <v>42</v>
      </c>
      <c r="F1365">
        <v>1</v>
      </c>
      <c r="G1365" t="s">
        <v>59</v>
      </c>
      <c r="H1365" t="s">
        <v>14</v>
      </c>
      <c r="I1365" t="s">
        <v>39</v>
      </c>
    </row>
    <row r="1366" spans="1:9" x14ac:dyDescent="0.45">
      <c r="A1366" t="s">
        <v>2795</v>
      </c>
      <c r="B1366" s="2">
        <v>45688</v>
      </c>
      <c r="C1366" t="s">
        <v>99</v>
      </c>
      <c r="D1366" t="s">
        <v>2796</v>
      </c>
      <c r="E1366" t="s">
        <v>54</v>
      </c>
      <c r="F1366">
        <v>4</v>
      </c>
      <c r="G1366" t="s">
        <v>13</v>
      </c>
      <c r="H1366" t="s">
        <v>14</v>
      </c>
      <c r="I1366" t="s">
        <v>26</v>
      </c>
    </row>
    <row r="1367" spans="1:9" x14ac:dyDescent="0.45">
      <c r="A1367" t="s">
        <v>2797</v>
      </c>
      <c r="B1367" s="2">
        <v>45743</v>
      </c>
      <c r="C1367" t="s">
        <v>28</v>
      </c>
      <c r="D1367" t="s">
        <v>2798</v>
      </c>
      <c r="E1367" t="s">
        <v>38</v>
      </c>
      <c r="F1367">
        <v>6</v>
      </c>
      <c r="G1367" t="s">
        <v>13</v>
      </c>
      <c r="H1367" t="s">
        <v>14</v>
      </c>
      <c r="I1367" t="s">
        <v>19</v>
      </c>
    </row>
    <row r="1368" spans="1:9" x14ac:dyDescent="0.45">
      <c r="A1368" t="s">
        <v>2799</v>
      </c>
      <c r="B1368" s="2">
        <v>45763</v>
      </c>
      <c r="C1368" t="s">
        <v>28</v>
      </c>
      <c r="D1368" t="s">
        <v>2800</v>
      </c>
      <c r="E1368" t="s">
        <v>34</v>
      </c>
      <c r="F1368">
        <v>12</v>
      </c>
      <c r="G1368" t="s">
        <v>24</v>
      </c>
      <c r="H1368" t="s">
        <v>25</v>
      </c>
      <c r="I1368" t="s">
        <v>31</v>
      </c>
    </row>
    <row r="1369" spans="1:9" x14ac:dyDescent="0.45">
      <c r="A1369" t="s">
        <v>2801</v>
      </c>
      <c r="B1369" s="2">
        <v>45726</v>
      </c>
      <c r="C1369" t="s">
        <v>99</v>
      </c>
      <c r="D1369" t="s">
        <v>2802</v>
      </c>
      <c r="E1369" t="s">
        <v>46</v>
      </c>
      <c r="F1369">
        <v>4</v>
      </c>
      <c r="G1369" t="s">
        <v>24</v>
      </c>
      <c r="H1369" t="s">
        <v>25</v>
      </c>
      <c r="I1369" t="s">
        <v>26</v>
      </c>
    </row>
    <row r="1370" spans="1:9" x14ac:dyDescent="0.45">
      <c r="A1370" t="s">
        <v>2803</v>
      </c>
      <c r="B1370" s="2">
        <v>45886</v>
      </c>
      <c r="C1370" t="s">
        <v>16</v>
      </c>
      <c r="D1370" t="s">
        <v>2804</v>
      </c>
      <c r="E1370" t="s">
        <v>42</v>
      </c>
      <c r="F1370">
        <v>3</v>
      </c>
      <c r="G1370" t="s">
        <v>13</v>
      </c>
      <c r="H1370" t="s">
        <v>14</v>
      </c>
      <c r="I1370" t="s">
        <v>19</v>
      </c>
    </row>
    <row r="1371" spans="1:9" x14ac:dyDescent="0.45">
      <c r="A1371" t="s">
        <v>2805</v>
      </c>
      <c r="B1371" s="2">
        <v>45761</v>
      </c>
      <c r="C1371" t="s">
        <v>49</v>
      </c>
      <c r="D1371" t="s">
        <v>2806</v>
      </c>
      <c r="E1371" t="s">
        <v>34</v>
      </c>
      <c r="F1371">
        <v>11</v>
      </c>
      <c r="G1371" t="s">
        <v>24</v>
      </c>
      <c r="H1371" t="s">
        <v>25</v>
      </c>
      <c r="I1371" t="s">
        <v>47</v>
      </c>
    </row>
    <row r="1372" spans="1:9" x14ac:dyDescent="0.45">
      <c r="A1372" t="s">
        <v>2807</v>
      </c>
      <c r="B1372" s="2">
        <v>45677</v>
      </c>
      <c r="C1372" t="s">
        <v>49</v>
      </c>
      <c r="D1372" t="s">
        <v>2808</v>
      </c>
      <c r="E1372" t="s">
        <v>42</v>
      </c>
      <c r="F1372">
        <v>9</v>
      </c>
      <c r="G1372" t="s">
        <v>7967</v>
      </c>
      <c r="H1372" t="s">
        <v>14</v>
      </c>
      <c r="I1372" t="s">
        <v>47</v>
      </c>
    </row>
    <row r="1373" spans="1:9" x14ac:dyDescent="0.45">
      <c r="A1373" t="s">
        <v>2809</v>
      </c>
      <c r="B1373" s="2">
        <v>45884</v>
      </c>
      <c r="C1373" t="s">
        <v>10</v>
      </c>
      <c r="D1373" t="s">
        <v>2810</v>
      </c>
      <c r="E1373" t="s">
        <v>23</v>
      </c>
      <c r="F1373">
        <v>6</v>
      </c>
      <c r="G1373" t="s">
        <v>59</v>
      </c>
      <c r="H1373" t="s">
        <v>14</v>
      </c>
      <c r="I1373" t="s">
        <v>31</v>
      </c>
    </row>
    <row r="1374" spans="1:9" x14ac:dyDescent="0.45">
      <c r="A1374" t="s">
        <v>2811</v>
      </c>
      <c r="B1374" s="2">
        <v>45718</v>
      </c>
      <c r="C1374" t="s">
        <v>16</v>
      </c>
      <c r="D1374" t="s">
        <v>2812</v>
      </c>
      <c r="E1374" t="s">
        <v>38</v>
      </c>
      <c r="F1374">
        <v>7</v>
      </c>
      <c r="G1374" t="s">
        <v>68</v>
      </c>
      <c r="H1374" t="s">
        <v>25</v>
      </c>
      <c r="I1374" t="s">
        <v>31</v>
      </c>
    </row>
    <row r="1375" spans="1:9" x14ac:dyDescent="0.45">
      <c r="A1375" t="s">
        <v>2813</v>
      </c>
      <c r="B1375" s="2">
        <v>45781</v>
      </c>
      <c r="C1375" t="s">
        <v>52</v>
      </c>
      <c r="D1375" t="s">
        <v>2814</v>
      </c>
      <c r="E1375" t="s">
        <v>34</v>
      </c>
      <c r="F1375">
        <v>7</v>
      </c>
      <c r="G1375" t="s">
        <v>43</v>
      </c>
      <c r="H1375" t="s">
        <v>14</v>
      </c>
      <c r="I1375" t="s">
        <v>39</v>
      </c>
    </row>
    <row r="1376" spans="1:9" x14ac:dyDescent="0.45">
      <c r="A1376" t="s">
        <v>2815</v>
      </c>
      <c r="B1376" s="2">
        <v>45754</v>
      </c>
      <c r="C1376" t="s">
        <v>16</v>
      </c>
      <c r="D1376" t="s">
        <v>2816</v>
      </c>
      <c r="E1376" t="s">
        <v>30</v>
      </c>
      <c r="F1376">
        <v>11</v>
      </c>
      <c r="G1376" t="s">
        <v>24</v>
      </c>
      <c r="H1376" t="s">
        <v>25</v>
      </c>
      <c r="I1376" t="s">
        <v>39</v>
      </c>
    </row>
    <row r="1377" spans="1:9" x14ac:dyDescent="0.45">
      <c r="A1377" t="s">
        <v>2817</v>
      </c>
      <c r="B1377" s="2">
        <v>45747</v>
      </c>
      <c r="C1377" t="s">
        <v>28</v>
      </c>
      <c r="D1377" t="s">
        <v>2818</v>
      </c>
      <c r="E1377" t="s">
        <v>30</v>
      </c>
      <c r="F1377">
        <v>11</v>
      </c>
      <c r="G1377" t="s">
        <v>24</v>
      </c>
      <c r="H1377" t="s">
        <v>25</v>
      </c>
      <c r="I1377" t="s">
        <v>39</v>
      </c>
    </row>
    <row r="1378" spans="1:9" x14ac:dyDescent="0.45">
      <c r="A1378" t="s">
        <v>2819</v>
      </c>
      <c r="B1378" s="2">
        <v>45835</v>
      </c>
      <c r="C1378" t="s">
        <v>49</v>
      </c>
      <c r="D1378" t="s">
        <v>2820</v>
      </c>
      <c r="E1378" t="s">
        <v>23</v>
      </c>
      <c r="F1378">
        <v>7</v>
      </c>
      <c r="G1378" t="s">
        <v>35</v>
      </c>
      <c r="H1378" t="s">
        <v>25</v>
      </c>
      <c r="I1378" t="s">
        <v>26</v>
      </c>
    </row>
    <row r="1379" spans="1:9" x14ac:dyDescent="0.45">
      <c r="A1379" t="s">
        <v>2821</v>
      </c>
      <c r="B1379" s="2">
        <v>45718</v>
      </c>
      <c r="C1379" t="s">
        <v>66</v>
      </c>
      <c r="D1379" t="s">
        <v>2822</v>
      </c>
      <c r="E1379" t="s">
        <v>54</v>
      </c>
      <c r="F1379">
        <v>9</v>
      </c>
      <c r="G1379" t="s">
        <v>18</v>
      </c>
      <c r="H1379" t="s">
        <v>14</v>
      </c>
      <c r="I1379" t="s">
        <v>31</v>
      </c>
    </row>
    <row r="1380" spans="1:9" x14ac:dyDescent="0.45">
      <c r="A1380" t="s">
        <v>2823</v>
      </c>
      <c r="B1380" s="2">
        <v>45719</v>
      </c>
      <c r="C1380" t="s">
        <v>28</v>
      </c>
      <c r="D1380" t="s">
        <v>2824</v>
      </c>
      <c r="E1380" t="s">
        <v>38</v>
      </c>
      <c r="F1380">
        <v>9</v>
      </c>
      <c r="G1380" t="s">
        <v>13</v>
      </c>
      <c r="H1380" t="s">
        <v>14</v>
      </c>
      <c r="I1380" t="s">
        <v>47</v>
      </c>
    </row>
    <row r="1381" spans="1:9" x14ac:dyDescent="0.45">
      <c r="A1381" t="s">
        <v>2825</v>
      </c>
      <c r="B1381" s="2">
        <v>45687</v>
      </c>
      <c r="C1381" t="s">
        <v>10</v>
      </c>
      <c r="D1381" t="s">
        <v>2826</v>
      </c>
      <c r="E1381" t="s">
        <v>46</v>
      </c>
      <c r="F1381">
        <v>2</v>
      </c>
      <c r="G1381" t="s">
        <v>59</v>
      </c>
      <c r="H1381" t="s">
        <v>14</v>
      </c>
      <c r="I1381" t="s">
        <v>31</v>
      </c>
    </row>
    <row r="1382" spans="1:9" x14ac:dyDescent="0.45">
      <c r="A1382" t="s">
        <v>2827</v>
      </c>
      <c r="B1382" s="2">
        <v>45759</v>
      </c>
      <c r="C1382" t="s">
        <v>16</v>
      </c>
      <c r="D1382" t="s">
        <v>2828</v>
      </c>
      <c r="E1382" t="s">
        <v>7967</v>
      </c>
      <c r="F1382">
        <v>1</v>
      </c>
      <c r="G1382" t="s">
        <v>43</v>
      </c>
      <c r="H1382" t="s">
        <v>14</v>
      </c>
      <c r="I1382" t="s">
        <v>39</v>
      </c>
    </row>
    <row r="1383" spans="1:9" x14ac:dyDescent="0.45">
      <c r="A1383" t="s">
        <v>2829</v>
      </c>
      <c r="B1383" s="2">
        <v>45890</v>
      </c>
      <c r="C1383" t="s">
        <v>16</v>
      </c>
      <c r="D1383" t="s">
        <v>2830</v>
      </c>
      <c r="E1383" t="s">
        <v>46</v>
      </c>
      <c r="F1383">
        <v>8</v>
      </c>
      <c r="G1383" t="s">
        <v>43</v>
      </c>
      <c r="H1383" t="s">
        <v>14</v>
      </c>
      <c r="I1383" t="s">
        <v>60</v>
      </c>
    </row>
    <row r="1384" spans="1:9" x14ac:dyDescent="0.45">
      <c r="A1384" t="s">
        <v>2831</v>
      </c>
      <c r="B1384" s="2">
        <v>45794</v>
      </c>
      <c r="C1384" t="s">
        <v>52</v>
      </c>
      <c r="D1384" t="s">
        <v>2832</v>
      </c>
      <c r="E1384" t="s">
        <v>46</v>
      </c>
      <c r="F1384">
        <v>8</v>
      </c>
      <c r="G1384" t="s">
        <v>43</v>
      </c>
      <c r="H1384" t="s">
        <v>14</v>
      </c>
      <c r="I1384" t="s">
        <v>60</v>
      </c>
    </row>
    <row r="1385" spans="1:9" x14ac:dyDescent="0.45">
      <c r="A1385" t="s">
        <v>2833</v>
      </c>
      <c r="B1385" s="2">
        <v>45869</v>
      </c>
      <c r="C1385" t="s">
        <v>10</v>
      </c>
      <c r="D1385" t="s">
        <v>2834</v>
      </c>
      <c r="E1385" t="s">
        <v>30</v>
      </c>
      <c r="F1385">
        <v>7</v>
      </c>
      <c r="G1385" t="s">
        <v>55</v>
      </c>
      <c r="H1385" t="s">
        <v>72</v>
      </c>
      <c r="I1385" t="s">
        <v>26</v>
      </c>
    </row>
    <row r="1386" spans="1:9" x14ac:dyDescent="0.45">
      <c r="A1386" t="s">
        <v>2835</v>
      </c>
      <c r="B1386" s="2">
        <v>45764</v>
      </c>
      <c r="C1386" t="s">
        <v>66</v>
      </c>
      <c r="D1386" t="s">
        <v>2836</v>
      </c>
      <c r="E1386" t="s">
        <v>71</v>
      </c>
      <c r="F1386">
        <v>9</v>
      </c>
      <c r="G1386" t="s">
        <v>59</v>
      </c>
      <c r="H1386" t="s">
        <v>14</v>
      </c>
      <c r="I1386" t="s">
        <v>47</v>
      </c>
    </row>
    <row r="1387" spans="1:9" x14ac:dyDescent="0.45">
      <c r="A1387" t="s">
        <v>2837</v>
      </c>
      <c r="B1387" s="2">
        <v>45686</v>
      </c>
      <c r="C1387" t="s">
        <v>28</v>
      </c>
      <c r="D1387" t="s">
        <v>2838</v>
      </c>
      <c r="E1387" t="s">
        <v>7973</v>
      </c>
      <c r="F1387">
        <v>1</v>
      </c>
      <c r="G1387" t="s">
        <v>43</v>
      </c>
      <c r="H1387" t="s">
        <v>14</v>
      </c>
      <c r="I1387" t="s">
        <v>7967</v>
      </c>
    </row>
    <row r="1388" spans="1:9" x14ac:dyDescent="0.45">
      <c r="A1388" t="s">
        <v>2839</v>
      </c>
      <c r="B1388" s="2">
        <v>45817</v>
      </c>
      <c r="C1388" t="s">
        <v>52</v>
      </c>
      <c r="D1388" t="s">
        <v>2840</v>
      </c>
      <c r="E1388" t="s">
        <v>75</v>
      </c>
      <c r="F1388">
        <v>9</v>
      </c>
      <c r="G1388" t="s">
        <v>43</v>
      </c>
      <c r="H1388" t="s">
        <v>14</v>
      </c>
      <c r="I1388" t="s">
        <v>26</v>
      </c>
    </row>
    <row r="1389" spans="1:9" x14ac:dyDescent="0.45">
      <c r="A1389" t="s">
        <v>2841</v>
      </c>
      <c r="B1389" s="2">
        <v>45811</v>
      </c>
      <c r="C1389" t="s">
        <v>52</v>
      </c>
      <c r="D1389" t="s">
        <v>2842</v>
      </c>
      <c r="E1389" t="s">
        <v>54</v>
      </c>
      <c r="F1389">
        <v>4</v>
      </c>
      <c r="G1389" t="s">
        <v>13</v>
      </c>
      <c r="H1389" t="s">
        <v>14</v>
      </c>
      <c r="I1389" t="s">
        <v>31</v>
      </c>
    </row>
    <row r="1390" spans="1:9" x14ac:dyDescent="0.45">
      <c r="A1390" t="s">
        <v>2843</v>
      </c>
      <c r="B1390" s="2">
        <v>45885</v>
      </c>
      <c r="C1390" t="s">
        <v>49</v>
      </c>
      <c r="D1390" t="s">
        <v>2844</v>
      </c>
      <c r="E1390" t="s">
        <v>38</v>
      </c>
      <c r="F1390">
        <v>7</v>
      </c>
      <c r="G1390" t="s">
        <v>68</v>
      </c>
      <c r="H1390" t="s">
        <v>25</v>
      </c>
      <c r="I1390" t="s">
        <v>39</v>
      </c>
    </row>
    <row r="1391" spans="1:9" x14ac:dyDescent="0.45">
      <c r="A1391" t="s">
        <v>2845</v>
      </c>
      <c r="B1391" s="2">
        <v>45721</v>
      </c>
      <c r="C1391" t="s">
        <v>52</v>
      </c>
      <c r="D1391" t="s">
        <v>2846</v>
      </c>
      <c r="E1391" t="s">
        <v>34</v>
      </c>
      <c r="F1391">
        <v>10</v>
      </c>
      <c r="G1391" t="s">
        <v>55</v>
      </c>
      <c r="H1391" t="s">
        <v>72</v>
      </c>
      <c r="I1391" t="s">
        <v>60</v>
      </c>
    </row>
    <row r="1392" spans="1:9" x14ac:dyDescent="0.45">
      <c r="A1392" t="s">
        <v>2847</v>
      </c>
      <c r="B1392" s="2">
        <v>45681</v>
      </c>
      <c r="C1392" t="s">
        <v>49</v>
      </c>
      <c r="D1392" t="s">
        <v>2848</v>
      </c>
      <c r="E1392" t="s">
        <v>34</v>
      </c>
      <c r="F1392">
        <v>12</v>
      </c>
      <c r="G1392" t="s">
        <v>13</v>
      </c>
      <c r="H1392" t="s">
        <v>14</v>
      </c>
      <c r="I1392" t="s">
        <v>39</v>
      </c>
    </row>
    <row r="1393" spans="1:9" x14ac:dyDescent="0.45">
      <c r="A1393" t="s">
        <v>2849</v>
      </c>
      <c r="B1393" s="2">
        <v>45666</v>
      </c>
      <c r="C1393" t="s">
        <v>49</v>
      </c>
      <c r="D1393" t="s">
        <v>2850</v>
      </c>
      <c r="E1393" t="s">
        <v>30</v>
      </c>
      <c r="F1393">
        <v>4</v>
      </c>
      <c r="G1393" t="s">
        <v>68</v>
      </c>
      <c r="H1393" t="s">
        <v>25</v>
      </c>
      <c r="I1393" t="s">
        <v>47</v>
      </c>
    </row>
    <row r="1394" spans="1:9" x14ac:dyDescent="0.45">
      <c r="A1394" t="s">
        <v>2851</v>
      </c>
      <c r="B1394" s="2">
        <v>45735</v>
      </c>
      <c r="C1394" t="s">
        <v>21</v>
      </c>
      <c r="D1394" t="s">
        <v>2852</v>
      </c>
      <c r="E1394" t="s">
        <v>71</v>
      </c>
      <c r="F1394">
        <v>12</v>
      </c>
      <c r="G1394" t="s">
        <v>18</v>
      </c>
      <c r="H1394" t="s">
        <v>14</v>
      </c>
      <c r="I1394" t="s">
        <v>60</v>
      </c>
    </row>
    <row r="1395" spans="1:9" x14ac:dyDescent="0.45">
      <c r="A1395" t="s">
        <v>2853</v>
      </c>
      <c r="B1395" s="2">
        <v>45886</v>
      </c>
      <c r="C1395" t="s">
        <v>21</v>
      </c>
      <c r="D1395" t="s">
        <v>2854</v>
      </c>
      <c r="E1395" t="s">
        <v>75</v>
      </c>
      <c r="F1395">
        <v>7</v>
      </c>
      <c r="G1395" t="s">
        <v>68</v>
      </c>
      <c r="H1395" t="s">
        <v>25</v>
      </c>
      <c r="I1395" t="s">
        <v>39</v>
      </c>
    </row>
    <row r="1396" spans="1:9" x14ac:dyDescent="0.45">
      <c r="A1396" t="s">
        <v>2855</v>
      </c>
      <c r="B1396" s="2">
        <v>45782</v>
      </c>
      <c r="C1396" t="s">
        <v>16</v>
      </c>
      <c r="D1396" t="s">
        <v>2856</v>
      </c>
      <c r="E1396" t="s">
        <v>71</v>
      </c>
      <c r="F1396">
        <v>7</v>
      </c>
      <c r="G1396" t="s">
        <v>18</v>
      </c>
      <c r="H1396" t="s">
        <v>14</v>
      </c>
      <c r="I1396" t="s">
        <v>19</v>
      </c>
    </row>
    <row r="1397" spans="1:9" x14ac:dyDescent="0.45">
      <c r="A1397" t="s">
        <v>2857</v>
      </c>
      <c r="B1397" s="2">
        <v>45740</v>
      </c>
      <c r="C1397" t="s">
        <v>16</v>
      </c>
      <c r="D1397" t="s">
        <v>2858</v>
      </c>
      <c r="E1397" t="s">
        <v>71</v>
      </c>
      <c r="F1397">
        <v>11</v>
      </c>
      <c r="G1397" t="s">
        <v>68</v>
      </c>
      <c r="H1397" t="s">
        <v>25</v>
      </c>
      <c r="I1397" t="s">
        <v>26</v>
      </c>
    </row>
    <row r="1398" spans="1:9" x14ac:dyDescent="0.45">
      <c r="A1398" t="s">
        <v>2859</v>
      </c>
      <c r="B1398" s="2">
        <v>45891</v>
      </c>
      <c r="C1398" t="s">
        <v>16</v>
      </c>
      <c r="D1398" t="s">
        <v>2860</v>
      </c>
      <c r="E1398" t="s">
        <v>71</v>
      </c>
      <c r="F1398">
        <v>8</v>
      </c>
      <c r="G1398" t="s">
        <v>43</v>
      </c>
      <c r="H1398" t="s">
        <v>14</v>
      </c>
      <c r="I1398" t="s">
        <v>47</v>
      </c>
    </row>
    <row r="1399" spans="1:9" x14ac:dyDescent="0.45">
      <c r="A1399" t="s">
        <v>2861</v>
      </c>
      <c r="B1399" s="2">
        <v>45704</v>
      </c>
      <c r="C1399" t="s">
        <v>16</v>
      </c>
      <c r="D1399" t="s">
        <v>2862</v>
      </c>
      <c r="E1399" t="s">
        <v>54</v>
      </c>
      <c r="F1399">
        <v>7</v>
      </c>
      <c r="G1399" t="s">
        <v>68</v>
      </c>
      <c r="H1399" t="s">
        <v>25</v>
      </c>
      <c r="I1399" t="s">
        <v>31</v>
      </c>
    </row>
    <row r="1400" spans="1:9" x14ac:dyDescent="0.45">
      <c r="A1400" t="s">
        <v>2863</v>
      </c>
      <c r="B1400" s="2">
        <v>45791</v>
      </c>
      <c r="C1400" t="s">
        <v>99</v>
      </c>
      <c r="D1400" t="s">
        <v>2864</v>
      </c>
      <c r="E1400" t="s">
        <v>34</v>
      </c>
      <c r="F1400">
        <v>11</v>
      </c>
      <c r="G1400" t="s">
        <v>59</v>
      </c>
      <c r="H1400" t="s">
        <v>14</v>
      </c>
      <c r="I1400" t="s">
        <v>19</v>
      </c>
    </row>
    <row r="1401" spans="1:9" x14ac:dyDescent="0.45">
      <c r="A1401" t="s">
        <v>2865</v>
      </c>
      <c r="B1401" s="2">
        <v>45827</v>
      </c>
      <c r="C1401" t="s">
        <v>28</v>
      </c>
      <c r="D1401" t="s">
        <v>2866</v>
      </c>
      <c r="E1401" t="s">
        <v>23</v>
      </c>
      <c r="F1401">
        <v>2</v>
      </c>
      <c r="G1401" t="s">
        <v>43</v>
      </c>
      <c r="H1401" t="s">
        <v>14</v>
      </c>
      <c r="I1401" t="s">
        <v>47</v>
      </c>
    </row>
    <row r="1402" spans="1:9" x14ac:dyDescent="0.45">
      <c r="A1402" t="s">
        <v>2867</v>
      </c>
      <c r="B1402" s="2">
        <v>45769</v>
      </c>
      <c r="C1402" t="s">
        <v>21</v>
      </c>
      <c r="D1402" t="s">
        <v>2868</v>
      </c>
      <c r="E1402" t="s">
        <v>34</v>
      </c>
      <c r="F1402">
        <v>6</v>
      </c>
      <c r="G1402" t="s">
        <v>24</v>
      </c>
      <c r="H1402" t="s">
        <v>25</v>
      </c>
      <c r="I1402" t="s">
        <v>39</v>
      </c>
    </row>
    <row r="1403" spans="1:9" x14ac:dyDescent="0.45">
      <c r="A1403" t="s">
        <v>2869</v>
      </c>
      <c r="B1403" s="2">
        <v>45843</v>
      </c>
      <c r="C1403" t="s">
        <v>99</v>
      </c>
      <c r="D1403" t="s">
        <v>2870</v>
      </c>
      <c r="E1403" t="s">
        <v>58</v>
      </c>
      <c r="F1403">
        <v>5</v>
      </c>
      <c r="G1403" t="s">
        <v>43</v>
      </c>
      <c r="H1403" t="s">
        <v>14</v>
      </c>
      <c r="I1403" t="s">
        <v>39</v>
      </c>
    </row>
    <row r="1404" spans="1:9" x14ac:dyDescent="0.45">
      <c r="A1404" t="s">
        <v>2871</v>
      </c>
      <c r="B1404" s="2">
        <v>45736</v>
      </c>
      <c r="C1404" t="s">
        <v>16</v>
      </c>
      <c r="D1404" t="s">
        <v>2872</v>
      </c>
      <c r="E1404" t="s">
        <v>46</v>
      </c>
      <c r="F1404">
        <v>4</v>
      </c>
      <c r="G1404" t="s">
        <v>35</v>
      </c>
      <c r="H1404" t="s">
        <v>25</v>
      </c>
      <c r="I1404" t="s">
        <v>26</v>
      </c>
    </row>
    <row r="1405" spans="1:9" x14ac:dyDescent="0.45">
      <c r="A1405" t="s">
        <v>2873</v>
      </c>
      <c r="B1405" s="2">
        <v>45760</v>
      </c>
      <c r="C1405" t="s">
        <v>21</v>
      </c>
      <c r="D1405" t="s">
        <v>2874</v>
      </c>
      <c r="E1405" t="s">
        <v>7974</v>
      </c>
      <c r="F1405">
        <v>2</v>
      </c>
      <c r="G1405" t="s">
        <v>24</v>
      </c>
      <c r="H1405" t="s">
        <v>25</v>
      </c>
      <c r="I1405" t="s">
        <v>31</v>
      </c>
    </row>
    <row r="1406" spans="1:9" x14ac:dyDescent="0.45">
      <c r="A1406" t="s">
        <v>2875</v>
      </c>
      <c r="B1406" s="2">
        <v>45879</v>
      </c>
      <c r="C1406" t="s">
        <v>49</v>
      </c>
      <c r="D1406" t="s">
        <v>2876</v>
      </c>
      <c r="E1406" t="s">
        <v>54</v>
      </c>
      <c r="F1406">
        <v>12</v>
      </c>
      <c r="G1406" t="s">
        <v>18</v>
      </c>
      <c r="H1406" t="s">
        <v>14</v>
      </c>
      <c r="I1406" t="s">
        <v>60</v>
      </c>
    </row>
    <row r="1407" spans="1:9" x14ac:dyDescent="0.45">
      <c r="A1407" t="s">
        <v>2877</v>
      </c>
      <c r="B1407" s="2">
        <v>45727</v>
      </c>
      <c r="C1407" t="s">
        <v>16</v>
      </c>
      <c r="D1407" t="s">
        <v>2878</v>
      </c>
      <c r="E1407" t="s">
        <v>34</v>
      </c>
      <c r="F1407">
        <v>1</v>
      </c>
      <c r="G1407" t="s">
        <v>35</v>
      </c>
      <c r="H1407" t="s">
        <v>25</v>
      </c>
      <c r="I1407" t="s">
        <v>26</v>
      </c>
    </row>
    <row r="1408" spans="1:9" x14ac:dyDescent="0.45">
      <c r="A1408" t="s">
        <v>2879</v>
      </c>
      <c r="B1408" s="2">
        <v>45701</v>
      </c>
      <c r="C1408" t="s">
        <v>16</v>
      </c>
      <c r="D1408" t="s">
        <v>2880</v>
      </c>
      <c r="E1408" t="s">
        <v>7973</v>
      </c>
      <c r="F1408">
        <v>11</v>
      </c>
      <c r="G1408" t="s">
        <v>59</v>
      </c>
      <c r="H1408" t="s">
        <v>14</v>
      </c>
      <c r="I1408" t="s">
        <v>39</v>
      </c>
    </row>
    <row r="1409" spans="1:9" x14ac:dyDescent="0.45">
      <c r="A1409" t="s">
        <v>2881</v>
      </c>
      <c r="B1409" s="2">
        <v>45659</v>
      </c>
      <c r="C1409" t="s">
        <v>10</v>
      </c>
      <c r="D1409" t="s">
        <v>2882</v>
      </c>
      <c r="E1409" t="s">
        <v>54</v>
      </c>
      <c r="F1409">
        <v>11</v>
      </c>
      <c r="G1409" t="s">
        <v>43</v>
      </c>
      <c r="H1409" t="s">
        <v>14</v>
      </c>
      <c r="I1409" t="s">
        <v>19</v>
      </c>
    </row>
    <row r="1410" spans="1:9" x14ac:dyDescent="0.45">
      <c r="A1410" t="s">
        <v>2883</v>
      </c>
      <c r="B1410" s="2">
        <v>45727</v>
      </c>
      <c r="C1410" t="s">
        <v>21</v>
      </c>
      <c r="D1410" t="s">
        <v>2884</v>
      </c>
      <c r="E1410" t="s">
        <v>7973</v>
      </c>
      <c r="F1410">
        <v>2</v>
      </c>
      <c r="G1410" t="s">
        <v>59</v>
      </c>
      <c r="H1410" t="s">
        <v>14</v>
      </c>
      <c r="I1410" t="s">
        <v>31</v>
      </c>
    </row>
    <row r="1411" spans="1:9" x14ac:dyDescent="0.45">
      <c r="A1411" t="s">
        <v>2885</v>
      </c>
      <c r="B1411" s="2">
        <v>45736</v>
      </c>
      <c r="C1411" t="s">
        <v>99</v>
      </c>
      <c r="D1411" t="s">
        <v>2886</v>
      </c>
      <c r="E1411" t="s">
        <v>75</v>
      </c>
      <c r="F1411">
        <v>6</v>
      </c>
      <c r="G1411" t="s">
        <v>59</v>
      </c>
      <c r="H1411" t="s">
        <v>14</v>
      </c>
      <c r="I1411" t="s">
        <v>31</v>
      </c>
    </row>
    <row r="1412" spans="1:9" x14ac:dyDescent="0.45">
      <c r="A1412" t="s">
        <v>2887</v>
      </c>
      <c r="B1412" s="2">
        <v>45668</v>
      </c>
      <c r="C1412" t="s">
        <v>10</v>
      </c>
      <c r="D1412" t="s">
        <v>2888</v>
      </c>
      <c r="E1412" t="s">
        <v>46</v>
      </c>
      <c r="F1412">
        <v>4</v>
      </c>
      <c r="G1412" t="s">
        <v>35</v>
      </c>
      <c r="H1412" t="s">
        <v>25</v>
      </c>
      <c r="I1412" t="s">
        <v>47</v>
      </c>
    </row>
    <row r="1413" spans="1:9" x14ac:dyDescent="0.45">
      <c r="A1413" t="s">
        <v>2889</v>
      </c>
      <c r="B1413" s="2">
        <v>45664</v>
      </c>
      <c r="C1413" t="s">
        <v>16</v>
      </c>
      <c r="D1413" t="s">
        <v>2890</v>
      </c>
      <c r="E1413" t="s">
        <v>54</v>
      </c>
      <c r="F1413">
        <v>12</v>
      </c>
      <c r="G1413" t="s">
        <v>35</v>
      </c>
      <c r="H1413" t="s">
        <v>25</v>
      </c>
      <c r="I1413" t="s">
        <v>31</v>
      </c>
    </row>
    <row r="1414" spans="1:9" x14ac:dyDescent="0.45">
      <c r="A1414" t="s">
        <v>2891</v>
      </c>
      <c r="B1414" s="2">
        <v>45696</v>
      </c>
      <c r="C1414" t="s">
        <v>52</v>
      </c>
      <c r="D1414" t="s">
        <v>2892</v>
      </c>
      <c r="E1414" t="s">
        <v>58</v>
      </c>
      <c r="F1414">
        <v>10</v>
      </c>
      <c r="G1414" t="s">
        <v>68</v>
      </c>
      <c r="H1414" t="s">
        <v>25</v>
      </c>
      <c r="I1414" t="s">
        <v>47</v>
      </c>
    </row>
    <row r="1415" spans="1:9" x14ac:dyDescent="0.45">
      <c r="A1415" t="s">
        <v>2893</v>
      </c>
      <c r="B1415" s="2">
        <v>45903</v>
      </c>
      <c r="C1415" t="s">
        <v>52</v>
      </c>
      <c r="D1415" t="s">
        <v>2894</v>
      </c>
      <c r="E1415" t="s">
        <v>42</v>
      </c>
      <c r="F1415">
        <v>12</v>
      </c>
      <c r="G1415" t="s">
        <v>24</v>
      </c>
      <c r="H1415" t="s">
        <v>25</v>
      </c>
      <c r="I1415" t="s">
        <v>31</v>
      </c>
    </row>
    <row r="1416" spans="1:9" x14ac:dyDescent="0.45">
      <c r="A1416" t="s">
        <v>2895</v>
      </c>
      <c r="B1416" s="2">
        <v>45772</v>
      </c>
      <c r="C1416" t="s">
        <v>21</v>
      </c>
      <c r="D1416" t="s">
        <v>2896</v>
      </c>
      <c r="E1416" t="s">
        <v>71</v>
      </c>
      <c r="F1416">
        <v>10</v>
      </c>
      <c r="G1416" t="s">
        <v>13</v>
      </c>
      <c r="H1416" t="s">
        <v>14</v>
      </c>
      <c r="I1416" t="s">
        <v>31</v>
      </c>
    </row>
    <row r="1417" spans="1:9" x14ac:dyDescent="0.45">
      <c r="A1417" t="s">
        <v>2897</v>
      </c>
      <c r="B1417" s="2">
        <v>45779</v>
      </c>
      <c r="C1417" t="s">
        <v>28</v>
      </c>
      <c r="D1417" t="s">
        <v>2898</v>
      </c>
      <c r="E1417" t="s">
        <v>71</v>
      </c>
      <c r="F1417">
        <v>4</v>
      </c>
      <c r="G1417" t="s">
        <v>24</v>
      </c>
      <c r="H1417" t="s">
        <v>25</v>
      </c>
      <c r="I1417" t="s">
        <v>60</v>
      </c>
    </row>
    <row r="1418" spans="1:9" x14ac:dyDescent="0.45">
      <c r="A1418" t="s">
        <v>2899</v>
      </c>
      <c r="B1418" s="2">
        <v>45674</v>
      </c>
      <c r="C1418" t="s">
        <v>21</v>
      </c>
      <c r="D1418" t="s">
        <v>2900</v>
      </c>
      <c r="E1418" t="s">
        <v>7974</v>
      </c>
      <c r="F1418">
        <v>8</v>
      </c>
      <c r="G1418" t="s">
        <v>59</v>
      </c>
      <c r="H1418" t="s">
        <v>14</v>
      </c>
      <c r="I1418" t="s">
        <v>39</v>
      </c>
    </row>
    <row r="1419" spans="1:9" x14ac:dyDescent="0.45">
      <c r="A1419" t="s">
        <v>2901</v>
      </c>
      <c r="B1419" s="2">
        <v>45771</v>
      </c>
      <c r="C1419" t="s">
        <v>66</v>
      </c>
      <c r="D1419" t="s">
        <v>2902</v>
      </c>
      <c r="E1419" t="s">
        <v>75</v>
      </c>
      <c r="F1419">
        <v>11</v>
      </c>
      <c r="G1419" t="s">
        <v>13</v>
      </c>
      <c r="H1419" t="s">
        <v>14</v>
      </c>
      <c r="I1419" t="s">
        <v>31</v>
      </c>
    </row>
    <row r="1420" spans="1:9" x14ac:dyDescent="0.45">
      <c r="A1420" t="s">
        <v>2903</v>
      </c>
      <c r="B1420" s="2">
        <v>45888</v>
      </c>
      <c r="C1420" t="s">
        <v>99</v>
      </c>
      <c r="D1420" t="s">
        <v>2904</v>
      </c>
      <c r="E1420" t="s">
        <v>38</v>
      </c>
      <c r="F1420">
        <v>2</v>
      </c>
      <c r="G1420" t="s">
        <v>18</v>
      </c>
      <c r="H1420" t="s">
        <v>14</v>
      </c>
      <c r="I1420" t="s">
        <v>47</v>
      </c>
    </row>
    <row r="1421" spans="1:9" x14ac:dyDescent="0.45">
      <c r="A1421" t="s">
        <v>2905</v>
      </c>
      <c r="B1421" s="2">
        <v>45687</v>
      </c>
      <c r="C1421" t="s">
        <v>10</v>
      </c>
      <c r="D1421" t="s">
        <v>2906</v>
      </c>
      <c r="E1421" t="s">
        <v>71</v>
      </c>
      <c r="F1421">
        <v>9</v>
      </c>
      <c r="G1421" t="s">
        <v>13</v>
      </c>
      <c r="H1421" t="s">
        <v>14</v>
      </c>
      <c r="I1421" t="s">
        <v>19</v>
      </c>
    </row>
    <row r="1422" spans="1:9" x14ac:dyDescent="0.45">
      <c r="A1422" t="s">
        <v>2907</v>
      </c>
      <c r="B1422" s="2">
        <v>45771</v>
      </c>
      <c r="C1422" t="s">
        <v>52</v>
      </c>
      <c r="D1422" t="s">
        <v>2908</v>
      </c>
      <c r="E1422" t="s">
        <v>7974</v>
      </c>
      <c r="F1422">
        <v>11</v>
      </c>
      <c r="G1422" t="s">
        <v>7967</v>
      </c>
      <c r="H1422" t="s">
        <v>14</v>
      </c>
      <c r="I1422" t="s">
        <v>47</v>
      </c>
    </row>
    <row r="1423" spans="1:9" x14ac:dyDescent="0.45">
      <c r="A1423" t="s">
        <v>2909</v>
      </c>
      <c r="B1423" s="2">
        <v>45780</v>
      </c>
      <c r="C1423" t="s">
        <v>49</v>
      </c>
      <c r="D1423" t="s">
        <v>2910</v>
      </c>
      <c r="E1423" t="s">
        <v>7974</v>
      </c>
      <c r="F1423">
        <v>2</v>
      </c>
      <c r="G1423" t="s">
        <v>43</v>
      </c>
      <c r="H1423" t="s">
        <v>14</v>
      </c>
      <c r="I1423" t="s">
        <v>39</v>
      </c>
    </row>
    <row r="1424" spans="1:9" x14ac:dyDescent="0.45">
      <c r="A1424" t="s">
        <v>2911</v>
      </c>
      <c r="B1424" s="2">
        <v>45832</v>
      </c>
      <c r="C1424" t="s">
        <v>52</v>
      </c>
      <c r="D1424" t="s">
        <v>2912</v>
      </c>
      <c r="E1424" t="s">
        <v>38</v>
      </c>
      <c r="F1424">
        <v>4</v>
      </c>
      <c r="G1424" t="s">
        <v>59</v>
      </c>
      <c r="H1424" t="s">
        <v>14</v>
      </c>
      <c r="I1424" t="s">
        <v>26</v>
      </c>
    </row>
    <row r="1425" spans="1:9" x14ac:dyDescent="0.45">
      <c r="A1425" t="s">
        <v>2913</v>
      </c>
      <c r="B1425" s="2">
        <v>45694</v>
      </c>
      <c r="C1425" t="s">
        <v>28</v>
      </c>
      <c r="D1425" t="s">
        <v>2914</v>
      </c>
      <c r="E1425" t="s">
        <v>7967</v>
      </c>
      <c r="F1425">
        <v>12</v>
      </c>
      <c r="G1425" t="s">
        <v>55</v>
      </c>
      <c r="H1425" t="s">
        <v>72</v>
      </c>
      <c r="I1425" t="s">
        <v>60</v>
      </c>
    </row>
    <row r="1426" spans="1:9" x14ac:dyDescent="0.45">
      <c r="A1426" t="s">
        <v>2915</v>
      </c>
      <c r="B1426" s="2">
        <v>45762</v>
      </c>
      <c r="C1426" t="s">
        <v>16</v>
      </c>
      <c r="D1426" t="s">
        <v>2916</v>
      </c>
      <c r="E1426" t="s">
        <v>58</v>
      </c>
      <c r="F1426">
        <v>4</v>
      </c>
      <c r="G1426" t="s">
        <v>35</v>
      </c>
      <c r="H1426" t="s">
        <v>25</v>
      </c>
      <c r="I1426" t="s">
        <v>39</v>
      </c>
    </row>
    <row r="1427" spans="1:9" x14ac:dyDescent="0.45">
      <c r="A1427" t="s">
        <v>2917</v>
      </c>
      <c r="B1427" s="2">
        <v>45875</v>
      </c>
      <c r="C1427" t="s">
        <v>28</v>
      </c>
      <c r="D1427" t="s">
        <v>2918</v>
      </c>
      <c r="E1427" t="s">
        <v>58</v>
      </c>
      <c r="F1427">
        <v>7</v>
      </c>
      <c r="G1427" t="s">
        <v>43</v>
      </c>
      <c r="H1427" t="s">
        <v>14</v>
      </c>
      <c r="I1427" t="s">
        <v>31</v>
      </c>
    </row>
    <row r="1428" spans="1:9" x14ac:dyDescent="0.45">
      <c r="A1428" t="s">
        <v>2919</v>
      </c>
      <c r="B1428" s="2">
        <v>45838</v>
      </c>
      <c r="C1428" t="s">
        <v>16</v>
      </c>
      <c r="D1428" t="s">
        <v>2920</v>
      </c>
      <c r="E1428" t="s">
        <v>7973</v>
      </c>
      <c r="F1428">
        <v>12</v>
      </c>
      <c r="G1428" t="s">
        <v>43</v>
      </c>
      <c r="H1428" t="s">
        <v>14</v>
      </c>
      <c r="I1428" t="s">
        <v>31</v>
      </c>
    </row>
    <row r="1429" spans="1:9" x14ac:dyDescent="0.45">
      <c r="A1429" t="s">
        <v>2921</v>
      </c>
      <c r="B1429" s="2">
        <v>45742</v>
      </c>
      <c r="C1429" t="s">
        <v>66</v>
      </c>
      <c r="D1429" t="s">
        <v>2922</v>
      </c>
      <c r="E1429" t="s">
        <v>75</v>
      </c>
      <c r="F1429">
        <v>7</v>
      </c>
      <c r="G1429" t="s">
        <v>59</v>
      </c>
      <c r="H1429" t="s">
        <v>14</v>
      </c>
      <c r="I1429" t="s">
        <v>26</v>
      </c>
    </row>
    <row r="1430" spans="1:9" x14ac:dyDescent="0.45">
      <c r="A1430" t="s">
        <v>2923</v>
      </c>
      <c r="B1430" s="2">
        <v>45722</v>
      </c>
      <c r="C1430" t="s">
        <v>21</v>
      </c>
      <c r="D1430" t="s">
        <v>2924</v>
      </c>
      <c r="E1430" t="s">
        <v>42</v>
      </c>
      <c r="F1430">
        <v>5</v>
      </c>
      <c r="G1430" t="s">
        <v>43</v>
      </c>
      <c r="H1430" t="s">
        <v>14</v>
      </c>
      <c r="I1430" t="s">
        <v>60</v>
      </c>
    </row>
    <row r="1431" spans="1:9" x14ac:dyDescent="0.45">
      <c r="A1431" t="s">
        <v>2925</v>
      </c>
      <c r="B1431" s="2">
        <v>45890</v>
      </c>
      <c r="C1431" t="s">
        <v>16</v>
      </c>
      <c r="D1431" t="s">
        <v>2926</v>
      </c>
      <c r="E1431" t="s">
        <v>34</v>
      </c>
      <c r="F1431">
        <v>9</v>
      </c>
      <c r="G1431" t="s">
        <v>55</v>
      </c>
      <c r="H1431" t="s">
        <v>72</v>
      </c>
      <c r="I1431" t="s">
        <v>47</v>
      </c>
    </row>
    <row r="1432" spans="1:9" x14ac:dyDescent="0.45">
      <c r="A1432" t="s">
        <v>2927</v>
      </c>
      <c r="B1432" s="2">
        <v>45814</v>
      </c>
      <c r="C1432" t="s">
        <v>52</v>
      </c>
      <c r="D1432" t="s">
        <v>2928</v>
      </c>
      <c r="E1432" t="s">
        <v>23</v>
      </c>
      <c r="F1432">
        <v>4</v>
      </c>
      <c r="G1432" t="s">
        <v>35</v>
      </c>
      <c r="H1432" t="s">
        <v>25</v>
      </c>
      <c r="I1432" t="s">
        <v>47</v>
      </c>
    </row>
    <row r="1433" spans="1:9" x14ac:dyDescent="0.45">
      <c r="A1433" t="s">
        <v>2929</v>
      </c>
      <c r="B1433" s="2">
        <v>45850</v>
      </c>
      <c r="C1433" t="s">
        <v>99</v>
      </c>
      <c r="D1433" t="s">
        <v>2930</v>
      </c>
      <c r="E1433" t="s">
        <v>46</v>
      </c>
      <c r="F1433">
        <v>1</v>
      </c>
      <c r="G1433" t="s">
        <v>43</v>
      </c>
      <c r="H1433" t="s">
        <v>14</v>
      </c>
      <c r="I1433" t="s">
        <v>31</v>
      </c>
    </row>
    <row r="1434" spans="1:9" x14ac:dyDescent="0.45">
      <c r="A1434" t="s">
        <v>2931</v>
      </c>
      <c r="B1434" s="2">
        <v>45697</v>
      </c>
      <c r="C1434" t="s">
        <v>10</v>
      </c>
      <c r="D1434" t="s">
        <v>2932</v>
      </c>
      <c r="E1434" t="s">
        <v>58</v>
      </c>
      <c r="F1434">
        <v>7</v>
      </c>
      <c r="G1434" t="s">
        <v>18</v>
      </c>
      <c r="H1434" t="s">
        <v>14</v>
      </c>
      <c r="I1434" t="s">
        <v>19</v>
      </c>
    </row>
    <row r="1435" spans="1:9" x14ac:dyDescent="0.45">
      <c r="A1435" t="s">
        <v>2933</v>
      </c>
      <c r="B1435" s="2">
        <v>45850</v>
      </c>
      <c r="C1435" t="s">
        <v>99</v>
      </c>
      <c r="D1435" t="s">
        <v>2934</v>
      </c>
      <c r="E1435" t="s">
        <v>34</v>
      </c>
      <c r="F1435">
        <v>8</v>
      </c>
      <c r="G1435" t="s">
        <v>35</v>
      </c>
      <c r="H1435" t="s">
        <v>25</v>
      </c>
      <c r="I1435" t="s">
        <v>31</v>
      </c>
    </row>
    <row r="1436" spans="1:9" x14ac:dyDescent="0.45">
      <c r="A1436" t="s">
        <v>2935</v>
      </c>
      <c r="B1436" s="2">
        <v>45851</v>
      </c>
      <c r="C1436" t="s">
        <v>16</v>
      </c>
      <c r="D1436" t="s">
        <v>2936</v>
      </c>
      <c r="E1436" t="s">
        <v>34</v>
      </c>
      <c r="F1436">
        <v>7</v>
      </c>
      <c r="G1436" t="s">
        <v>35</v>
      </c>
      <c r="H1436" t="s">
        <v>25</v>
      </c>
      <c r="I1436" t="s">
        <v>39</v>
      </c>
    </row>
    <row r="1437" spans="1:9" x14ac:dyDescent="0.45">
      <c r="A1437" t="s">
        <v>2937</v>
      </c>
      <c r="B1437" s="2">
        <v>45691</v>
      </c>
      <c r="C1437" t="s">
        <v>66</v>
      </c>
      <c r="D1437" t="s">
        <v>2938</v>
      </c>
      <c r="E1437" t="s">
        <v>75</v>
      </c>
      <c r="F1437">
        <v>11</v>
      </c>
      <c r="G1437" t="s">
        <v>13</v>
      </c>
      <c r="H1437" t="s">
        <v>14</v>
      </c>
      <c r="I1437" t="s">
        <v>39</v>
      </c>
    </row>
    <row r="1438" spans="1:9" x14ac:dyDescent="0.45">
      <c r="A1438" t="s">
        <v>2939</v>
      </c>
      <c r="B1438" s="2">
        <v>45743</v>
      </c>
      <c r="C1438" t="s">
        <v>10</v>
      </c>
      <c r="D1438" t="s">
        <v>2940</v>
      </c>
      <c r="E1438" t="s">
        <v>23</v>
      </c>
      <c r="F1438">
        <v>8</v>
      </c>
      <c r="G1438" t="s">
        <v>13</v>
      </c>
      <c r="H1438" t="s">
        <v>14</v>
      </c>
      <c r="I1438" t="s">
        <v>47</v>
      </c>
    </row>
    <row r="1439" spans="1:9" x14ac:dyDescent="0.45">
      <c r="A1439" t="s">
        <v>2941</v>
      </c>
      <c r="B1439" s="2">
        <v>45662</v>
      </c>
      <c r="C1439" t="s">
        <v>99</v>
      </c>
      <c r="D1439" t="s">
        <v>2942</v>
      </c>
      <c r="E1439" t="s">
        <v>7974</v>
      </c>
      <c r="F1439">
        <v>9</v>
      </c>
      <c r="G1439" t="s">
        <v>55</v>
      </c>
      <c r="H1439" t="s">
        <v>72</v>
      </c>
      <c r="I1439" t="s">
        <v>19</v>
      </c>
    </row>
    <row r="1440" spans="1:9" x14ac:dyDescent="0.45">
      <c r="A1440" t="s">
        <v>2943</v>
      </c>
      <c r="B1440" s="2">
        <v>45785</v>
      </c>
      <c r="C1440" t="s">
        <v>28</v>
      </c>
      <c r="D1440" t="s">
        <v>2944</v>
      </c>
      <c r="E1440" t="s">
        <v>71</v>
      </c>
      <c r="F1440">
        <v>3</v>
      </c>
      <c r="G1440" t="s">
        <v>13</v>
      </c>
      <c r="H1440" t="s">
        <v>14</v>
      </c>
      <c r="I1440" t="s">
        <v>47</v>
      </c>
    </row>
    <row r="1441" spans="1:9" x14ac:dyDescent="0.45">
      <c r="A1441" t="s">
        <v>2945</v>
      </c>
      <c r="B1441" s="2">
        <v>45749</v>
      </c>
      <c r="C1441" t="s">
        <v>16</v>
      </c>
      <c r="D1441" t="s">
        <v>2946</v>
      </c>
      <c r="E1441" t="s">
        <v>7974</v>
      </c>
      <c r="F1441">
        <v>1</v>
      </c>
      <c r="G1441" t="s">
        <v>59</v>
      </c>
      <c r="H1441" t="s">
        <v>14</v>
      </c>
      <c r="I1441" t="s">
        <v>31</v>
      </c>
    </row>
    <row r="1442" spans="1:9" x14ac:dyDescent="0.45">
      <c r="A1442" t="s">
        <v>2947</v>
      </c>
      <c r="B1442" s="2">
        <v>45868</v>
      </c>
      <c r="C1442" t="s">
        <v>28</v>
      </c>
      <c r="D1442" t="s">
        <v>2948</v>
      </c>
      <c r="E1442" t="s">
        <v>30</v>
      </c>
      <c r="F1442">
        <v>1</v>
      </c>
      <c r="G1442" t="s">
        <v>68</v>
      </c>
      <c r="H1442" t="s">
        <v>25</v>
      </c>
      <c r="I1442" t="s">
        <v>39</v>
      </c>
    </row>
    <row r="1443" spans="1:9" x14ac:dyDescent="0.45">
      <c r="A1443" t="s">
        <v>2949</v>
      </c>
      <c r="B1443" s="2">
        <v>45732</v>
      </c>
      <c r="C1443" t="s">
        <v>10</v>
      </c>
      <c r="D1443" t="s">
        <v>2950</v>
      </c>
      <c r="E1443" t="s">
        <v>30</v>
      </c>
      <c r="F1443">
        <v>5</v>
      </c>
      <c r="G1443" t="s">
        <v>43</v>
      </c>
      <c r="H1443" t="s">
        <v>14</v>
      </c>
      <c r="I1443" t="s">
        <v>19</v>
      </c>
    </row>
    <row r="1444" spans="1:9" x14ac:dyDescent="0.45">
      <c r="A1444" t="s">
        <v>2951</v>
      </c>
      <c r="B1444" s="2">
        <v>45658</v>
      </c>
      <c r="C1444" t="s">
        <v>66</v>
      </c>
      <c r="D1444" t="s">
        <v>2952</v>
      </c>
      <c r="E1444" t="s">
        <v>46</v>
      </c>
      <c r="F1444">
        <v>3</v>
      </c>
      <c r="G1444" t="s">
        <v>18</v>
      </c>
      <c r="H1444" t="s">
        <v>14</v>
      </c>
      <c r="I1444" t="s">
        <v>31</v>
      </c>
    </row>
    <row r="1445" spans="1:9" x14ac:dyDescent="0.45">
      <c r="A1445" t="s">
        <v>2953</v>
      </c>
      <c r="B1445" s="2">
        <v>45892</v>
      </c>
      <c r="C1445" t="s">
        <v>99</v>
      </c>
      <c r="D1445" t="s">
        <v>2954</v>
      </c>
      <c r="E1445" t="s">
        <v>46</v>
      </c>
      <c r="F1445">
        <v>4</v>
      </c>
      <c r="G1445" t="s">
        <v>55</v>
      </c>
      <c r="H1445" t="s">
        <v>72</v>
      </c>
      <c r="I1445" t="s">
        <v>31</v>
      </c>
    </row>
    <row r="1446" spans="1:9" x14ac:dyDescent="0.45">
      <c r="A1446" t="s">
        <v>2955</v>
      </c>
      <c r="B1446" s="2">
        <v>45820</v>
      </c>
      <c r="C1446" t="s">
        <v>10</v>
      </c>
      <c r="D1446" t="s">
        <v>2956</v>
      </c>
      <c r="E1446" t="s">
        <v>34</v>
      </c>
      <c r="F1446">
        <v>12</v>
      </c>
      <c r="G1446" t="s">
        <v>43</v>
      </c>
      <c r="H1446" t="s">
        <v>14</v>
      </c>
      <c r="I1446" t="s">
        <v>26</v>
      </c>
    </row>
    <row r="1447" spans="1:9" x14ac:dyDescent="0.45">
      <c r="A1447" t="s">
        <v>2957</v>
      </c>
      <c r="B1447" s="2">
        <v>45740</v>
      </c>
      <c r="C1447" t="s">
        <v>16</v>
      </c>
      <c r="D1447" t="s">
        <v>2958</v>
      </c>
      <c r="E1447" t="s">
        <v>75</v>
      </c>
      <c r="F1447">
        <v>5</v>
      </c>
      <c r="G1447" t="s">
        <v>43</v>
      </c>
      <c r="H1447" t="s">
        <v>14</v>
      </c>
      <c r="I1447" t="s">
        <v>19</v>
      </c>
    </row>
    <row r="1448" spans="1:9" x14ac:dyDescent="0.45">
      <c r="A1448" t="s">
        <v>2959</v>
      </c>
      <c r="B1448" s="2">
        <v>45874</v>
      </c>
      <c r="C1448" t="s">
        <v>28</v>
      </c>
      <c r="D1448" t="s">
        <v>2960</v>
      </c>
      <c r="E1448" t="s">
        <v>30</v>
      </c>
      <c r="F1448">
        <v>6</v>
      </c>
      <c r="G1448" t="s">
        <v>35</v>
      </c>
      <c r="H1448" t="s">
        <v>25</v>
      </c>
      <c r="I1448" t="s">
        <v>31</v>
      </c>
    </row>
    <row r="1449" spans="1:9" x14ac:dyDescent="0.45">
      <c r="A1449" t="s">
        <v>2961</v>
      </c>
      <c r="B1449" s="2">
        <v>45692</v>
      </c>
      <c r="C1449" t="s">
        <v>52</v>
      </c>
      <c r="D1449" t="s">
        <v>2962</v>
      </c>
      <c r="E1449" t="s">
        <v>42</v>
      </c>
      <c r="F1449">
        <v>10</v>
      </c>
      <c r="G1449" t="s">
        <v>55</v>
      </c>
      <c r="H1449" t="s">
        <v>72</v>
      </c>
      <c r="I1449" t="s">
        <v>31</v>
      </c>
    </row>
    <row r="1450" spans="1:9" x14ac:dyDescent="0.45">
      <c r="A1450" t="s">
        <v>2963</v>
      </c>
      <c r="B1450" s="2">
        <v>45774</v>
      </c>
      <c r="C1450" t="s">
        <v>10</v>
      </c>
      <c r="D1450" t="s">
        <v>2964</v>
      </c>
      <c r="E1450" t="s">
        <v>7974</v>
      </c>
      <c r="F1450">
        <v>12</v>
      </c>
      <c r="G1450" t="s">
        <v>35</v>
      </c>
      <c r="H1450" t="s">
        <v>25</v>
      </c>
      <c r="I1450" t="s">
        <v>31</v>
      </c>
    </row>
    <row r="1451" spans="1:9" x14ac:dyDescent="0.45">
      <c r="A1451" t="s">
        <v>2965</v>
      </c>
      <c r="B1451" s="2">
        <v>45801</v>
      </c>
      <c r="C1451" t="s">
        <v>49</v>
      </c>
      <c r="D1451" t="s">
        <v>2966</v>
      </c>
      <c r="E1451" t="s">
        <v>30</v>
      </c>
      <c r="F1451">
        <v>12</v>
      </c>
      <c r="G1451" t="s">
        <v>24</v>
      </c>
      <c r="H1451" t="s">
        <v>25</v>
      </c>
      <c r="I1451" t="s">
        <v>47</v>
      </c>
    </row>
    <row r="1452" spans="1:9" x14ac:dyDescent="0.45">
      <c r="A1452" t="s">
        <v>2967</v>
      </c>
      <c r="B1452" s="2">
        <v>45782</v>
      </c>
      <c r="C1452" t="s">
        <v>16</v>
      </c>
      <c r="D1452" t="s">
        <v>2968</v>
      </c>
      <c r="E1452" t="s">
        <v>38</v>
      </c>
      <c r="F1452">
        <v>9</v>
      </c>
      <c r="G1452" t="s">
        <v>24</v>
      </c>
      <c r="H1452" t="s">
        <v>25</v>
      </c>
      <c r="I1452" t="s">
        <v>26</v>
      </c>
    </row>
    <row r="1453" spans="1:9" x14ac:dyDescent="0.45">
      <c r="A1453" t="s">
        <v>2969</v>
      </c>
      <c r="B1453" s="2">
        <v>45804</v>
      </c>
      <c r="C1453" t="s">
        <v>10</v>
      </c>
      <c r="D1453" t="s">
        <v>2970</v>
      </c>
      <c r="E1453" t="s">
        <v>7974</v>
      </c>
      <c r="F1453">
        <v>7</v>
      </c>
      <c r="G1453" t="s">
        <v>35</v>
      </c>
      <c r="H1453" t="s">
        <v>25</v>
      </c>
      <c r="I1453" t="s">
        <v>26</v>
      </c>
    </row>
    <row r="1454" spans="1:9" x14ac:dyDescent="0.45">
      <c r="A1454" t="s">
        <v>2971</v>
      </c>
      <c r="B1454" s="2">
        <v>45856</v>
      </c>
      <c r="C1454" t="s">
        <v>66</v>
      </c>
      <c r="D1454" t="s">
        <v>2972</v>
      </c>
      <c r="E1454" t="s">
        <v>46</v>
      </c>
      <c r="F1454">
        <v>2</v>
      </c>
      <c r="G1454" t="s">
        <v>59</v>
      </c>
      <c r="H1454" t="s">
        <v>14</v>
      </c>
      <c r="I1454" t="s">
        <v>60</v>
      </c>
    </row>
    <row r="1455" spans="1:9" x14ac:dyDescent="0.45">
      <c r="A1455" t="s">
        <v>2973</v>
      </c>
      <c r="B1455" s="2">
        <v>45736</v>
      </c>
      <c r="C1455" t="s">
        <v>99</v>
      </c>
      <c r="D1455" t="s">
        <v>2974</v>
      </c>
      <c r="E1455" t="s">
        <v>75</v>
      </c>
      <c r="F1455">
        <v>8</v>
      </c>
      <c r="G1455" t="s">
        <v>24</v>
      </c>
      <c r="H1455" t="s">
        <v>25</v>
      </c>
      <c r="I1455" t="s">
        <v>47</v>
      </c>
    </row>
    <row r="1456" spans="1:9" x14ac:dyDescent="0.45">
      <c r="A1456" t="s">
        <v>2975</v>
      </c>
      <c r="B1456" s="2">
        <v>45835</v>
      </c>
      <c r="C1456" t="s">
        <v>10</v>
      </c>
      <c r="D1456" t="s">
        <v>2976</v>
      </c>
      <c r="E1456" t="s">
        <v>38</v>
      </c>
      <c r="F1456">
        <v>11</v>
      </c>
      <c r="G1456" t="s">
        <v>55</v>
      </c>
      <c r="H1456" t="s">
        <v>72</v>
      </c>
      <c r="I1456" t="s">
        <v>39</v>
      </c>
    </row>
    <row r="1457" spans="1:9" x14ac:dyDescent="0.45">
      <c r="A1457" t="s">
        <v>2977</v>
      </c>
      <c r="B1457" s="2">
        <v>45671</v>
      </c>
      <c r="C1457" t="s">
        <v>16</v>
      </c>
      <c r="D1457" t="s">
        <v>2978</v>
      </c>
      <c r="E1457" t="s">
        <v>23</v>
      </c>
      <c r="F1457">
        <v>4</v>
      </c>
      <c r="G1457" t="s">
        <v>59</v>
      </c>
      <c r="H1457" t="s">
        <v>14</v>
      </c>
      <c r="I1457" t="s">
        <v>31</v>
      </c>
    </row>
    <row r="1458" spans="1:9" x14ac:dyDescent="0.45">
      <c r="A1458" t="s">
        <v>2979</v>
      </c>
      <c r="B1458" s="2">
        <v>45878</v>
      </c>
      <c r="C1458" t="s">
        <v>49</v>
      </c>
      <c r="D1458" t="s">
        <v>2980</v>
      </c>
      <c r="E1458" t="s">
        <v>38</v>
      </c>
      <c r="F1458">
        <v>8</v>
      </c>
      <c r="G1458" t="s">
        <v>18</v>
      </c>
      <c r="H1458" t="s">
        <v>14</v>
      </c>
      <c r="I1458" t="s">
        <v>47</v>
      </c>
    </row>
    <row r="1459" spans="1:9" x14ac:dyDescent="0.45">
      <c r="A1459" t="s">
        <v>2981</v>
      </c>
      <c r="B1459" s="2">
        <v>45754</v>
      </c>
      <c r="C1459" t="s">
        <v>21</v>
      </c>
      <c r="D1459" t="s">
        <v>2982</v>
      </c>
      <c r="E1459" t="s">
        <v>42</v>
      </c>
      <c r="F1459">
        <v>6</v>
      </c>
      <c r="G1459" t="s">
        <v>35</v>
      </c>
      <c r="H1459" t="s">
        <v>25</v>
      </c>
      <c r="I1459" t="s">
        <v>39</v>
      </c>
    </row>
    <row r="1460" spans="1:9" x14ac:dyDescent="0.45">
      <c r="A1460" t="s">
        <v>2983</v>
      </c>
      <c r="B1460" s="2">
        <v>45754</v>
      </c>
      <c r="C1460" t="s">
        <v>52</v>
      </c>
      <c r="D1460" t="s">
        <v>2984</v>
      </c>
      <c r="E1460" t="s">
        <v>75</v>
      </c>
      <c r="F1460">
        <v>8</v>
      </c>
      <c r="G1460" t="s">
        <v>35</v>
      </c>
      <c r="H1460" t="s">
        <v>25</v>
      </c>
      <c r="I1460" t="s">
        <v>26</v>
      </c>
    </row>
    <row r="1461" spans="1:9" x14ac:dyDescent="0.45">
      <c r="A1461" t="s">
        <v>2985</v>
      </c>
      <c r="B1461" s="2">
        <v>45785</v>
      </c>
      <c r="C1461" t="s">
        <v>16</v>
      </c>
      <c r="D1461" t="s">
        <v>2986</v>
      </c>
      <c r="E1461" t="s">
        <v>46</v>
      </c>
      <c r="F1461">
        <v>12</v>
      </c>
      <c r="G1461" t="s">
        <v>59</v>
      </c>
      <c r="H1461" t="s">
        <v>14</v>
      </c>
      <c r="I1461" t="s">
        <v>19</v>
      </c>
    </row>
    <row r="1462" spans="1:9" x14ac:dyDescent="0.45">
      <c r="A1462" t="s">
        <v>2987</v>
      </c>
      <c r="B1462" s="2">
        <v>45679</v>
      </c>
      <c r="C1462" t="s">
        <v>16</v>
      </c>
      <c r="D1462" t="s">
        <v>2988</v>
      </c>
      <c r="E1462" t="s">
        <v>46</v>
      </c>
      <c r="F1462">
        <v>11</v>
      </c>
      <c r="G1462" t="s">
        <v>43</v>
      </c>
      <c r="H1462" t="s">
        <v>14</v>
      </c>
      <c r="I1462" t="s">
        <v>31</v>
      </c>
    </row>
    <row r="1463" spans="1:9" x14ac:dyDescent="0.45">
      <c r="A1463" t="s">
        <v>2989</v>
      </c>
      <c r="B1463" s="2">
        <v>45694</v>
      </c>
      <c r="C1463" t="s">
        <v>10</v>
      </c>
      <c r="D1463" t="s">
        <v>2990</v>
      </c>
      <c r="E1463" t="s">
        <v>7974</v>
      </c>
      <c r="F1463">
        <v>4</v>
      </c>
      <c r="G1463" t="s">
        <v>59</v>
      </c>
      <c r="H1463" t="s">
        <v>14</v>
      </c>
      <c r="I1463" t="s">
        <v>60</v>
      </c>
    </row>
    <row r="1464" spans="1:9" x14ac:dyDescent="0.45">
      <c r="A1464" t="s">
        <v>2991</v>
      </c>
      <c r="B1464" s="2">
        <v>45815</v>
      </c>
      <c r="C1464" t="s">
        <v>49</v>
      </c>
      <c r="D1464" t="s">
        <v>2992</v>
      </c>
      <c r="E1464" t="s">
        <v>54</v>
      </c>
      <c r="F1464">
        <v>7</v>
      </c>
      <c r="G1464" t="s">
        <v>68</v>
      </c>
      <c r="H1464" t="s">
        <v>25</v>
      </c>
      <c r="I1464" t="s">
        <v>47</v>
      </c>
    </row>
    <row r="1465" spans="1:9" x14ac:dyDescent="0.45">
      <c r="A1465" t="s">
        <v>2993</v>
      </c>
      <c r="B1465" s="2">
        <v>45707</v>
      </c>
      <c r="C1465" t="s">
        <v>66</v>
      </c>
      <c r="D1465" t="s">
        <v>2994</v>
      </c>
      <c r="E1465" t="s">
        <v>30</v>
      </c>
      <c r="F1465">
        <v>1</v>
      </c>
      <c r="G1465" t="s">
        <v>55</v>
      </c>
      <c r="H1465" t="s">
        <v>72</v>
      </c>
      <c r="I1465" t="s">
        <v>39</v>
      </c>
    </row>
    <row r="1466" spans="1:9" x14ac:dyDescent="0.45">
      <c r="A1466" t="s">
        <v>2995</v>
      </c>
      <c r="B1466" s="2">
        <v>45725</v>
      </c>
      <c r="C1466" t="s">
        <v>52</v>
      </c>
      <c r="D1466" t="s">
        <v>2996</v>
      </c>
      <c r="E1466" t="s">
        <v>42</v>
      </c>
      <c r="F1466">
        <v>9</v>
      </c>
      <c r="G1466" t="s">
        <v>59</v>
      </c>
      <c r="H1466" t="s">
        <v>14</v>
      </c>
      <c r="I1466" t="s">
        <v>39</v>
      </c>
    </row>
    <row r="1467" spans="1:9" x14ac:dyDescent="0.45">
      <c r="A1467" t="s">
        <v>2997</v>
      </c>
      <c r="B1467" s="2">
        <v>45879</v>
      </c>
      <c r="C1467" t="s">
        <v>52</v>
      </c>
      <c r="D1467" t="s">
        <v>2998</v>
      </c>
      <c r="E1467" t="s">
        <v>7973</v>
      </c>
      <c r="F1467">
        <v>8</v>
      </c>
      <c r="G1467" t="s">
        <v>24</v>
      </c>
      <c r="H1467" t="s">
        <v>25</v>
      </c>
      <c r="I1467" t="s">
        <v>60</v>
      </c>
    </row>
    <row r="1468" spans="1:9" x14ac:dyDescent="0.45">
      <c r="A1468" t="s">
        <v>2999</v>
      </c>
      <c r="B1468" s="2">
        <v>45665</v>
      </c>
      <c r="C1468" t="s">
        <v>99</v>
      </c>
      <c r="D1468" t="s">
        <v>3000</v>
      </c>
      <c r="E1468" t="s">
        <v>58</v>
      </c>
      <c r="F1468">
        <v>4</v>
      </c>
      <c r="G1468" t="s">
        <v>68</v>
      </c>
      <c r="H1468" t="s">
        <v>25</v>
      </c>
      <c r="I1468" t="s">
        <v>19</v>
      </c>
    </row>
    <row r="1469" spans="1:9" x14ac:dyDescent="0.45">
      <c r="A1469" t="s">
        <v>3001</v>
      </c>
      <c r="B1469" s="2">
        <v>45727</v>
      </c>
      <c r="C1469" t="s">
        <v>49</v>
      </c>
      <c r="D1469" t="s">
        <v>3002</v>
      </c>
      <c r="E1469" t="s">
        <v>30</v>
      </c>
      <c r="F1469">
        <v>1</v>
      </c>
      <c r="G1469" t="s">
        <v>55</v>
      </c>
      <c r="H1469" t="s">
        <v>72</v>
      </c>
      <c r="I1469" t="s">
        <v>39</v>
      </c>
    </row>
    <row r="1470" spans="1:9" x14ac:dyDescent="0.45">
      <c r="A1470" t="s">
        <v>3003</v>
      </c>
      <c r="B1470" s="2">
        <v>45760</v>
      </c>
      <c r="C1470" t="s">
        <v>49</v>
      </c>
      <c r="D1470" t="s">
        <v>3004</v>
      </c>
      <c r="E1470" t="s">
        <v>42</v>
      </c>
      <c r="F1470">
        <v>12</v>
      </c>
      <c r="G1470" t="s">
        <v>68</v>
      </c>
      <c r="H1470" t="s">
        <v>25</v>
      </c>
      <c r="I1470" t="s">
        <v>19</v>
      </c>
    </row>
    <row r="1471" spans="1:9" x14ac:dyDescent="0.45">
      <c r="A1471" t="s">
        <v>3005</v>
      </c>
      <c r="B1471" s="2">
        <v>45814</v>
      </c>
      <c r="C1471" t="s">
        <v>99</v>
      </c>
      <c r="D1471" t="s">
        <v>3006</v>
      </c>
      <c r="E1471" t="s">
        <v>71</v>
      </c>
      <c r="F1471">
        <v>7</v>
      </c>
      <c r="G1471" t="s">
        <v>35</v>
      </c>
      <c r="H1471" t="s">
        <v>25</v>
      </c>
      <c r="I1471" t="s">
        <v>39</v>
      </c>
    </row>
    <row r="1472" spans="1:9" x14ac:dyDescent="0.45">
      <c r="A1472" t="s">
        <v>3007</v>
      </c>
      <c r="B1472" s="2">
        <v>45748</v>
      </c>
      <c r="C1472" t="s">
        <v>16</v>
      </c>
      <c r="D1472" t="s">
        <v>3008</v>
      </c>
      <c r="E1472" t="s">
        <v>38</v>
      </c>
      <c r="F1472">
        <v>1</v>
      </c>
      <c r="G1472" t="s">
        <v>59</v>
      </c>
      <c r="H1472" t="s">
        <v>14</v>
      </c>
      <c r="I1472" t="s">
        <v>26</v>
      </c>
    </row>
    <row r="1473" spans="1:9" x14ac:dyDescent="0.45">
      <c r="A1473" t="s">
        <v>3009</v>
      </c>
      <c r="B1473" s="2">
        <v>45804</v>
      </c>
      <c r="C1473" t="s">
        <v>49</v>
      </c>
      <c r="D1473" t="s">
        <v>3010</v>
      </c>
      <c r="E1473" t="s">
        <v>46</v>
      </c>
      <c r="F1473">
        <v>11</v>
      </c>
      <c r="G1473" t="s">
        <v>68</v>
      </c>
      <c r="H1473" t="s">
        <v>25</v>
      </c>
      <c r="I1473" t="s">
        <v>60</v>
      </c>
    </row>
    <row r="1474" spans="1:9" x14ac:dyDescent="0.45">
      <c r="A1474" t="s">
        <v>3011</v>
      </c>
      <c r="B1474" s="2">
        <v>45665</v>
      </c>
      <c r="C1474" t="s">
        <v>66</v>
      </c>
      <c r="D1474" t="s">
        <v>3012</v>
      </c>
      <c r="E1474" t="s">
        <v>42</v>
      </c>
      <c r="F1474">
        <v>5</v>
      </c>
      <c r="G1474" t="s">
        <v>18</v>
      </c>
      <c r="H1474" t="s">
        <v>14</v>
      </c>
      <c r="I1474" t="s">
        <v>47</v>
      </c>
    </row>
    <row r="1475" spans="1:9" x14ac:dyDescent="0.45">
      <c r="A1475" t="s">
        <v>3013</v>
      </c>
      <c r="B1475" s="2">
        <v>45692</v>
      </c>
      <c r="C1475" t="s">
        <v>52</v>
      </c>
      <c r="D1475" t="s">
        <v>3014</v>
      </c>
      <c r="E1475" t="s">
        <v>30</v>
      </c>
      <c r="F1475">
        <v>8</v>
      </c>
      <c r="G1475" t="s">
        <v>24</v>
      </c>
      <c r="H1475" t="s">
        <v>25</v>
      </c>
      <c r="I1475" t="s">
        <v>47</v>
      </c>
    </row>
    <row r="1476" spans="1:9" x14ac:dyDescent="0.45">
      <c r="A1476" t="s">
        <v>3015</v>
      </c>
      <c r="B1476" s="2">
        <v>45815</v>
      </c>
      <c r="C1476" t="s">
        <v>66</v>
      </c>
      <c r="D1476" t="s">
        <v>3016</v>
      </c>
      <c r="E1476" t="s">
        <v>71</v>
      </c>
      <c r="F1476">
        <v>8</v>
      </c>
      <c r="G1476" t="s">
        <v>18</v>
      </c>
      <c r="H1476" t="s">
        <v>14</v>
      </c>
      <c r="I1476" t="s">
        <v>47</v>
      </c>
    </row>
    <row r="1477" spans="1:9" x14ac:dyDescent="0.45">
      <c r="A1477" t="s">
        <v>3017</v>
      </c>
      <c r="B1477" s="2">
        <v>45845</v>
      </c>
      <c r="C1477" t="s">
        <v>49</v>
      </c>
      <c r="D1477" t="s">
        <v>3018</v>
      </c>
      <c r="E1477" t="s">
        <v>7973</v>
      </c>
      <c r="F1477">
        <v>1</v>
      </c>
      <c r="G1477" t="s">
        <v>55</v>
      </c>
      <c r="H1477" t="s">
        <v>72</v>
      </c>
      <c r="I1477" t="s">
        <v>26</v>
      </c>
    </row>
    <row r="1478" spans="1:9" x14ac:dyDescent="0.45">
      <c r="A1478" t="s">
        <v>3019</v>
      </c>
      <c r="B1478" s="2">
        <v>45792</v>
      </c>
      <c r="C1478" t="s">
        <v>66</v>
      </c>
      <c r="D1478" t="s">
        <v>3020</v>
      </c>
      <c r="E1478" t="s">
        <v>23</v>
      </c>
      <c r="F1478">
        <v>2</v>
      </c>
      <c r="G1478" t="s">
        <v>35</v>
      </c>
      <c r="H1478" t="s">
        <v>25</v>
      </c>
      <c r="I1478" t="s">
        <v>19</v>
      </c>
    </row>
    <row r="1479" spans="1:9" x14ac:dyDescent="0.45">
      <c r="A1479" t="s">
        <v>3021</v>
      </c>
      <c r="B1479" s="2">
        <v>45780</v>
      </c>
      <c r="C1479" t="s">
        <v>28</v>
      </c>
      <c r="D1479" t="s">
        <v>3022</v>
      </c>
      <c r="E1479" t="s">
        <v>38</v>
      </c>
      <c r="F1479">
        <v>1</v>
      </c>
      <c r="G1479" t="s">
        <v>55</v>
      </c>
      <c r="H1479" t="s">
        <v>72</v>
      </c>
      <c r="I1479" t="s">
        <v>60</v>
      </c>
    </row>
    <row r="1480" spans="1:9" x14ac:dyDescent="0.45">
      <c r="A1480" t="s">
        <v>3023</v>
      </c>
      <c r="B1480" s="2">
        <v>45804</v>
      </c>
      <c r="C1480" t="s">
        <v>99</v>
      </c>
      <c r="D1480" t="s">
        <v>3024</v>
      </c>
      <c r="E1480" t="s">
        <v>23</v>
      </c>
      <c r="F1480">
        <v>5</v>
      </c>
      <c r="G1480" t="s">
        <v>68</v>
      </c>
      <c r="H1480" t="s">
        <v>25</v>
      </c>
      <c r="I1480" t="s">
        <v>26</v>
      </c>
    </row>
    <row r="1481" spans="1:9" x14ac:dyDescent="0.45">
      <c r="A1481" t="s">
        <v>3025</v>
      </c>
      <c r="B1481" s="2">
        <v>45897</v>
      </c>
      <c r="C1481" t="s">
        <v>28</v>
      </c>
      <c r="D1481" t="s">
        <v>3026</v>
      </c>
      <c r="E1481" t="s">
        <v>7967</v>
      </c>
      <c r="F1481">
        <v>1</v>
      </c>
      <c r="G1481" t="s">
        <v>13</v>
      </c>
      <c r="H1481" t="s">
        <v>14</v>
      </c>
      <c r="I1481" t="s">
        <v>26</v>
      </c>
    </row>
    <row r="1482" spans="1:9" x14ac:dyDescent="0.45">
      <c r="A1482" t="s">
        <v>3027</v>
      </c>
      <c r="B1482" s="2">
        <v>45885</v>
      </c>
      <c r="C1482" t="s">
        <v>16</v>
      </c>
      <c r="D1482" t="s">
        <v>3028</v>
      </c>
      <c r="E1482" t="s">
        <v>7973</v>
      </c>
      <c r="F1482">
        <v>2</v>
      </c>
      <c r="G1482" t="s">
        <v>35</v>
      </c>
      <c r="H1482" t="s">
        <v>25</v>
      </c>
      <c r="I1482" t="s">
        <v>26</v>
      </c>
    </row>
    <row r="1483" spans="1:9" x14ac:dyDescent="0.45">
      <c r="A1483" t="s">
        <v>3029</v>
      </c>
      <c r="B1483" s="2">
        <v>45865</v>
      </c>
      <c r="C1483" t="s">
        <v>28</v>
      </c>
      <c r="D1483" t="s">
        <v>3030</v>
      </c>
      <c r="E1483" t="s">
        <v>34</v>
      </c>
      <c r="F1483">
        <v>5</v>
      </c>
      <c r="G1483" t="s">
        <v>43</v>
      </c>
      <c r="H1483" t="s">
        <v>14</v>
      </c>
      <c r="I1483" t="s">
        <v>19</v>
      </c>
    </row>
    <row r="1484" spans="1:9" x14ac:dyDescent="0.45">
      <c r="A1484" t="s">
        <v>3031</v>
      </c>
      <c r="B1484" s="2">
        <v>45862</v>
      </c>
      <c r="C1484" t="s">
        <v>10</v>
      </c>
      <c r="D1484" t="s">
        <v>3032</v>
      </c>
      <c r="E1484" t="s">
        <v>34</v>
      </c>
      <c r="F1484">
        <v>7</v>
      </c>
      <c r="G1484" t="s">
        <v>59</v>
      </c>
      <c r="H1484" t="s">
        <v>14</v>
      </c>
      <c r="I1484" t="s">
        <v>60</v>
      </c>
    </row>
    <row r="1485" spans="1:9" x14ac:dyDescent="0.45">
      <c r="A1485" t="s">
        <v>3033</v>
      </c>
      <c r="B1485" s="2">
        <v>45828</v>
      </c>
      <c r="C1485" t="s">
        <v>66</v>
      </c>
      <c r="D1485" t="s">
        <v>3034</v>
      </c>
      <c r="E1485" t="s">
        <v>75</v>
      </c>
      <c r="F1485">
        <v>9</v>
      </c>
      <c r="G1485" t="s">
        <v>59</v>
      </c>
      <c r="H1485" t="s">
        <v>14</v>
      </c>
      <c r="I1485" t="s">
        <v>31</v>
      </c>
    </row>
    <row r="1486" spans="1:9" x14ac:dyDescent="0.45">
      <c r="A1486" t="s">
        <v>3035</v>
      </c>
      <c r="B1486" s="2">
        <v>45749</v>
      </c>
      <c r="C1486" t="s">
        <v>28</v>
      </c>
      <c r="D1486" t="s">
        <v>3036</v>
      </c>
      <c r="E1486" t="s">
        <v>54</v>
      </c>
      <c r="F1486">
        <v>3</v>
      </c>
      <c r="G1486" t="s">
        <v>55</v>
      </c>
      <c r="H1486" t="s">
        <v>72</v>
      </c>
      <c r="I1486" t="s">
        <v>31</v>
      </c>
    </row>
    <row r="1487" spans="1:9" x14ac:dyDescent="0.45">
      <c r="A1487" t="s">
        <v>3037</v>
      </c>
      <c r="B1487" s="2">
        <v>45699</v>
      </c>
      <c r="C1487" t="s">
        <v>66</v>
      </c>
      <c r="D1487" t="s">
        <v>3038</v>
      </c>
      <c r="E1487" t="s">
        <v>30</v>
      </c>
      <c r="F1487">
        <v>8</v>
      </c>
      <c r="G1487" t="s">
        <v>59</v>
      </c>
      <c r="H1487" t="s">
        <v>14</v>
      </c>
      <c r="I1487" t="s">
        <v>31</v>
      </c>
    </row>
    <row r="1488" spans="1:9" x14ac:dyDescent="0.45">
      <c r="A1488" t="s">
        <v>3039</v>
      </c>
      <c r="B1488" s="2">
        <v>45804</v>
      </c>
      <c r="C1488" t="s">
        <v>52</v>
      </c>
      <c r="D1488" t="s">
        <v>3040</v>
      </c>
      <c r="E1488" t="s">
        <v>7974</v>
      </c>
      <c r="F1488">
        <v>7</v>
      </c>
      <c r="G1488" t="s">
        <v>35</v>
      </c>
      <c r="H1488" t="s">
        <v>25</v>
      </c>
      <c r="I1488" t="s">
        <v>47</v>
      </c>
    </row>
    <row r="1489" spans="1:9" x14ac:dyDescent="0.45">
      <c r="A1489" t="s">
        <v>3041</v>
      </c>
      <c r="B1489" s="2">
        <v>45778</v>
      </c>
      <c r="C1489" t="s">
        <v>21</v>
      </c>
      <c r="D1489" t="s">
        <v>3042</v>
      </c>
      <c r="E1489" t="s">
        <v>58</v>
      </c>
      <c r="F1489">
        <v>1</v>
      </c>
      <c r="G1489" t="s">
        <v>55</v>
      </c>
      <c r="H1489" t="s">
        <v>72</v>
      </c>
      <c r="I1489" t="s">
        <v>31</v>
      </c>
    </row>
    <row r="1490" spans="1:9" x14ac:dyDescent="0.45">
      <c r="A1490" t="s">
        <v>3043</v>
      </c>
      <c r="B1490" s="2">
        <v>45741</v>
      </c>
      <c r="C1490" t="s">
        <v>49</v>
      </c>
      <c r="D1490" t="s">
        <v>3044</v>
      </c>
      <c r="E1490" t="s">
        <v>7973</v>
      </c>
      <c r="F1490">
        <v>7</v>
      </c>
      <c r="G1490" t="s">
        <v>68</v>
      </c>
      <c r="H1490" t="s">
        <v>25</v>
      </c>
      <c r="I1490" t="s">
        <v>26</v>
      </c>
    </row>
    <row r="1491" spans="1:9" x14ac:dyDescent="0.45">
      <c r="A1491" t="s">
        <v>3045</v>
      </c>
      <c r="B1491" s="2">
        <v>45729</v>
      </c>
      <c r="C1491" t="s">
        <v>28</v>
      </c>
      <c r="D1491" t="s">
        <v>3046</v>
      </c>
      <c r="E1491" t="s">
        <v>23</v>
      </c>
      <c r="F1491">
        <v>3</v>
      </c>
      <c r="G1491" t="s">
        <v>13</v>
      </c>
      <c r="H1491" t="s">
        <v>14</v>
      </c>
      <c r="I1491" t="s">
        <v>31</v>
      </c>
    </row>
    <row r="1492" spans="1:9" x14ac:dyDescent="0.45">
      <c r="A1492" t="s">
        <v>3047</v>
      </c>
      <c r="B1492" s="2">
        <v>45740</v>
      </c>
      <c r="C1492" t="s">
        <v>21</v>
      </c>
      <c r="D1492" t="s">
        <v>3048</v>
      </c>
      <c r="E1492" t="s">
        <v>38</v>
      </c>
      <c r="F1492">
        <v>3</v>
      </c>
      <c r="G1492" t="s">
        <v>55</v>
      </c>
      <c r="H1492" t="s">
        <v>72</v>
      </c>
      <c r="I1492" t="s">
        <v>39</v>
      </c>
    </row>
    <row r="1493" spans="1:9" x14ac:dyDescent="0.45">
      <c r="A1493" t="s">
        <v>3049</v>
      </c>
      <c r="B1493" s="2">
        <v>45799</v>
      </c>
      <c r="C1493" t="s">
        <v>28</v>
      </c>
      <c r="D1493" t="s">
        <v>3050</v>
      </c>
      <c r="E1493" t="s">
        <v>71</v>
      </c>
      <c r="F1493">
        <v>12</v>
      </c>
      <c r="G1493" t="s">
        <v>24</v>
      </c>
      <c r="H1493" t="s">
        <v>25</v>
      </c>
      <c r="I1493" t="s">
        <v>47</v>
      </c>
    </row>
    <row r="1494" spans="1:9" x14ac:dyDescent="0.45">
      <c r="A1494" t="s">
        <v>3051</v>
      </c>
      <c r="B1494" s="2">
        <v>45889</v>
      </c>
      <c r="C1494" t="s">
        <v>49</v>
      </c>
      <c r="D1494" t="s">
        <v>3052</v>
      </c>
      <c r="E1494" t="s">
        <v>71</v>
      </c>
      <c r="F1494">
        <v>6</v>
      </c>
      <c r="G1494" t="s">
        <v>43</v>
      </c>
      <c r="H1494" t="s">
        <v>14</v>
      </c>
      <c r="I1494" t="s">
        <v>47</v>
      </c>
    </row>
    <row r="1495" spans="1:9" x14ac:dyDescent="0.45">
      <c r="A1495" t="s">
        <v>3053</v>
      </c>
      <c r="B1495" s="2">
        <v>45685</v>
      </c>
      <c r="C1495" t="s">
        <v>16</v>
      </c>
      <c r="D1495" t="s">
        <v>3054</v>
      </c>
      <c r="E1495" t="s">
        <v>30</v>
      </c>
      <c r="F1495">
        <v>3</v>
      </c>
      <c r="G1495" t="s">
        <v>59</v>
      </c>
      <c r="H1495" t="s">
        <v>14</v>
      </c>
      <c r="I1495" t="s">
        <v>39</v>
      </c>
    </row>
    <row r="1496" spans="1:9" x14ac:dyDescent="0.45">
      <c r="A1496" t="s">
        <v>3055</v>
      </c>
      <c r="B1496" s="2">
        <v>45826</v>
      </c>
      <c r="C1496" t="s">
        <v>10</v>
      </c>
      <c r="D1496" t="s">
        <v>3056</v>
      </c>
      <c r="E1496" t="s">
        <v>75</v>
      </c>
      <c r="F1496">
        <v>1</v>
      </c>
      <c r="G1496" t="s">
        <v>18</v>
      </c>
      <c r="H1496" t="s">
        <v>14</v>
      </c>
      <c r="I1496" t="s">
        <v>39</v>
      </c>
    </row>
    <row r="1497" spans="1:9" x14ac:dyDescent="0.45">
      <c r="A1497" t="s">
        <v>3057</v>
      </c>
      <c r="B1497" s="2">
        <v>45757</v>
      </c>
      <c r="C1497" t="s">
        <v>16</v>
      </c>
      <c r="D1497" t="s">
        <v>3058</v>
      </c>
      <c r="E1497" t="s">
        <v>58</v>
      </c>
      <c r="F1497">
        <v>2</v>
      </c>
      <c r="G1497" t="s">
        <v>18</v>
      </c>
      <c r="H1497" t="s">
        <v>14</v>
      </c>
      <c r="I1497" t="s">
        <v>39</v>
      </c>
    </row>
    <row r="1498" spans="1:9" x14ac:dyDescent="0.45">
      <c r="A1498" t="s">
        <v>3059</v>
      </c>
      <c r="B1498" s="2">
        <v>45808</v>
      </c>
      <c r="C1498" t="s">
        <v>66</v>
      </c>
      <c r="D1498" t="s">
        <v>3060</v>
      </c>
      <c r="E1498" t="s">
        <v>30</v>
      </c>
      <c r="F1498">
        <v>6</v>
      </c>
      <c r="G1498" t="s">
        <v>24</v>
      </c>
      <c r="H1498" t="s">
        <v>25</v>
      </c>
      <c r="I1498" t="s">
        <v>47</v>
      </c>
    </row>
    <row r="1499" spans="1:9" x14ac:dyDescent="0.45">
      <c r="A1499" t="s">
        <v>3061</v>
      </c>
      <c r="B1499" s="2">
        <v>45785</v>
      </c>
      <c r="C1499" t="s">
        <v>49</v>
      </c>
      <c r="D1499" t="s">
        <v>3062</v>
      </c>
      <c r="E1499" t="s">
        <v>58</v>
      </c>
      <c r="F1499">
        <v>7</v>
      </c>
      <c r="G1499" t="s">
        <v>55</v>
      </c>
      <c r="H1499" t="s">
        <v>72</v>
      </c>
      <c r="I1499" t="s">
        <v>26</v>
      </c>
    </row>
    <row r="1500" spans="1:9" x14ac:dyDescent="0.45">
      <c r="A1500" t="s">
        <v>3063</v>
      </c>
      <c r="B1500" s="2">
        <v>45828</v>
      </c>
      <c r="C1500" t="s">
        <v>16</v>
      </c>
      <c r="D1500" t="s">
        <v>3064</v>
      </c>
      <c r="E1500" t="s">
        <v>58</v>
      </c>
      <c r="F1500">
        <v>10</v>
      </c>
      <c r="G1500" t="s">
        <v>59</v>
      </c>
      <c r="H1500" t="s">
        <v>14</v>
      </c>
      <c r="I1500" t="s">
        <v>60</v>
      </c>
    </row>
    <row r="1501" spans="1:9" x14ac:dyDescent="0.45">
      <c r="A1501" t="s">
        <v>3065</v>
      </c>
      <c r="B1501" s="2">
        <v>45786</v>
      </c>
      <c r="C1501" t="s">
        <v>52</v>
      </c>
      <c r="D1501" t="s">
        <v>3066</v>
      </c>
      <c r="E1501" t="s">
        <v>46</v>
      </c>
      <c r="F1501">
        <v>3</v>
      </c>
      <c r="G1501" t="s">
        <v>24</v>
      </c>
      <c r="H1501" t="s">
        <v>25</v>
      </c>
      <c r="I1501" t="s">
        <v>60</v>
      </c>
    </row>
    <row r="1502" spans="1:9" x14ac:dyDescent="0.45">
      <c r="A1502" t="s">
        <v>3067</v>
      </c>
      <c r="B1502" s="2">
        <v>45778</v>
      </c>
      <c r="C1502" t="s">
        <v>16</v>
      </c>
      <c r="D1502" t="s">
        <v>3068</v>
      </c>
      <c r="E1502" t="s">
        <v>7973</v>
      </c>
      <c r="F1502">
        <v>3</v>
      </c>
      <c r="G1502" t="s">
        <v>43</v>
      </c>
      <c r="H1502" t="s">
        <v>14</v>
      </c>
      <c r="I1502" t="s">
        <v>39</v>
      </c>
    </row>
    <row r="1503" spans="1:9" x14ac:dyDescent="0.45">
      <c r="A1503" t="s">
        <v>3069</v>
      </c>
      <c r="B1503" s="2">
        <v>45900</v>
      </c>
      <c r="C1503" t="s">
        <v>52</v>
      </c>
      <c r="D1503" t="s">
        <v>3070</v>
      </c>
      <c r="E1503" t="s">
        <v>7974</v>
      </c>
      <c r="F1503">
        <v>10</v>
      </c>
      <c r="G1503" t="s">
        <v>24</v>
      </c>
      <c r="H1503" t="s">
        <v>25</v>
      </c>
      <c r="I1503" t="s">
        <v>39</v>
      </c>
    </row>
    <row r="1504" spans="1:9" x14ac:dyDescent="0.45">
      <c r="A1504" t="s">
        <v>3071</v>
      </c>
      <c r="B1504" s="2">
        <v>45812</v>
      </c>
      <c r="C1504" t="s">
        <v>52</v>
      </c>
      <c r="D1504" t="s">
        <v>3072</v>
      </c>
      <c r="E1504" t="s">
        <v>42</v>
      </c>
      <c r="F1504">
        <v>9</v>
      </c>
      <c r="G1504" t="s">
        <v>68</v>
      </c>
      <c r="H1504" t="s">
        <v>25</v>
      </c>
      <c r="I1504" t="s">
        <v>31</v>
      </c>
    </row>
    <row r="1505" spans="1:9" x14ac:dyDescent="0.45">
      <c r="A1505" t="s">
        <v>3073</v>
      </c>
      <c r="B1505" s="2">
        <v>45767</v>
      </c>
      <c r="C1505" t="s">
        <v>52</v>
      </c>
      <c r="D1505" t="s">
        <v>3074</v>
      </c>
      <c r="E1505" t="s">
        <v>42</v>
      </c>
      <c r="F1505">
        <v>1</v>
      </c>
      <c r="G1505" t="s">
        <v>68</v>
      </c>
      <c r="H1505" t="s">
        <v>25</v>
      </c>
      <c r="I1505" t="s">
        <v>26</v>
      </c>
    </row>
    <row r="1506" spans="1:9" x14ac:dyDescent="0.45">
      <c r="A1506" t="s">
        <v>3075</v>
      </c>
      <c r="B1506" s="2">
        <v>45831</v>
      </c>
      <c r="C1506" t="s">
        <v>52</v>
      </c>
      <c r="D1506" t="s">
        <v>3076</v>
      </c>
      <c r="E1506" t="s">
        <v>42</v>
      </c>
      <c r="F1506">
        <v>7</v>
      </c>
      <c r="G1506" t="s">
        <v>13</v>
      </c>
      <c r="H1506" t="s">
        <v>14</v>
      </c>
      <c r="I1506" t="s">
        <v>31</v>
      </c>
    </row>
    <row r="1507" spans="1:9" x14ac:dyDescent="0.45">
      <c r="A1507" t="s">
        <v>3077</v>
      </c>
      <c r="B1507" s="2">
        <v>45767</v>
      </c>
      <c r="C1507" t="s">
        <v>21</v>
      </c>
      <c r="D1507" t="s">
        <v>3078</v>
      </c>
      <c r="E1507" t="s">
        <v>30</v>
      </c>
      <c r="F1507">
        <v>8</v>
      </c>
      <c r="G1507" t="s">
        <v>24</v>
      </c>
      <c r="H1507" t="s">
        <v>25</v>
      </c>
      <c r="I1507" t="s">
        <v>47</v>
      </c>
    </row>
    <row r="1508" spans="1:9" x14ac:dyDescent="0.45">
      <c r="A1508" t="s">
        <v>3079</v>
      </c>
      <c r="B1508" s="2">
        <v>45888</v>
      </c>
      <c r="C1508" t="s">
        <v>66</v>
      </c>
      <c r="D1508" t="s">
        <v>3080</v>
      </c>
      <c r="E1508" t="s">
        <v>30</v>
      </c>
      <c r="F1508">
        <v>2</v>
      </c>
      <c r="G1508" t="s">
        <v>59</v>
      </c>
      <c r="H1508" t="s">
        <v>14</v>
      </c>
      <c r="I1508" t="s">
        <v>19</v>
      </c>
    </row>
    <row r="1509" spans="1:9" x14ac:dyDescent="0.45">
      <c r="A1509" t="s">
        <v>3081</v>
      </c>
      <c r="B1509" s="2">
        <v>45743</v>
      </c>
      <c r="C1509" t="s">
        <v>28</v>
      </c>
      <c r="D1509" t="s">
        <v>3082</v>
      </c>
      <c r="E1509" t="s">
        <v>7973</v>
      </c>
      <c r="F1509">
        <v>11</v>
      </c>
      <c r="G1509" t="s">
        <v>68</v>
      </c>
      <c r="H1509" t="s">
        <v>25</v>
      </c>
      <c r="I1509" t="s">
        <v>39</v>
      </c>
    </row>
    <row r="1510" spans="1:9" x14ac:dyDescent="0.45">
      <c r="A1510" t="s">
        <v>3083</v>
      </c>
      <c r="B1510" s="2">
        <v>45831</v>
      </c>
      <c r="C1510" t="s">
        <v>49</v>
      </c>
      <c r="D1510" t="s">
        <v>3084</v>
      </c>
      <c r="E1510" t="s">
        <v>23</v>
      </c>
      <c r="F1510">
        <v>4</v>
      </c>
      <c r="G1510" t="s">
        <v>13</v>
      </c>
      <c r="H1510" t="s">
        <v>14</v>
      </c>
      <c r="I1510" t="s">
        <v>19</v>
      </c>
    </row>
    <row r="1511" spans="1:9" x14ac:dyDescent="0.45">
      <c r="A1511" t="s">
        <v>3085</v>
      </c>
      <c r="B1511" s="2">
        <v>45788</v>
      </c>
      <c r="C1511" t="s">
        <v>66</v>
      </c>
      <c r="D1511" t="s">
        <v>3086</v>
      </c>
      <c r="E1511" t="s">
        <v>46</v>
      </c>
      <c r="F1511">
        <v>10</v>
      </c>
      <c r="G1511" t="s">
        <v>68</v>
      </c>
      <c r="H1511" t="s">
        <v>25</v>
      </c>
      <c r="I1511" t="s">
        <v>39</v>
      </c>
    </row>
    <row r="1512" spans="1:9" x14ac:dyDescent="0.45">
      <c r="A1512" t="s">
        <v>3087</v>
      </c>
      <c r="B1512" s="2">
        <v>45821</v>
      </c>
      <c r="C1512" t="s">
        <v>66</v>
      </c>
      <c r="D1512" t="s">
        <v>3088</v>
      </c>
      <c r="E1512" t="s">
        <v>75</v>
      </c>
      <c r="F1512">
        <v>11</v>
      </c>
      <c r="G1512" t="s">
        <v>24</v>
      </c>
      <c r="H1512" t="s">
        <v>25</v>
      </c>
      <c r="I1512" t="s">
        <v>47</v>
      </c>
    </row>
    <row r="1513" spans="1:9" x14ac:dyDescent="0.45">
      <c r="A1513" t="s">
        <v>3089</v>
      </c>
      <c r="B1513" s="2">
        <v>45885</v>
      </c>
      <c r="C1513" t="s">
        <v>10</v>
      </c>
      <c r="D1513" t="s">
        <v>3090</v>
      </c>
      <c r="E1513" t="s">
        <v>42</v>
      </c>
      <c r="F1513">
        <v>4</v>
      </c>
      <c r="G1513" t="s">
        <v>24</v>
      </c>
      <c r="H1513" t="s">
        <v>25</v>
      </c>
      <c r="I1513" t="s">
        <v>31</v>
      </c>
    </row>
    <row r="1514" spans="1:9" x14ac:dyDescent="0.45">
      <c r="A1514" t="s">
        <v>3091</v>
      </c>
      <c r="B1514" s="2">
        <v>45818</v>
      </c>
      <c r="C1514" t="s">
        <v>66</v>
      </c>
      <c r="D1514" t="s">
        <v>3092</v>
      </c>
      <c r="E1514" t="s">
        <v>7974</v>
      </c>
      <c r="F1514">
        <v>8</v>
      </c>
      <c r="G1514" t="s">
        <v>18</v>
      </c>
      <c r="H1514" t="s">
        <v>14</v>
      </c>
      <c r="I1514" t="s">
        <v>60</v>
      </c>
    </row>
    <row r="1515" spans="1:9" x14ac:dyDescent="0.45">
      <c r="A1515" t="s">
        <v>3093</v>
      </c>
      <c r="B1515" s="2">
        <v>45736</v>
      </c>
      <c r="C1515" t="s">
        <v>49</v>
      </c>
      <c r="D1515" t="s">
        <v>3094</v>
      </c>
      <c r="E1515" t="s">
        <v>38</v>
      </c>
      <c r="F1515">
        <v>7</v>
      </c>
      <c r="G1515" t="s">
        <v>35</v>
      </c>
      <c r="H1515" t="s">
        <v>25</v>
      </c>
      <c r="I1515" t="s">
        <v>19</v>
      </c>
    </row>
    <row r="1516" spans="1:9" x14ac:dyDescent="0.45">
      <c r="A1516" t="s">
        <v>3095</v>
      </c>
      <c r="B1516" s="2">
        <v>45810</v>
      </c>
      <c r="C1516" t="s">
        <v>66</v>
      </c>
      <c r="D1516" t="s">
        <v>3096</v>
      </c>
      <c r="E1516" t="s">
        <v>75</v>
      </c>
      <c r="F1516">
        <v>5</v>
      </c>
      <c r="G1516" t="s">
        <v>43</v>
      </c>
      <c r="H1516" t="s">
        <v>14</v>
      </c>
      <c r="I1516" t="s">
        <v>26</v>
      </c>
    </row>
    <row r="1517" spans="1:9" x14ac:dyDescent="0.45">
      <c r="A1517" t="s">
        <v>3097</v>
      </c>
      <c r="B1517" s="2">
        <v>45842</v>
      </c>
      <c r="C1517" t="s">
        <v>99</v>
      </c>
      <c r="D1517" t="s">
        <v>3098</v>
      </c>
      <c r="E1517" t="s">
        <v>75</v>
      </c>
      <c r="F1517">
        <v>11</v>
      </c>
      <c r="G1517" t="s">
        <v>24</v>
      </c>
      <c r="H1517" t="s">
        <v>25</v>
      </c>
      <c r="I1517" t="s">
        <v>60</v>
      </c>
    </row>
    <row r="1518" spans="1:9" x14ac:dyDescent="0.45">
      <c r="A1518" t="s">
        <v>3099</v>
      </c>
      <c r="B1518" s="2">
        <v>45667</v>
      </c>
      <c r="C1518" t="s">
        <v>49</v>
      </c>
      <c r="D1518" t="s">
        <v>3100</v>
      </c>
      <c r="E1518" t="s">
        <v>71</v>
      </c>
      <c r="F1518">
        <v>11</v>
      </c>
      <c r="G1518" t="s">
        <v>13</v>
      </c>
      <c r="H1518" t="s">
        <v>14</v>
      </c>
      <c r="I1518" t="s">
        <v>26</v>
      </c>
    </row>
    <row r="1519" spans="1:9" x14ac:dyDescent="0.45">
      <c r="A1519" t="s">
        <v>3101</v>
      </c>
      <c r="B1519" s="2">
        <v>45869</v>
      </c>
      <c r="C1519" t="s">
        <v>49</v>
      </c>
      <c r="D1519" t="s">
        <v>3102</v>
      </c>
      <c r="E1519" t="s">
        <v>30</v>
      </c>
      <c r="F1519">
        <v>9</v>
      </c>
      <c r="G1519" t="s">
        <v>59</v>
      </c>
      <c r="H1519" t="s">
        <v>14</v>
      </c>
      <c r="I1519" t="s">
        <v>31</v>
      </c>
    </row>
    <row r="1520" spans="1:9" x14ac:dyDescent="0.45">
      <c r="A1520" t="s">
        <v>3103</v>
      </c>
      <c r="B1520" s="2">
        <v>45801</v>
      </c>
      <c r="C1520" t="s">
        <v>66</v>
      </c>
      <c r="D1520" t="s">
        <v>3104</v>
      </c>
      <c r="E1520" t="s">
        <v>42</v>
      </c>
      <c r="F1520">
        <v>4</v>
      </c>
      <c r="G1520" t="s">
        <v>13</v>
      </c>
      <c r="H1520" t="s">
        <v>14</v>
      </c>
      <c r="I1520" t="s">
        <v>39</v>
      </c>
    </row>
    <row r="1521" spans="1:9" x14ac:dyDescent="0.45">
      <c r="A1521" t="s">
        <v>3105</v>
      </c>
      <c r="B1521" s="2">
        <v>45709</v>
      </c>
      <c r="C1521" t="s">
        <v>52</v>
      </c>
      <c r="D1521" t="s">
        <v>3106</v>
      </c>
      <c r="E1521" t="s">
        <v>7973</v>
      </c>
      <c r="F1521">
        <v>11</v>
      </c>
      <c r="G1521" t="s">
        <v>24</v>
      </c>
      <c r="H1521" t="s">
        <v>25</v>
      </c>
      <c r="I1521" t="s">
        <v>31</v>
      </c>
    </row>
    <row r="1522" spans="1:9" x14ac:dyDescent="0.45">
      <c r="A1522" t="s">
        <v>3107</v>
      </c>
      <c r="B1522" s="2">
        <v>45773</v>
      </c>
      <c r="C1522" t="s">
        <v>28</v>
      </c>
      <c r="D1522" t="s">
        <v>3108</v>
      </c>
      <c r="E1522" t="s">
        <v>42</v>
      </c>
      <c r="F1522">
        <v>9</v>
      </c>
      <c r="G1522" t="s">
        <v>59</v>
      </c>
      <c r="H1522" t="s">
        <v>14</v>
      </c>
      <c r="I1522" t="s">
        <v>39</v>
      </c>
    </row>
    <row r="1523" spans="1:9" x14ac:dyDescent="0.45">
      <c r="A1523" t="s">
        <v>3109</v>
      </c>
      <c r="B1523" s="2">
        <v>45743</v>
      </c>
      <c r="C1523" t="s">
        <v>10</v>
      </c>
      <c r="D1523" t="s">
        <v>3110</v>
      </c>
      <c r="E1523" t="s">
        <v>58</v>
      </c>
      <c r="F1523">
        <v>10</v>
      </c>
      <c r="G1523" t="s">
        <v>43</v>
      </c>
      <c r="H1523" t="s">
        <v>14</v>
      </c>
      <c r="I1523" t="s">
        <v>47</v>
      </c>
    </row>
    <row r="1524" spans="1:9" x14ac:dyDescent="0.45">
      <c r="A1524" t="s">
        <v>3111</v>
      </c>
      <c r="B1524" s="2">
        <v>45806</v>
      </c>
      <c r="C1524" t="s">
        <v>99</v>
      </c>
      <c r="D1524" t="s">
        <v>3112</v>
      </c>
      <c r="E1524" t="s">
        <v>23</v>
      </c>
      <c r="F1524">
        <v>4</v>
      </c>
      <c r="G1524" t="s">
        <v>24</v>
      </c>
      <c r="H1524" t="s">
        <v>25</v>
      </c>
      <c r="I1524" t="s">
        <v>39</v>
      </c>
    </row>
    <row r="1525" spans="1:9" x14ac:dyDescent="0.45">
      <c r="A1525" t="s">
        <v>3113</v>
      </c>
      <c r="B1525" s="2">
        <v>45739</v>
      </c>
      <c r="C1525" t="s">
        <v>10</v>
      </c>
      <c r="D1525" t="s">
        <v>3114</v>
      </c>
      <c r="E1525" t="s">
        <v>7973</v>
      </c>
      <c r="F1525">
        <v>6</v>
      </c>
      <c r="G1525" t="s">
        <v>68</v>
      </c>
      <c r="H1525" t="s">
        <v>25</v>
      </c>
      <c r="I1525" t="s">
        <v>19</v>
      </c>
    </row>
    <row r="1526" spans="1:9" x14ac:dyDescent="0.45">
      <c r="A1526" t="s">
        <v>3115</v>
      </c>
      <c r="B1526" s="2">
        <v>45840</v>
      </c>
      <c r="C1526" t="s">
        <v>16</v>
      </c>
      <c r="D1526" t="s">
        <v>3116</v>
      </c>
      <c r="E1526" t="s">
        <v>30</v>
      </c>
      <c r="F1526">
        <v>8</v>
      </c>
      <c r="G1526" t="s">
        <v>18</v>
      </c>
      <c r="H1526" t="s">
        <v>14</v>
      </c>
      <c r="I1526" t="s">
        <v>31</v>
      </c>
    </row>
    <row r="1527" spans="1:9" x14ac:dyDescent="0.45">
      <c r="A1527" t="s">
        <v>3117</v>
      </c>
      <c r="B1527" s="2">
        <v>45795</v>
      </c>
      <c r="C1527" t="s">
        <v>49</v>
      </c>
      <c r="D1527" t="s">
        <v>3118</v>
      </c>
      <c r="E1527" t="s">
        <v>7974</v>
      </c>
      <c r="F1527">
        <v>12</v>
      </c>
      <c r="G1527" t="s">
        <v>24</v>
      </c>
      <c r="H1527" t="s">
        <v>25</v>
      </c>
      <c r="I1527" t="s">
        <v>26</v>
      </c>
    </row>
    <row r="1528" spans="1:9" x14ac:dyDescent="0.45">
      <c r="A1528" t="s">
        <v>3119</v>
      </c>
      <c r="B1528" s="2">
        <v>45671</v>
      </c>
      <c r="C1528" t="s">
        <v>49</v>
      </c>
      <c r="D1528" t="s">
        <v>3120</v>
      </c>
      <c r="E1528" t="s">
        <v>42</v>
      </c>
      <c r="F1528">
        <v>11</v>
      </c>
      <c r="G1528" t="s">
        <v>24</v>
      </c>
      <c r="H1528" t="s">
        <v>25</v>
      </c>
      <c r="I1528" t="s">
        <v>39</v>
      </c>
    </row>
    <row r="1529" spans="1:9" x14ac:dyDescent="0.45">
      <c r="A1529" t="s">
        <v>3121</v>
      </c>
      <c r="B1529" s="2">
        <v>45681</v>
      </c>
      <c r="C1529" t="s">
        <v>28</v>
      </c>
      <c r="D1529" t="s">
        <v>3122</v>
      </c>
      <c r="E1529" t="s">
        <v>7973</v>
      </c>
      <c r="F1529">
        <v>2</v>
      </c>
      <c r="G1529" t="s">
        <v>18</v>
      </c>
      <c r="H1529" t="s">
        <v>14</v>
      </c>
      <c r="I1529" t="s">
        <v>47</v>
      </c>
    </row>
    <row r="1530" spans="1:9" x14ac:dyDescent="0.45">
      <c r="A1530" t="s">
        <v>3123</v>
      </c>
      <c r="B1530" s="2">
        <v>45738</v>
      </c>
      <c r="C1530" t="s">
        <v>21</v>
      </c>
      <c r="D1530" t="s">
        <v>3124</v>
      </c>
      <c r="E1530" t="s">
        <v>7973</v>
      </c>
      <c r="F1530">
        <v>6</v>
      </c>
      <c r="G1530" t="s">
        <v>43</v>
      </c>
      <c r="H1530" t="s">
        <v>14</v>
      </c>
      <c r="I1530" t="s">
        <v>26</v>
      </c>
    </row>
    <row r="1531" spans="1:9" x14ac:dyDescent="0.45">
      <c r="A1531" t="s">
        <v>3125</v>
      </c>
      <c r="B1531" s="2">
        <v>45862</v>
      </c>
      <c r="C1531" t="s">
        <v>66</v>
      </c>
      <c r="D1531" t="s">
        <v>3126</v>
      </c>
      <c r="E1531" t="s">
        <v>38</v>
      </c>
      <c r="F1531">
        <v>4</v>
      </c>
      <c r="G1531" t="s">
        <v>59</v>
      </c>
      <c r="H1531" t="s">
        <v>14</v>
      </c>
      <c r="I1531" t="s">
        <v>31</v>
      </c>
    </row>
    <row r="1532" spans="1:9" x14ac:dyDescent="0.45">
      <c r="A1532" t="s">
        <v>3127</v>
      </c>
      <c r="B1532" s="2">
        <v>45809</v>
      </c>
      <c r="C1532" t="s">
        <v>10</v>
      </c>
      <c r="D1532" t="s">
        <v>3128</v>
      </c>
      <c r="E1532" t="s">
        <v>7973</v>
      </c>
      <c r="F1532">
        <v>7</v>
      </c>
      <c r="G1532" t="s">
        <v>18</v>
      </c>
      <c r="H1532" t="s">
        <v>14</v>
      </c>
      <c r="I1532" t="s">
        <v>39</v>
      </c>
    </row>
    <row r="1533" spans="1:9" x14ac:dyDescent="0.45">
      <c r="A1533" t="s">
        <v>3129</v>
      </c>
      <c r="B1533" s="2">
        <v>45893</v>
      </c>
      <c r="C1533" t="s">
        <v>66</v>
      </c>
      <c r="D1533" t="s">
        <v>3130</v>
      </c>
      <c r="E1533" t="s">
        <v>46</v>
      </c>
      <c r="F1533">
        <v>3</v>
      </c>
      <c r="G1533" t="s">
        <v>55</v>
      </c>
      <c r="H1533" t="s">
        <v>72</v>
      </c>
      <c r="I1533" t="s">
        <v>31</v>
      </c>
    </row>
    <row r="1534" spans="1:9" x14ac:dyDescent="0.45">
      <c r="A1534" t="s">
        <v>3131</v>
      </c>
      <c r="B1534" s="2">
        <v>45868</v>
      </c>
      <c r="C1534" t="s">
        <v>10</v>
      </c>
      <c r="D1534" t="s">
        <v>3132</v>
      </c>
      <c r="E1534" t="s">
        <v>54</v>
      </c>
      <c r="F1534">
        <v>11</v>
      </c>
      <c r="G1534" t="s">
        <v>55</v>
      </c>
      <c r="H1534" t="s">
        <v>72</v>
      </c>
      <c r="I1534" t="s">
        <v>26</v>
      </c>
    </row>
    <row r="1535" spans="1:9" x14ac:dyDescent="0.45">
      <c r="A1535" t="s">
        <v>3133</v>
      </c>
      <c r="B1535" s="2">
        <v>45711</v>
      </c>
      <c r="C1535" t="s">
        <v>52</v>
      </c>
      <c r="D1535" t="s">
        <v>3134</v>
      </c>
      <c r="E1535" t="s">
        <v>54</v>
      </c>
      <c r="F1535">
        <v>4</v>
      </c>
      <c r="G1535" t="s">
        <v>68</v>
      </c>
      <c r="H1535" t="s">
        <v>25</v>
      </c>
      <c r="I1535" t="s">
        <v>7967</v>
      </c>
    </row>
    <row r="1536" spans="1:9" x14ac:dyDescent="0.45">
      <c r="A1536" t="s">
        <v>3135</v>
      </c>
      <c r="B1536" s="2">
        <v>45666</v>
      </c>
      <c r="C1536" t="s">
        <v>49</v>
      </c>
      <c r="D1536" t="s">
        <v>3136</v>
      </c>
      <c r="E1536" t="s">
        <v>71</v>
      </c>
      <c r="F1536">
        <v>6</v>
      </c>
      <c r="G1536" t="s">
        <v>24</v>
      </c>
      <c r="H1536" t="s">
        <v>25</v>
      </c>
      <c r="I1536" t="s">
        <v>19</v>
      </c>
    </row>
    <row r="1537" spans="1:9" x14ac:dyDescent="0.45">
      <c r="A1537" t="s">
        <v>3137</v>
      </c>
      <c r="B1537" s="2">
        <v>45845</v>
      </c>
      <c r="C1537" t="s">
        <v>16</v>
      </c>
      <c r="D1537" t="s">
        <v>3138</v>
      </c>
      <c r="E1537" t="s">
        <v>58</v>
      </c>
      <c r="F1537">
        <v>11</v>
      </c>
      <c r="G1537" t="s">
        <v>35</v>
      </c>
      <c r="H1537" t="s">
        <v>25</v>
      </c>
      <c r="I1537" t="s">
        <v>31</v>
      </c>
    </row>
    <row r="1538" spans="1:9" x14ac:dyDescent="0.45">
      <c r="A1538" t="s">
        <v>3139</v>
      </c>
      <c r="B1538" s="2">
        <v>45680</v>
      </c>
      <c r="C1538" t="s">
        <v>66</v>
      </c>
      <c r="D1538" t="s">
        <v>3140</v>
      </c>
      <c r="E1538" t="s">
        <v>7974</v>
      </c>
      <c r="F1538">
        <v>2</v>
      </c>
      <c r="G1538" t="s">
        <v>55</v>
      </c>
      <c r="H1538" t="s">
        <v>72</v>
      </c>
      <c r="I1538" t="s">
        <v>60</v>
      </c>
    </row>
    <row r="1539" spans="1:9" x14ac:dyDescent="0.45">
      <c r="A1539" t="s">
        <v>3141</v>
      </c>
      <c r="B1539" s="2">
        <v>45818</v>
      </c>
      <c r="C1539" t="s">
        <v>49</v>
      </c>
      <c r="D1539" t="s">
        <v>3142</v>
      </c>
      <c r="E1539" t="s">
        <v>75</v>
      </c>
      <c r="F1539">
        <v>7</v>
      </c>
      <c r="G1539" t="s">
        <v>35</v>
      </c>
      <c r="H1539" t="s">
        <v>25</v>
      </c>
      <c r="I1539" t="s">
        <v>19</v>
      </c>
    </row>
    <row r="1540" spans="1:9" x14ac:dyDescent="0.45">
      <c r="A1540" t="s">
        <v>3143</v>
      </c>
      <c r="B1540" s="2">
        <v>45734</v>
      </c>
      <c r="C1540" t="s">
        <v>21</v>
      </c>
      <c r="D1540" t="s">
        <v>3144</v>
      </c>
      <c r="E1540" t="s">
        <v>46</v>
      </c>
      <c r="F1540">
        <v>3</v>
      </c>
      <c r="G1540" t="s">
        <v>43</v>
      </c>
      <c r="H1540" t="s">
        <v>14</v>
      </c>
      <c r="I1540" t="s">
        <v>26</v>
      </c>
    </row>
    <row r="1541" spans="1:9" x14ac:dyDescent="0.45">
      <c r="A1541" t="s">
        <v>3145</v>
      </c>
      <c r="B1541" s="2">
        <v>45880</v>
      </c>
      <c r="C1541" t="s">
        <v>49</v>
      </c>
      <c r="D1541" t="s">
        <v>3146</v>
      </c>
      <c r="E1541" t="s">
        <v>34</v>
      </c>
      <c r="F1541">
        <v>4</v>
      </c>
      <c r="G1541" t="s">
        <v>13</v>
      </c>
      <c r="H1541" t="s">
        <v>14</v>
      </c>
      <c r="I1541" t="s">
        <v>60</v>
      </c>
    </row>
    <row r="1542" spans="1:9" x14ac:dyDescent="0.45">
      <c r="A1542" t="s">
        <v>3147</v>
      </c>
      <c r="B1542" s="2">
        <v>45862</v>
      </c>
      <c r="C1542" t="s">
        <v>10</v>
      </c>
      <c r="D1542" t="s">
        <v>3148</v>
      </c>
      <c r="E1542" t="s">
        <v>71</v>
      </c>
      <c r="F1542">
        <v>1</v>
      </c>
      <c r="G1542" t="s">
        <v>55</v>
      </c>
      <c r="H1542" t="s">
        <v>72</v>
      </c>
      <c r="I1542" t="s">
        <v>47</v>
      </c>
    </row>
    <row r="1543" spans="1:9" x14ac:dyDescent="0.45">
      <c r="A1543" t="s">
        <v>3149</v>
      </c>
      <c r="B1543" s="2">
        <v>45869</v>
      </c>
      <c r="C1543" t="s">
        <v>99</v>
      </c>
      <c r="D1543" t="s">
        <v>3150</v>
      </c>
      <c r="E1543" t="s">
        <v>75</v>
      </c>
      <c r="F1543">
        <v>10</v>
      </c>
      <c r="G1543" t="s">
        <v>43</v>
      </c>
      <c r="H1543" t="s">
        <v>14</v>
      </c>
      <c r="I1543" t="s">
        <v>39</v>
      </c>
    </row>
    <row r="1544" spans="1:9" x14ac:dyDescent="0.45">
      <c r="A1544" t="s">
        <v>3151</v>
      </c>
      <c r="B1544" s="2">
        <v>45846</v>
      </c>
      <c r="C1544" t="s">
        <v>28</v>
      </c>
      <c r="D1544" t="s">
        <v>3152</v>
      </c>
      <c r="E1544" t="s">
        <v>7973</v>
      </c>
      <c r="F1544">
        <v>3</v>
      </c>
      <c r="G1544" t="s">
        <v>24</v>
      </c>
      <c r="H1544" t="s">
        <v>25</v>
      </c>
      <c r="I1544" t="s">
        <v>19</v>
      </c>
    </row>
    <row r="1545" spans="1:9" x14ac:dyDescent="0.45">
      <c r="A1545" t="s">
        <v>3153</v>
      </c>
      <c r="B1545" s="2">
        <v>45723</v>
      </c>
      <c r="C1545" t="s">
        <v>99</v>
      </c>
      <c r="D1545" t="s">
        <v>3154</v>
      </c>
      <c r="E1545" t="s">
        <v>71</v>
      </c>
      <c r="F1545">
        <v>11</v>
      </c>
      <c r="G1545" t="s">
        <v>59</v>
      </c>
      <c r="H1545" t="s">
        <v>14</v>
      </c>
      <c r="I1545" t="s">
        <v>19</v>
      </c>
    </row>
    <row r="1546" spans="1:9" x14ac:dyDescent="0.45">
      <c r="A1546" t="s">
        <v>3155</v>
      </c>
      <c r="B1546" s="2">
        <v>45803</v>
      </c>
      <c r="C1546" t="s">
        <v>21</v>
      </c>
      <c r="D1546" t="s">
        <v>3156</v>
      </c>
      <c r="E1546" t="s">
        <v>7973</v>
      </c>
      <c r="F1546">
        <v>1</v>
      </c>
      <c r="G1546" t="s">
        <v>18</v>
      </c>
      <c r="H1546" t="s">
        <v>14</v>
      </c>
      <c r="I1546" t="s">
        <v>19</v>
      </c>
    </row>
    <row r="1547" spans="1:9" x14ac:dyDescent="0.45">
      <c r="A1547" t="s">
        <v>3157</v>
      </c>
      <c r="B1547" s="2">
        <v>45731</v>
      </c>
      <c r="C1547" t="s">
        <v>21</v>
      </c>
      <c r="D1547" t="s">
        <v>3158</v>
      </c>
      <c r="E1547" t="s">
        <v>46</v>
      </c>
      <c r="F1547">
        <v>2</v>
      </c>
      <c r="G1547" t="s">
        <v>18</v>
      </c>
      <c r="H1547" t="s">
        <v>14</v>
      </c>
      <c r="I1547" t="s">
        <v>47</v>
      </c>
    </row>
    <row r="1548" spans="1:9" x14ac:dyDescent="0.45">
      <c r="A1548" t="s">
        <v>3159</v>
      </c>
      <c r="B1548" s="2">
        <v>45666</v>
      </c>
      <c r="C1548" t="s">
        <v>16</v>
      </c>
      <c r="D1548" t="s">
        <v>3160</v>
      </c>
      <c r="E1548" t="s">
        <v>58</v>
      </c>
      <c r="F1548">
        <v>12</v>
      </c>
      <c r="G1548" t="s">
        <v>24</v>
      </c>
      <c r="H1548" t="s">
        <v>25</v>
      </c>
      <c r="I1548" t="s">
        <v>26</v>
      </c>
    </row>
    <row r="1549" spans="1:9" x14ac:dyDescent="0.45">
      <c r="A1549" t="s">
        <v>3161</v>
      </c>
      <c r="B1549" s="2">
        <v>45751</v>
      </c>
      <c r="C1549" t="s">
        <v>28</v>
      </c>
      <c r="D1549" t="s">
        <v>3162</v>
      </c>
      <c r="E1549" t="s">
        <v>54</v>
      </c>
      <c r="F1549">
        <v>9</v>
      </c>
      <c r="G1549" t="s">
        <v>24</v>
      </c>
      <c r="H1549" t="s">
        <v>25</v>
      </c>
      <c r="I1549" t="s">
        <v>60</v>
      </c>
    </row>
    <row r="1550" spans="1:9" x14ac:dyDescent="0.45">
      <c r="A1550" t="s">
        <v>3163</v>
      </c>
      <c r="B1550" s="2">
        <v>45725</v>
      </c>
      <c r="C1550" t="s">
        <v>10</v>
      </c>
      <c r="D1550" t="s">
        <v>3164</v>
      </c>
      <c r="E1550" t="s">
        <v>30</v>
      </c>
      <c r="F1550">
        <v>8</v>
      </c>
      <c r="G1550" t="s">
        <v>43</v>
      </c>
      <c r="H1550" t="s">
        <v>14</v>
      </c>
      <c r="I1550" t="s">
        <v>47</v>
      </c>
    </row>
    <row r="1551" spans="1:9" x14ac:dyDescent="0.45">
      <c r="A1551" t="s">
        <v>3165</v>
      </c>
      <c r="B1551" s="2">
        <v>45705</v>
      </c>
      <c r="C1551" t="s">
        <v>10</v>
      </c>
      <c r="D1551" t="s">
        <v>3166</v>
      </c>
      <c r="E1551" t="s">
        <v>7973</v>
      </c>
      <c r="F1551">
        <v>6</v>
      </c>
      <c r="G1551" t="s">
        <v>13</v>
      </c>
      <c r="H1551" t="s">
        <v>14</v>
      </c>
      <c r="I1551" t="s">
        <v>19</v>
      </c>
    </row>
    <row r="1552" spans="1:9" x14ac:dyDescent="0.45">
      <c r="A1552" t="s">
        <v>3167</v>
      </c>
      <c r="B1552" s="2">
        <v>45674</v>
      </c>
      <c r="C1552" t="s">
        <v>28</v>
      </c>
      <c r="D1552" t="s">
        <v>3168</v>
      </c>
      <c r="E1552" t="s">
        <v>7974</v>
      </c>
      <c r="F1552">
        <v>2</v>
      </c>
      <c r="G1552" t="s">
        <v>18</v>
      </c>
      <c r="H1552" t="s">
        <v>14</v>
      </c>
      <c r="I1552" t="s">
        <v>26</v>
      </c>
    </row>
    <row r="1553" spans="1:9" x14ac:dyDescent="0.45">
      <c r="A1553" t="s">
        <v>3169</v>
      </c>
      <c r="B1553" s="2">
        <v>45704</v>
      </c>
      <c r="C1553" t="s">
        <v>28</v>
      </c>
      <c r="D1553" t="s">
        <v>3170</v>
      </c>
      <c r="E1553" t="s">
        <v>58</v>
      </c>
      <c r="F1553">
        <v>6</v>
      </c>
      <c r="G1553" t="s">
        <v>55</v>
      </c>
      <c r="H1553" t="s">
        <v>72</v>
      </c>
      <c r="I1553" t="s">
        <v>19</v>
      </c>
    </row>
    <row r="1554" spans="1:9" x14ac:dyDescent="0.45">
      <c r="A1554" t="s">
        <v>3171</v>
      </c>
      <c r="B1554" s="2">
        <v>45748</v>
      </c>
      <c r="C1554" t="s">
        <v>16</v>
      </c>
      <c r="D1554" t="s">
        <v>3172</v>
      </c>
      <c r="E1554" t="s">
        <v>23</v>
      </c>
      <c r="F1554">
        <v>1</v>
      </c>
      <c r="G1554" t="s">
        <v>35</v>
      </c>
      <c r="H1554" t="s">
        <v>25</v>
      </c>
      <c r="I1554" t="s">
        <v>26</v>
      </c>
    </row>
    <row r="1555" spans="1:9" x14ac:dyDescent="0.45">
      <c r="A1555" t="s">
        <v>3173</v>
      </c>
      <c r="B1555" s="2">
        <v>45811</v>
      </c>
      <c r="C1555" t="s">
        <v>10</v>
      </c>
      <c r="D1555" t="s">
        <v>3174</v>
      </c>
      <c r="E1555" t="s">
        <v>38</v>
      </c>
      <c r="F1555">
        <v>6</v>
      </c>
      <c r="G1555" t="s">
        <v>13</v>
      </c>
      <c r="H1555" t="s">
        <v>14</v>
      </c>
      <c r="I1555" t="s">
        <v>39</v>
      </c>
    </row>
    <row r="1556" spans="1:9" x14ac:dyDescent="0.45">
      <c r="A1556" t="s">
        <v>3175</v>
      </c>
      <c r="B1556" s="2">
        <v>45735</v>
      </c>
      <c r="C1556" t="s">
        <v>16</v>
      </c>
      <c r="D1556" t="s">
        <v>3176</v>
      </c>
      <c r="E1556" t="s">
        <v>75</v>
      </c>
      <c r="F1556">
        <v>4</v>
      </c>
      <c r="G1556" t="s">
        <v>24</v>
      </c>
      <c r="H1556" t="s">
        <v>25</v>
      </c>
      <c r="I1556" t="s">
        <v>39</v>
      </c>
    </row>
    <row r="1557" spans="1:9" x14ac:dyDescent="0.45">
      <c r="A1557" t="s">
        <v>3177</v>
      </c>
      <c r="B1557" s="2">
        <v>45840</v>
      </c>
      <c r="C1557" t="s">
        <v>52</v>
      </c>
      <c r="D1557" t="s">
        <v>3178</v>
      </c>
      <c r="E1557" t="s">
        <v>54</v>
      </c>
      <c r="F1557">
        <v>4</v>
      </c>
      <c r="G1557" t="s">
        <v>43</v>
      </c>
      <c r="H1557" t="s">
        <v>14</v>
      </c>
      <c r="I1557" t="s">
        <v>60</v>
      </c>
    </row>
    <row r="1558" spans="1:9" x14ac:dyDescent="0.45">
      <c r="A1558" t="s">
        <v>3179</v>
      </c>
      <c r="B1558" s="2">
        <v>45835</v>
      </c>
      <c r="C1558" t="s">
        <v>10</v>
      </c>
      <c r="D1558" t="s">
        <v>3180</v>
      </c>
      <c r="E1558" t="s">
        <v>54</v>
      </c>
      <c r="F1558">
        <v>7</v>
      </c>
      <c r="G1558" t="s">
        <v>43</v>
      </c>
      <c r="H1558" t="s">
        <v>14</v>
      </c>
      <c r="I1558" t="s">
        <v>60</v>
      </c>
    </row>
    <row r="1559" spans="1:9" x14ac:dyDescent="0.45">
      <c r="A1559" t="s">
        <v>3181</v>
      </c>
      <c r="B1559" s="2">
        <v>45874</v>
      </c>
      <c r="C1559" t="s">
        <v>10</v>
      </c>
      <c r="D1559" t="s">
        <v>3182</v>
      </c>
      <c r="E1559" t="s">
        <v>7974</v>
      </c>
      <c r="F1559">
        <v>8</v>
      </c>
      <c r="G1559" t="s">
        <v>13</v>
      </c>
      <c r="H1559" t="s">
        <v>14</v>
      </c>
      <c r="I1559" t="s">
        <v>60</v>
      </c>
    </row>
    <row r="1560" spans="1:9" x14ac:dyDescent="0.45">
      <c r="A1560" t="s">
        <v>3183</v>
      </c>
      <c r="B1560" s="2">
        <v>45700</v>
      </c>
      <c r="C1560" t="s">
        <v>28</v>
      </c>
      <c r="D1560" t="s">
        <v>3184</v>
      </c>
      <c r="E1560" t="s">
        <v>42</v>
      </c>
      <c r="F1560">
        <v>9</v>
      </c>
      <c r="G1560" t="s">
        <v>24</v>
      </c>
      <c r="H1560" t="s">
        <v>25</v>
      </c>
      <c r="I1560" t="s">
        <v>60</v>
      </c>
    </row>
    <row r="1561" spans="1:9" x14ac:dyDescent="0.45">
      <c r="A1561" t="s">
        <v>3185</v>
      </c>
      <c r="B1561" s="2">
        <v>45850</v>
      </c>
      <c r="C1561" t="s">
        <v>52</v>
      </c>
      <c r="D1561" t="s">
        <v>3186</v>
      </c>
      <c r="E1561" t="s">
        <v>42</v>
      </c>
      <c r="F1561">
        <v>2</v>
      </c>
      <c r="G1561" t="s">
        <v>18</v>
      </c>
      <c r="H1561" t="s">
        <v>14</v>
      </c>
      <c r="I1561" t="s">
        <v>60</v>
      </c>
    </row>
    <row r="1562" spans="1:9" x14ac:dyDescent="0.45">
      <c r="A1562" t="s">
        <v>3187</v>
      </c>
      <c r="B1562" s="2">
        <v>45895</v>
      </c>
      <c r="C1562" t="s">
        <v>16</v>
      </c>
      <c r="D1562" t="s">
        <v>3188</v>
      </c>
      <c r="E1562" t="s">
        <v>7973</v>
      </c>
      <c r="F1562">
        <v>7</v>
      </c>
      <c r="G1562" t="s">
        <v>43</v>
      </c>
      <c r="H1562" t="s">
        <v>14</v>
      </c>
      <c r="I1562" t="s">
        <v>47</v>
      </c>
    </row>
    <row r="1563" spans="1:9" x14ac:dyDescent="0.45">
      <c r="A1563" t="s">
        <v>3189</v>
      </c>
      <c r="B1563" s="2">
        <v>45853</v>
      </c>
      <c r="C1563" t="s">
        <v>16</v>
      </c>
      <c r="D1563" t="s">
        <v>3190</v>
      </c>
      <c r="E1563" t="s">
        <v>42</v>
      </c>
      <c r="F1563">
        <v>3</v>
      </c>
      <c r="G1563" t="s">
        <v>13</v>
      </c>
      <c r="H1563" t="s">
        <v>14</v>
      </c>
      <c r="I1563" t="s">
        <v>7967</v>
      </c>
    </row>
    <row r="1564" spans="1:9" x14ac:dyDescent="0.45">
      <c r="A1564" t="s">
        <v>3191</v>
      </c>
      <c r="B1564" s="2">
        <v>45717</v>
      </c>
      <c r="C1564" t="s">
        <v>66</v>
      </c>
      <c r="D1564" t="s">
        <v>3192</v>
      </c>
      <c r="E1564" t="s">
        <v>75</v>
      </c>
      <c r="F1564">
        <v>2</v>
      </c>
      <c r="G1564" t="s">
        <v>18</v>
      </c>
      <c r="H1564" t="s">
        <v>14</v>
      </c>
      <c r="I1564" t="s">
        <v>39</v>
      </c>
    </row>
    <row r="1565" spans="1:9" x14ac:dyDescent="0.45">
      <c r="A1565" t="s">
        <v>3193</v>
      </c>
      <c r="B1565" s="2">
        <v>45726</v>
      </c>
      <c r="C1565" t="s">
        <v>49</v>
      </c>
      <c r="D1565" t="s">
        <v>3194</v>
      </c>
      <c r="E1565" t="s">
        <v>42</v>
      </c>
      <c r="F1565">
        <v>3</v>
      </c>
      <c r="G1565" t="s">
        <v>59</v>
      </c>
      <c r="H1565" t="s">
        <v>14</v>
      </c>
      <c r="I1565" t="s">
        <v>60</v>
      </c>
    </row>
    <row r="1566" spans="1:9" x14ac:dyDescent="0.45">
      <c r="A1566" t="s">
        <v>3195</v>
      </c>
      <c r="B1566" s="2">
        <v>45855</v>
      </c>
      <c r="C1566" t="s">
        <v>52</v>
      </c>
      <c r="D1566" t="s">
        <v>3196</v>
      </c>
      <c r="E1566" t="s">
        <v>34</v>
      </c>
      <c r="F1566">
        <v>9</v>
      </c>
      <c r="G1566" t="s">
        <v>68</v>
      </c>
      <c r="H1566" t="s">
        <v>25</v>
      </c>
      <c r="I1566" t="s">
        <v>19</v>
      </c>
    </row>
    <row r="1567" spans="1:9" x14ac:dyDescent="0.45">
      <c r="A1567" t="s">
        <v>3197</v>
      </c>
      <c r="B1567" s="2">
        <v>45735</v>
      </c>
      <c r="C1567" t="s">
        <v>28</v>
      </c>
      <c r="D1567" t="s">
        <v>3198</v>
      </c>
      <c r="E1567" t="s">
        <v>71</v>
      </c>
      <c r="F1567">
        <v>8</v>
      </c>
      <c r="G1567" t="s">
        <v>55</v>
      </c>
      <c r="H1567" t="s">
        <v>72</v>
      </c>
      <c r="I1567" t="s">
        <v>26</v>
      </c>
    </row>
    <row r="1568" spans="1:9" x14ac:dyDescent="0.45">
      <c r="A1568" t="s">
        <v>3199</v>
      </c>
      <c r="B1568" s="2">
        <v>45784</v>
      </c>
      <c r="C1568" t="s">
        <v>16</v>
      </c>
      <c r="D1568" t="s">
        <v>3200</v>
      </c>
      <c r="E1568" t="s">
        <v>42</v>
      </c>
      <c r="F1568">
        <v>10</v>
      </c>
      <c r="G1568" t="s">
        <v>35</v>
      </c>
      <c r="H1568" t="s">
        <v>25</v>
      </c>
      <c r="I1568" t="s">
        <v>19</v>
      </c>
    </row>
    <row r="1569" spans="1:9" x14ac:dyDescent="0.45">
      <c r="A1569" t="s">
        <v>3201</v>
      </c>
      <c r="B1569" s="2">
        <v>45691</v>
      </c>
      <c r="C1569" t="s">
        <v>16</v>
      </c>
      <c r="D1569" t="s">
        <v>3202</v>
      </c>
      <c r="E1569" t="s">
        <v>7973</v>
      </c>
      <c r="F1569">
        <v>10</v>
      </c>
      <c r="G1569" t="s">
        <v>68</v>
      </c>
      <c r="H1569" t="s">
        <v>25</v>
      </c>
      <c r="I1569" t="s">
        <v>60</v>
      </c>
    </row>
    <row r="1570" spans="1:9" x14ac:dyDescent="0.45">
      <c r="A1570" t="s">
        <v>3203</v>
      </c>
      <c r="B1570" s="2">
        <v>45718</v>
      </c>
      <c r="C1570" t="s">
        <v>99</v>
      </c>
      <c r="D1570" t="s">
        <v>3204</v>
      </c>
      <c r="E1570" t="s">
        <v>7973</v>
      </c>
      <c r="F1570">
        <v>6</v>
      </c>
      <c r="G1570" t="s">
        <v>59</v>
      </c>
      <c r="H1570" t="s">
        <v>14</v>
      </c>
      <c r="I1570" t="s">
        <v>26</v>
      </c>
    </row>
    <row r="1571" spans="1:9" x14ac:dyDescent="0.45">
      <c r="A1571" t="s">
        <v>3205</v>
      </c>
      <c r="B1571" s="2">
        <v>45870</v>
      </c>
      <c r="C1571" t="s">
        <v>10</v>
      </c>
      <c r="D1571" t="s">
        <v>3206</v>
      </c>
      <c r="E1571" t="s">
        <v>71</v>
      </c>
      <c r="F1571">
        <v>5</v>
      </c>
      <c r="G1571" t="s">
        <v>55</v>
      </c>
      <c r="H1571" t="s">
        <v>72</v>
      </c>
      <c r="I1571" t="s">
        <v>60</v>
      </c>
    </row>
    <row r="1572" spans="1:9" x14ac:dyDescent="0.45">
      <c r="A1572" t="s">
        <v>3207</v>
      </c>
      <c r="B1572" s="2">
        <v>45692</v>
      </c>
      <c r="C1572" t="s">
        <v>21</v>
      </c>
      <c r="D1572" t="s">
        <v>3208</v>
      </c>
      <c r="E1572" t="s">
        <v>71</v>
      </c>
      <c r="F1572">
        <v>5</v>
      </c>
      <c r="G1572" t="s">
        <v>59</v>
      </c>
      <c r="H1572" t="s">
        <v>14</v>
      </c>
      <c r="I1572" t="s">
        <v>39</v>
      </c>
    </row>
    <row r="1573" spans="1:9" x14ac:dyDescent="0.45">
      <c r="A1573" t="s">
        <v>3209</v>
      </c>
      <c r="B1573" s="2">
        <v>45765</v>
      </c>
      <c r="C1573" t="s">
        <v>52</v>
      </c>
      <c r="D1573" t="s">
        <v>3210</v>
      </c>
      <c r="E1573" t="s">
        <v>30</v>
      </c>
      <c r="F1573">
        <v>9</v>
      </c>
      <c r="G1573" t="s">
        <v>59</v>
      </c>
      <c r="H1573" t="s">
        <v>14</v>
      </c>
      <c r="I1573" t="s">
        <v>39</v>
      </c>
    </row>
    <row r="1574" spans="1:9" x14ac:dyDescent="0.45">
      <c r="A1574" t="s">
        <v>3211</v>
      </c>
      <c r="B1574" s="2">
        <v>45895</v>
      </c>
      <c r="C1574" t="s">
        <v>52</v>
      </c>
      <c r="D1574" t="s">
        <v>3212</v>
      </c>
      <c r="E1574" t="s">
        <v>54</v>
      </c>
      <c r="F1574">
        <v>6</v>
      </c>
      <c r="G1574" t="s">
        <v>35</v>
      </c>
      <c r="H1574" t="s">
        <v>25</v>
      </c>
      <c r="I1574" t="s">
        <v>31</v>
      </c>
    </row>
    <row r="1575" spans="1:9" x14ac:dyDescent="0.45">
      <c r="A1575" t="s">
        <v>3213</v>
      </c>
      <c r="B1575" s="2">
        <v>45740</v>
      </c>
      <c r="C1575" t="s">
        <v>99</v>
      </c>
      <c r="D1575" t="s">
        <v>3214</v>
      </c>
      <c r="E1575" t="s">
        <v>30</v>
      </c>
      <c r="F1575">
        <v>10</v>
      </c>
      <c r="G1575" t="s">
        <v>18</v>
      </c>
      <c r="H1575" t="s">
        <v>14</v>
      </c>
      <c r="I1575" t="s">
        <v>26</v>
      </c>
    </row>
    <row r="1576" spans="1:9" x14ac:dyDescent="0.45">
      <c r="A1576" t="s">
        <v>3215</v>
      </c>
      <c r="B1576" s="2">
        <v>45716</v>
      </c>
      <c r="C1576" t="s">
        <v>10</v>
      </c>
      <c r="D1576" t="s">
        <v>3216</v>
      </c>
      <c r="E1576" t="s">
        <v>71</v>
      </c>
      <c r="F1576">
        <v>2</v>
      </c>
      <c r="G1576" t="s">
        <v>24</v>
      </c>
      <c r="H1576" t="s">
        <v>25</v>
      </c>
      <c r="I1576" t="s">
        <v>31</v>
      </c>
    </row>
    <row r="1577" spans="1:9" x14ac:dyDescent="0.45">
      <c r="A1577" t="s">
        <v>3217</v>
      </c>
      <c r="B1577" s="2">
        <v>45772</v>
      </c>
      <c r="C1577" t="s">
        <v>99</v>
      </c>
      <c r="D1577" t="s">
        <v>3218</v>
      </c>
      <c r="E1577" t="s">
        <v>71</v>
      </c>
      <c r="F1577">
        <v>1</v>
      </c>
      <c r="G1577" t="s">
        <v>68</v>
      </c>
      <c r="H1577" t="s">
        <v>25</v>
      </c>
      <c r="I1577" t="s">
        <v>60</v>
      </c>
    </row>
    <row r="1578" spans="1:9" x14ac:dyDescent="0.45">
      <c r="A1578" t="s">
        <v>3219</v>
      </c>
      <c r="B1578" s="2">
        <v>45856</v>
      </c>
      <c r="C1578" t="s">
        <v>16</v>
      </c>
      <c r="D1578" t="s">
        <v>3220</v>
      </c>
      <c r="E1578" t="s">
        <v>75</v>
      </c>
      <c r="F1578">
        <v>11</v>
      </c>
      <c r="G1578" t="s">
        <v>18</v>
      </c>
      <c r="H1578" t="s">
        <v>14</v>
      </c>
      <c r="I1578" t="s">
        <v>31</v>
      </c>
    </row>
    <row r="1579" spans="1:9" x14ac:dyDescent="0.45">
      <c r="A1579" t="s">
        <v>3221</v>
      </c>
      <c r="B1579" s="2">
        <v>45904</v>
      </c>
      <c r="C1579" t="s">
        <v>52</v>
      </c>
      <c r="D1579" t="s">
        <v>3222</v>
      </c>
      <c r="E1579" t="s">
        <v>38</v>
      </c>
      <c r="F1579">
        <v>2</v>
      </c>
      <c r="G1579" t="s">
        <v>24</v>
      </c>
      <c r="H1579" t="s">
        <v>25</v>
      </c>
      <c r="I1579" t="s">
        <v>19</v>
      </c>
    </row>
    <row r="1580" spans="1:9" x14ac:dyDescent="0.45">
      <c r="A1580" t="s">
        <v>3223</v>
      </c>
      <c r="B1580" s="2">
        <v>45723</v>
      </c>
      <c r="C1580" t="s">
        <v>16</v>
      </c>
      <c r="D1580" t="s">
        <v>3224</v>
      </c>
      <c r="E1580" t="s">
        <v>54</v>
      </c>
      <c r="F1580">
        <v>6</v>
      </c>
      <c r="G1580" t="s">
        <v>13</v>
      </c>
      <c r="H1580" t="s">
        <v>14</v>
      </c>
      <c r="I1580" t="s">
        <v>31</v>
      </c>
    </row>
    <row r="1581" spans="1:9" x14ac:dyDescent="0.45">
      <c r="A1581" t="s">
        <v>3225</v>
      </c>
      <c r="B1581" s="2">
        <v>45683</v>
      </c>
      <c r="C1581" t="s">
        <v>16</v>
      </c>
      <c r="D1581" t="s">
        <v>3226</v>
      </c>
      <c r="E1581" t="s">
        <v>34</v>
      </c>
      <c r="F1581">
        <v>8</v>
      </c>
      <c r="G1581" t="s">
        <v>13</v>
      </c>
      <c r="H1581" t="s">
        <v>14</v>
      </c>
      <c r="I1581" t="s">
        <v>26</v>
      </c>
    </row>
    <row r="1582" spans="1:9" x14ac:dyDescent="0.45">
      <c r="A1582" t="s">
        <v>3227</v>
      </c>
      <c r="B1582" s="2">
        <v>45880</v>
      </c>
      <c r="C1582" t="s">
        <v>10</v>
      </c>
      <c r="D1582" t="s">
        <v>3228</v>
      </c>
      <c r="E1582" t="s">
        <v>42</v>
      </c>
      <c r="F1582">
        <v>11</v>
      </c>
      <c r="G1582" t="s">
        <v>55</v>
      </c>
      <c r="H1582" t="s">
        <v>72</v>
      </c>
      <c r="I1582" t="s">
        <v>47</v>
      </c>
    </row>
    <row r="1583" spans="1:9" x14ac:dyDescent="0.45">
      <c r="A1583" t="s">
        <v>3229</v>
      </c>
      <c r="B1583" s="2">
        <v>45864</v>
      </c>
      <c r="C1583" t="s">
        <v>21</v>
      </c>
      <c r="D1583" t="s">
        <v>3230</v>
      </c>
      <c r="E1583" t="s">
        <v>42</v>
      </c>
      <c r="F1583">
        <v>5</v>
      </c>
      <c r="G1583" t="s">
        <v>18</v>
      </c>
      <c r="H1583" t="s">
        <v>14</v>
      </c>
      <c r="I1583" t="s">
        <v>19</v>
      </c>
    </row>
    <row r="1584" spans="1:9" x14ac:dyDescent="0.45">
      <c r="A1584" t="s">
        <v>3231</v>
      </c>
      <c r="B1584" s="2">
        <v>45830</v>
      </c>
      <c r="C1584" t="s">
        <v>49</v>
      </c>
      <c r="D1584" t="s">
        <v>3232</v>
      </c>
      <c r="E1584" t="s">
        <v>38</v>
      </c>
      <c r="F1584">
        <v>6</v>
      </c>
      <c r="G1584" t="s">
        <v>18</v>
      </c>
      <c r="H1584" t="s">
        <v>14</v>
      </c>
      <c r="I1584" t="s">
        <v>60</v>
      </c>
    </row>
    <row r="1585" spans="1:9" x14ac:dyDescent="0.45">
      <c r="A1585" t="s">
        <v>3233</v>
      </c>
      <c r="B1585" s="2">
        <v>45856</v>
      </c>
      <c r="C1585" t="s">
        <v>66</v>
      </c>
      <c r="D1585" t="s">
        <v>3234</v>
      </c>
      <c r="E1585" t="s">
        <v>46</v>
      </c>
      <c r="F1585">
        <v>8</v>
      </c>
      <c r="G1585" t="s">
        <v>59</v>
      </c>
      <c r="H1585" t="s">
        <v>14</v>
      </c>
      <c r="I1585" t="s">
        <v>31</v>
      </c>
    </row>
    <row r="1586" spans="1:9" x14ac:dyDescent="0.45">
      <c r="A1586" t="s">
        <v>3235</v>
      </c>
      <c r="B1586" s="2">
        <v>45856</v>
      </c>
      <c r="C1586" t="s">
        <v>52</v>
      </c>
      <c r="D1586" t="s">
        <v>3236</v>
      </c>
      <c r="E1586" t="s">
        <v>58</v>
      </c>
      <c r="F1586">
        <v>4</v>
      </c>
      <c r="G1586" t="s">
        <v>59</v>
      </c>
      <c r="H1586" t="s">
        <v>14</v>
      </c>
      <c r="I1586" t="s">
        <v>31</v>
      </c>
    </row>
    <row r="1587" spans="1:9" x14ac:dyDescent="0.45">
      <c r="A1587" t="s">
        <v>3237</v>
      </c>
      <c r="B1587" s="2">
        <v>45852</v>
      </c>
      <c r="C1587" t="s">
        <v>66</v>
      </c>
      <c r="D1587" t="s">
        <v>3238</v>
      </c>
      <c r="E1587" t="s">
        <v>23</v>
      </c>
      <c r="F1587">
        <v>10</v>
      </c>
      <c r="G1587" t="s">
        <v>43</v>
      </c>
      <c r="H1587" t="s">
        <v>14</v>
      </c>
      <c r="I1587" t="s">
        <v>31</v>
      </c>
    </row>
    <row r="1588" spans="1:9" x14ac:dyDescent="0.45">
      <c r="A1588" t="s">
        <v>3239</v>
      </c>
      <c r="B1588" s="2">
        <v>45768</v>
      </c>
      <c r="C1588" t="s">
        <v>49</v>
      </c>
      <c r="D1588" t="s">
        <v>3240</v>
      </c>
      <c r="E1588" t="s">
        <v>7973</v>
      </c>
      <c r="F1588">
        <v>4</v>
      </c>
      <c r="G1588" t="s">
        <v>68</v>
      </c>
      <c r="H1588" t="s">
        <v>25</v>
      </c>
      <c r="I1588" t="s">
        <v>47</v>
      </c>
    </row>
    <row r="1589" spans="1:9" x14ac:dyDescent="0.45">
      <c r="A1589" t="s">
        <v>3241</v>
      </c>
      <c r="B1589" s="2">
        <v>45733</v>
      </c>
      <c r="C1589" t="s">
        <v>52</v>
      </c>
      <c r="D1589" t="s">
        <v>3242</v>
      </c>
      <c r="E1589" t="s">
        <v>7974</v>
      </c>
      <c r="F1589">
        <v>6</v>
      </c>
      <c r="G1589" t="s">
        <v>18</v>
      </c>
      <c r="H1589" t="s">
        <v>14</v>
      </c>
      <c r="I1589" t="s">
        <v>19</v>
      </c>
    </row>
    <row r="1590" spans="1:9" x14ac:dyDescent="0.45">
      <c r="A1590" t="s">
        <v>3243</v>
      </c>
      <c r="B1590" s="2">
        <v>45683</v>
      </c>
      <c r="C1590" t="s">
        <v>66</v>
      </c>
      <c r="D1590" t="s">
        <v>3244</v>
      </c>
      <c r="E1590" t="s">
        <v>34</v>
      </c>
      <c r="F1590">
        <v>9</v>
      </c>
      <c r="G1590" t="s">
        <v>55</v>
      </c>
      <c r="H1590" t="s">
        <v>72</v>
      </c>
      <c r="I1590" t="s">
        <v>60</v>
      </c>
    </row>
    <row r="1591" spans="1:9" x14ac:dyDescent="0.45">
      <c r="A1591" t="s">
        <v>3245</v>
      </c>
      <c r="B1591" s="2">
        <v>45718</v>
      </c>
      <c r="C1591" t="s">
        <v>52</v>
      </c>
      <c r="D1591" t="s">
        <v>3246</v>
      </c>
      <c r="E1591" t="s">
        <v>58</v>
      </c>
      <c r="F1591">
        <v>2</v>
      </c>
      <c r="G1591" t="s">
        <v>68</v>
      </c>
      <c r="H1591" t="s">
        <v>25</v>
      </c>
      <c r="I1591" t="s">
        <v>60</v>
      </c>
    </row>
    <row r="1592" spans="1:9" x14ac:dyDescent="0.45">
      <c r="A1592" t="s">
        <v>3247</v>
      </c>
      <c r="B1592" s="2">
        <v>45783</v>
      </c>
      <c r="C1592" t="s">
        <v>49</v>
      </c>
      <c r="D1592" t="s">
        <v>3248</v>
      </c>
      <c r="E1592" t="s">
        <v>7973</v>
      </c>
      <c r="F1592">
        <v>1</v>
      </c>
      <c r="G1592" t="s">
        <v>43</v>
      </c>
      <c r="H1592" t="s">
        <v>14</v>
      </c>
      <c r="I1592" t="s">
        <v>19</v>
      </c>
    </row>
    <row r="1593" spans="1:9" x14ac:dyDescent="0.45">
      <c r="A1593" t="s">
        <v>3249</v>
      </c>
      <c r="B1593" s="2">
        <v>45778</v>
      </c>
      <c r="C1593" t="s">
        <v>16</v>
      </c>
      <c r="D1593" t="s">
        <v>3250</v>
      </c>
      <c r="E1593" t="s">
        <v>23</v>
      </c>
      <c r="F1593">
        <v>2</v>
      </c>
      <c r="G1593" t="s">
        <v>55</v>
      </c>
      <c r="H1593" t="s">
        <v>72</v>
      </c>
      <c r="I1593" t="s">
        <v>60</v>
      </c>
    </row>
    <row r="1594" spans="1:9" x14ac:dyDescent="0.45">
      <c r="A1594" t="s">
        <v>3251</v>
      </c>
      <c r="B1594" s="2">
        <v>45797</v>
      </c>
      <c r="C1594" t="s">
        <v>10</v>
      </c>
      <c r="D1594" t="s">
        <v>3252</v>
      </c>
      <c r="E1594" t="s">
        <v>42</v>
      </c>
      <c r="F1594">
        <v>7</v>
      </c>
      <c r="G1594" t="s">
        <v>35</v>
      </c>
      <c r="H1594" t="s">
        <v>25</v>
      </c>
      <c r="I1594" t="s">
        <v>31</v>
      </c>
    </row>
    <row r="1595" spans="1:9" x14ac:dyDescent="0.45">
      <c r="A1595" t="s">
        <v>3253</v>
      </c>
      <c r="B1595" s="2">
        <v>45663</v>
      </c>
      <c r="C1595" t="s">
        <v>10</v>
      </c>
      <c r="D1595" t="s">
        <v>3254</v>
      </c>
      <c r="E1595" t="s">
        <v>30</v>
      </c>
      <c r="F1595">
        <v>6</v>
      </c>
      <c r="G1595" t="s">
        <v>18</v>
      </c>
      <c r="H1595" t="s">
        <v>14</v>
      </c>
      <c r="I1595" t="s">
        <v>39</v>
      </c>
    </row>
    <row r="1596" spans="1:9" x14ac:dyDescent="0.45">
      <c r="A1596" t="s">
        <v>3255</v>
      </c>
      <c r="B1596" s="2">
        <v>45782</v>
      </c>
      <c r="C1596" t="s">
        <v>49</v>
      </c>
      <c r="D1596" t="s">
        <v>3256</v>
      </c>
      <c r="E1596" t="s">
        <v>30</v>
      </c>
      <c r="F1596">
        <v>9</v>
      </c>
      <c r="G1596" t="s">
        <v>18</v>
      </c>
      <c r="H1596" t="s">
        <v>14</v>
      </c>
      <c r="I1596" t="s">
        <v>26</v>
      </c>
    </row>
    <row r="1597" spans="1:9" x14ac:dyDescent="0.45">
      <c r="A1597" t="s">
        <v>3257</v>
      </c>
      <c r="B1597" s="2">
        <v>45724</v>
      </c>
      <c r="C1597" t="s">
        <v>49</v>
      </c>
      <c r="D1597" t="s">
        <v>3258</v>
      </c>
      <c r="E1597" t="s">
        <v>71</v>
      </c>
      <c r="F1597">
        <v>3</v>
      </c>
      <c r="G1597" t="s">
        <v>35</v>
      </c>
      <c r="H1597" t="s">
        <v>25</v>
      </c>
      <c r="I1597" t="s">
        <v>31</v>
      </c>
    </row>
    <row r="1598" spans="1:9" x14ac:dyDescent="0.45">
      <c r="A1598" t="s">
        <v>3259</v>
      </c>
      <c r="B1598" s="2">
        <v>45789</v>
      </c>
      <c r="C1598" t="s">
        <v>66</v>
      </c>
      <c r="D1598" t="s">
        <v>3260</v>
      </c>
      <c r="E1598" t="s">
        <v>58</v>
      </c>
      <c r="F1598">
        <v>12</v>
      </c>
      <c r="G1598" t="s">
        <v>24</v>
      </c>
      <c r="H1598" t="s">
        <v>25</v>
      </c>
      <c r="I1598" t="s">
        <v>26</v>
      </c>
    </row>
    <row r="1599" spans="1:9" x14ac:dyDescent="0.45">
      <c r="A1599" t="s">
        <v>3261</v>
      </c>
      <c r="B1599" s="2">
        <v>45719</v>
      </c>
      <c r="C1599" t="s">
        <v>16</v>
      </c>
      <c r="D1599" t="s">
        <v>3262</v>
      </c>
      <c r="E1599" t="s">
        <v>46</v>
      </c>
      <c r="F1599">
        <v>8</v>
      </c>
      <c r="G1599" t="s">
        <v>55</v>
      </c>
      <c r="H1599" t="s">
        <v>72</v>
      </c>
      <c r="I1599" t="s">
        <v>39</v>
      </c>
    </row>
    <row r="1600" spans="1:9" x14ac:dyDescent="0.45">
      <c r="A1600" t="s">
        <v>3263</v>
      </c>
      <c r="B1600" s="2">
        <v>45775</v>
      </c>
      <c r="C1600" t="s">
        <v>99</v>
      </c>
      <c r="D1600" t="s">
        <v>3264</v>
      </c>
      <c r="E1600" t="s">
        <v>46</v>
      </c>
      <c r="F1600">
        <v>2</v>
      </c>
      <c r="G1600" t="s">
        <v>68</v>
      </c>
      <c r="H1600" t="s">
        <v>25</v>
      </c>
      <c r="I1600" t="s">
        <v>31</v>
      </c>
    </row>
    <row r="1601" spans="1:9" x14ac:dyDescent="0.45">
      <c r="A1601" t="s">
        <v>3265</v>
      </c>
      <c r="B1601" s="2">
        <v>45806</v>
      </c>
      <c r="C1601" t="s">
        <v>28</v>
      </c>
      <c r="D1601" t="s">
        <v>3266</v>
      </c>
      <c r="E1601" t="s">
        <v>54</v>
      </c>
      <c r="F1601">
        <v>3</v>
      </c>
      <c r="G1601" t="s">
        <v>59</v>
      </c>
      <c r="H1601" t="s">
        <v>14</v>
      </c>
      <c r="I1601" t="s">
        <v>47</v>
      </c>
    </row>
    <row r="1602" spans="1:9" x14ac:dyDescent="0.45">
      <c r="A1602" t="s">
        <v>3267</v>
      </c>
      <c r="B1602" s="2">
        <v>45841</v>
      </c>
      <c r="C1602" t="s">
        <v>99</v>
      </c>
      <c r="D1602" t="s">
        <v>3268</v>
      </c>
      <c r="E1602" t="s">
        <v>42</v>
      </c>
      <c r="F1602">
        <v>7</v>
      </c>
      <c r="G1602" t="s">
        <v>68</v>
      </c>
      <c r="H1602" t="s">
        <v>25</v>
      </c>
      <c r="I1602" t="s">
        <v>26</v>
      </c>
    </row>
    <row r="1603" spans="1:9" x14ac:dyDescent="0.45">
      <c r="A1603" t="s">
        <v>3269</v>
      </c>
      <c r="B1603" s="2">
        <v>45887</v>
      </c>
      <c r="C1603" t="s">
        <v>16</v>
      </c>
      <c r="D1603" t="s">
        <v>3270</v>
      </c>
      <c r="E1603" t="s">
        <v>23</v>
      </c>
      <c r="F1603">
        <v>1</v>
      </c>
      <c r="G1603" t="s">
        <v>59</v>
      </c>
      <c r="H1603" t="s">
        <v>14</v>
      </c>
      <c r="I1603" t="s">
        <v>39</v>
      </c>
    </row>
    <row r="1604" spans="1:9" x14ac:dyDescent="0.45">
      <c r="A1604" t="s">
        <v>3271</v>
      </c>
      <c r="B1604" s="2">
        <v>45747</v>
      </c>
      <c r="C1604" t="s">
        <v>52</v>
      </c>
      <c r="D1604" t="s">
        <v>3272</v>
      </c>
      <c r="E1604" t="s">
        <v>23</v>
      </c>
      <c r="F1604">
        <v>10</v>
      </c>
      <c r="G1604" t="s">
        <v>55</v>
      </c>
      <c r="H1604" t="s">
        <v>72</v>
      </c>
      <c r="I1604" t="s">
        <v>31</v>
      </c>
    </row>
    <row r="1605" spans="1:9" x14ac:dyDescent="0.45">
      <c r="A1605" t="s">
        <v>3273</v>
      </c>
      <c r="B1605" s="2">
        <v>45837</v>
      </c>
      <c r="C1605" t="s">
        <v>52</v>
      </c>
      <c r="D1605" t="s">
        <v>3274</v>
      </c>
      <c r="E1605" t="s">
        <v>7973</v>
      </c>
      <c r="F1605">
        <v>5</v>
      </c>
      <c r="G1605" t="s">
        <v>68</v>
      </c>
      <c r="H1605" t="s">
        <v>25</v>
      </c>
      <c r="I1605" t="s">
        <v>47</v>
      </c>
    </row>
    <row r="1606" spans="1:9" x14ac:dyDescent="0.45">
      <c r="A1606" t="s">
        <v>3275</v>
      </c>
      <c r="B1606" s="2">
        <v>45758</v>
      </c>
      <c r="C1606" t="s">
        <v>10</v>
      </c>
      <c r="D1606" t="s">
        <v>3276</v>
      </c>
      <c r="E1606" t="s">
        <v>7974</v>
      </c>
      <c r="F1606">
        <v>8</v>
      </c>
      <c r="G1606" t="s">
        <v>13</v>
      </c>
      <c r="H1606" t="s">
        <v>14</v>
      </c>
      <c r="I1606" t="s">
        <v>39</v>
      </c>
    </row>
    <row r="1607" spans="1:9" x14ac:dyDescent="0.45">
      <c r="A1607" t="s">
        <v>3277</v>
      </c>
      <c r="B1607" s="2">
        <v>45668</v>
      </c>
      <c r="C1607" t="s">
        <v>49</v>
      </c>
      <c r="D1607" t="s">
        <v>3278</v>
      </c>
      <c r="E1607" t="s">
        <v>46</v>
      </c>
      <c r="F1607">
        <v>4</v>
      </c>
      <c r="G1607" t="s">
        <v>35</v>
      </c>
      <c r="H1607" t="s">
        <v>25</v>
      </c>
      <c r="I1607" t="s">
        <v>60</v>
      </c>
    </row>
    <row r="1608" spans="1:9" x14ac:dyDescent="0.45">
      <c r="A1608" t="s">
        <v>3279</v>
      </c>
      <c r="B1608" s="2">
        <v>45843</v>
      </c>
      <c r="C1608" t="s">
        <v>16</v>
      </c>
      <c r="D1608" t="s">
        <v>3280</v>
      </c>
      <c r="E1608" t="s">
        <v>54</v>
      </c>
      <c r="F1608">
        <v>11</v>
      </c>
      <c r="G1608" t="s">
        <v>13</v>
      </c>
      <c r="H1608" t="s">
        <v>14</v>
      </c>
      <c r="I1608" t="s">
        <v>39</v>
      </c>
    </row>
    <row r="1609" spans="1:9" x14ac:dyDescent="0.45">
      <c r="A1609" t="s">
        <v>3281</v>
      </c>
      <c r="B1609" s="2">
        <v>45781</v>
      </c>
      <c r="C1609" t="s">
        <v>99</v>
      </c>
      <c r="D1609" t="s">
        <v>3282</v>
      </c>
      <c r="E1609" t="s">
        <v>34</v>
      </c>
      <c r="F1609">
        <v>3</v>
      </c>
      <c r="G1609" t="s">
        <v>68</v>
      </c>
      <c r="H1609" t="s">
        <v>25</v>
      </c>
      <c r="I1609" t="s">
        <v>47</v>
      </c>
    </row>
    <row r="1610" spans="1:9" x14ac:dyDescent="0.45">
      <c r="A1610" t="s">
        <v>3283</v>
      </c>
      <c r="B1610" s="2">
        <v>45872</v>
      </c>
      <c r="C1610" t="s">
        <v>66</v>
      </c>
      <c r="D1610" t="s">
        <v>3284</v>
      </c>
      <c r="E1610" t="s">
        <v>7967</v>
      </c>
      <c r="F1610">
        <v>3</v>
      </c>
      <c r="G1610" t="s">
        <v>43</v>
      </c>
      <c r="H1610" t="s">
        <v>14</v>
      </c>
      <c r="I1610" t="s">
        <v>39</v>
      </c>
    </row>
    <row r="1611" spans="1:9" x14ac:dyDescent="0.45">
      <c r="A1611" t="s">
        <v>3285</v>
      </c>
      <c r="B1611" s="2">
        <v>45703</v>
      </c>
      <c r="C1611" t="s">
        <v>28</v>
      </c>
      <c r="D1611" t="s">
        <v>3286</v>
      </c>
      <c r="E1611" t="s">
        <v>7973</v>
      </c>
      <c r="F1611">
        <v>12</v>
      </c>
      <c r="G1611" t="s">
        <v>35</v>
      </c>
      <c r="H1611" t="s">
        <v>25</v>
      </c>
      <c r="I1611" t="s">
        <v>26</v>
      </c>
    </row>
    <row r="1612" spans="1:9" x14ac:dyDescent="0.45">
      <c r="A1612" t="s">
        <v>3287</v>
      </c>
      <c r="B1612" s="2">
        <v>45771</v>
      </c>
      <c r="C1612" t="s">
        <v>21</v>
      </c>
      <c r="D1612" t="s">
        <v>3288</v>
      </c>
      <c r="E1612" t="s">
        <v>71</v>
      </c>
      <c r="F1612">
        <v>1</v>
      </c>
      <c r="G1612" t="s">
        <v>13</v>
      </c>
      <c r="H1612" t="s">
        <v>14</v>
      </c>
      <c r="I1612" t="s">
        <v>26</v>
      </c>
    </row>
    <row r="1613" spans="1:9" x14ac:dyDescent="0.45">
      <c r="A1613" t="s">
        <v>3289</v>
      </c>
      <c r="B1613" s="2">
        <v>45714</v>
      </c>
      <c r="C1613" t="s">
        <v>28</v>
      </c>
      <c r="D1613" t="s">
        <v>3290</v>
      </c>
      <c r="E1613" t="s">
        <v>58</v>
      </c>
      <c r="F1613">
        <v>5</v>
      </c>
      <c r="G1613" t="s">
        <v>13</v>
      </c>
      <c r="H1613" t="s">
        <v>14</v>
      </c>
      <c r="I1613" t="s">
        <v>47</v>
      </c>
    </row>
    <row r="1614" spans="1:9" x14ac:dyDescent="0.45">
      <c r="A1614" t="s">
        <v>3291</v>
      </c>
      <c r="B1614" s="2">
        <v>45818</v>
      </c>
      <c r="C1614" t="s">
        <v>66</v>
      </c>
      <c r="D1614" t="s">
        <v>3292</v>
      </c>
      <c r="E1614" t="s">
        <v>42</v>
      </c>
      <c r="F1614">
        <v>1</v>
      </c>
      <c r="G1614" t="s">
        <v>55</v>
      </c>
      <c r="H1614" t="s">
        <v>72</v>
      </c>
      <c r="I1614" t="s">
        <v>26</v>
      </c>
    </row>
    <row r="1615" spans="1:9" x14ac:dyDescent="0.45">
      <c r="A1615" t="s">
        <v>3293</v>
      </c>
      <c r="B1615" s="2">
        <v>45840</v>
      </c>
      <c r="C1615" t="s">
        <v>16</v>
      </c>
      <c r="D1615" t="s">
        <v>3294</v>
      </c>
      <c r="E1615" t="s">
        <v>42</v>
      </c>
      <c r="F1615">
        <v>4</v>
      </c>
      <c r="G1615" t="s">
        <v>59</v>
      </c>
      <c r="H1615" t="s">
        <v>14</v>
      </c>
      <c r="I1615" t="s">
        <v>39</v>
      </c>
    </row>
    <row r="1616" spans="1:9" x14ac:dyDescent="0.45">
      <c r="A1616" t="s">
        <v>3295</v>
      </c>
      <c r="B1616" s="2">
        <v>45794</v>
      </c>
      <c r="C1616" t="s">
        <v>52</v>
      </c>
      <c r="D1616" t="s">
        <v>3296</v>
      </c>
      <c r="E1616" t="s">
        <v>34</v>
      </c>
      <c r="F1616">
        <v>2</v>
      </c>
      <c r="G1616" t="s">
        <v>59</v>
      </c>
      <c r="H1616" t="s">
        <v>14</v>
      </c>
      <c r="I1616" t="s">
        <v>39</v>
      </c>
    </row>
    <row r="1617" spans="1:9" x14ac:dyDescent="0.45">
      <c r="A1617" t="s">
        <v>3297</v>
      </c>
      <c r="B1617" s="2">
        <v>45803</v>
      </c>
      <c r="C1617" t="s">
        <v>66</v>
      </c>
      <c r="D1617" t="s">
        <v>3298</v>
      </c>
      <c r="E1617" t="s">
        <v>75</v>
      </c>
      <c r="F1617">
        <v>5</v>
      </c>
      <c r="G1617" t="s">
        <v>13</v>
      </c>
      <c r="H1617" t="s">
        <v>14</v>
      </c>
      <c r="I1617" t="s">
        <v>60</v>
      </c>
    </row>
    <row r="1618" spans="1:9" x14ac:dyDescent="0.45">
      <c r="A1618" t="s">
        <v>3299</v>
      </c>
      <c r="B1618" s="2">
        <v>45829</v>
      </c>
      <c r="C1618" t="s">
        <v>49</v>
      </c>
      <c r="D1618" t="s">
        <v>3300</v>
      </c>
      <c r="E1618" t="s">
        <v>23</v>
      </c>
      <c r="F1618">
        <v>3</v>
      </c>
      <c r="G1618" t="s">
        <v>43</v>
      </c>
      <c r="H1618" t="s">
        <v>14</v>
      </c>
      <c r="I1618" t="s">
        <v>7967</v>
      </c>
    </row>
    <row r="1619" spans="1:9" x14ac:dyDescent="0.45">
      <c r="A1619" t="s">
        <v>3301</v>
      </c>
      <c r="B1619" s="2">
        <v>45835</v>
      </c>
      <c r="C1619" t="s">
        <v>52</v>
      </c>
      <c r="D1619" t="s">
        <v>3302</v>
      </c>
      <c r="E1619" t="s">
        <v>42</v>
      </c>
      <c r="F1619">
        <v>6</v>
      </c>
      <c r="G1619" t="s">
        <v>13</v>
      </c>
      <c r="H1619" t="s">
        <v>14</v>
      </c>
      <c r="I1619" t="s">
        <v>60</v>
      </c>
    </row>
    <row r="1620" spans="1:9" x14ac:dyDescent="0.45">
      <c r="A1620" t="s">
        <v>3303</v>
      </c>
      <c r="B1620" s="2">
        <v>45871</v>
      </c>
      <c r="C1620" t="s">
        <v>28</v>
      </c>
      <c r="D1620" t="s">
        <v>3304</v>
      </c>
      <c r="E1620" t="s">
        <v>23</v>
      </c>
      <c r="F1620">
        <v>3</v>
      </c>
      <c r="G1620" t="s">
        <v>18</v>
      </c>
      <c r="H1620" t="s">
        <v>14</v>
      </c>
      <c r="I1620" t="s">
        <v>31</v>
      </c>
    </row>
    <row r="1621" spans="1:9" x14ac:dyDescent="0.45">
      <c r="A1621" t="s">
        <v>3305</v>
      </c>
      <c r="B1621" s="2">
        <v>45795</v>
      </c>
      <c r="C1621" t="s">
        <v>52</v>
      </c>
      <c r="D1621" t="s">
        <v>3306</v>
      </c>
      <c r="E1621" t="s">
        <v>7973</v>
      </c>
      <c r="F1621">
        <v>1</v>
      </c>
      <c r="G1621" t="s">
        <v>68</v>
      </c>
      <c r="H1621" t="s">
        <v>25</v>
      </c>
      <c r="I1621" t="s">
        <v>31</v>
      </c>
    </row>
    <row r="1622" spans="1:9" x14ac:dyDescent="0.45">
      <c r="A1622" t="s">
        <v>3307</v>
      </c>
      <c r="B1622" s="2">
        <v>45787</v>
      </c>
      <c r="C1622" t="s">
        <v>99</v>
      </c>
      <c r="D1622" t="s">
        <v>3308</v>
      </c>
      <c r="E1622" t="s">
        <v>75</v>
      </c>
      <c r="F1622">
        <v>11</v>
      </c>
      <c r="G1622" t="s">
        <v>24</v>
      </c>
      <c r="H1622" t="s">
        <v>25</v>
      </c>
      <c r="I1622" t="s">
        <v>47</v>
      </c>
    </row>
    <row r="1623" spans="1:9" x14ac:dyDescent="0.45">
      <c r="A1623" t="s">
        <v>3309</v>
      </c>
      <c r="B1623" s="2">
        <v>45690</v>
      </c>
      <c r="C1623" t="s">
        <v>10</v>
      </c>
      <c r="D1623" t="s">
        <v>3310</v>
      </c>
      <c r="E1623" t="s">
        <v>30</v>
      </c>
      <c r="F1623">
        <v>7</v>
      </c>
      <c r="G1623" t="s">
        <v>13</v>
      </c>
      <c r="H1623" t="s">
        <v>14</v>
      </c>
      <c r="I1623" t="s">
        <v>31</v>
      </c>
    </row>
    <row r="1624" spans="1:9" x14ac:dyDescent="0.45">
      <c r="A1624" t="s">
        <v>3311</v>
      </c>
      <c r="B1624" s="2">
        <v>45819</v>
      </c>
      <c r="C1624" t="s">
        <v>52</v>
      </c>
      <c r="D1624" t="s">
        <v>3312</v>
      </c>
      <c r="E1624" t="s">
        <v>7973</v>
      </c>
      <c r="F1624">
        <v>9</v>
      </c>
      <c r="G1624" t="s">
        <v>35</v>
      </c>
      <c r="H1624" t="s">
        <v>25</v>
      </c>
      <c r="I1624" t="s">
        <v>26</v>
      </c>
    </row>
    <row r="1625" spans="1:9" x14ac:dyDescent="0.45">
      <c r="A1625" t="s">
        <v>3313</v>
      </c>
      <c r="B1625" s="2">
        <v>45794</v>
      </c>
      <c r="C1625" t="s">
        <v>10</v>
      </c>
      <c r="D1625" t="s">
        <v>3314</v>
      </c>
      <c r="E1625" t="s">
        <v>7974</v>
      </c>
      <c r="F1625">
        <v>11</v>
      </c>
      <c r="G1625" t="s">
        <v>59</v>
      </c>
      <c r="H1625" t="s">
        <v>14</v>
      </c>
      <c r="I1625" t="s">
        <v>47</v>
      </c>
    </row>
    <row r="1626" spans="1:9" x14ac:dyDescent="0.45">
      <c r="A1626" t="s">
        <v>3315</v>
      </c>
      <c r="B1626" s="2">
        <v>45877</v>
      </c>
      <c r="C1626" t="s">
        <v>66</v>
      </c>
      <c r="D1626" t="s">
        <v>3316</v>
      </c>
      <c r="E1626" t="s">
        <v>38</v>
      </c>
      <c r="F1626">
        <v>6</v>
      </c>
      <c r="G1626" t="s">
        <v>59</v>
      </c>
      <c r="H1626" t="s">
        <v>14</v>
      </c>
      <c r="I1626" t="s">
        <v>60</v>
      </c>
    </row>
    <row r="1627" spans="1:9" x14ac:dyDescent="0.45">
      <c r="A1627" t="s">
        <v>3317</v>
      </c>
      <c r="B1627" s="2">
        <v>45672</v>
      </c>
      <c r="C1627" t="s">
        <v>10</v>
      </c>
      <c r="D1627" t="s">
        <v>3318</v>
      </c>
      <c r="E1627" t="s">
        <v>75</v>
      </c>
      <c r="F1627">
        <v>12</v>
      </c>
      <c r="G1627" t="s">
        <v>55</v>
      </c>
      <c r="H1627" t="s">
        <v>72</v>
      </c>
      <c r="I1627" t="s">
        <v>60</v>
      </c>
    </row>
    <row r="1628" spans="1:9" x14ac:dyDescent="0.45">
      <c r="A1628" t="s">
        <v>3319</v>
      </c>
      <c r="B1628" s="2">
        <v>45799</v>
      </c>
      <c r="C1628" t="s">
        <v>52</v>
      </c>
      <c r="D1628" t="s">
        <v>3320</v>
      </c>
      <c r="E1628" t="s">
        <v>7974</v>
      </c>
      <c r="F1628">
        <v>4</v>
      </c>
      <c r="G1628" t="s">
        <v>68</v>
      </c>
      <c r="H1628" t="s">
        <v>25</v>
      </c>
      <c r="I1628" t="s">
        <v>39</v>
      </c>
    </row>
    <row r="1629" spans="1:9" x14ac:dyDescent="0.45">
      <c r="A1629" t="s">
        <v>3321</v>
      </c>
      <c r="B1629" s="2">
        <v>45864</v>
      </c>
      <c r="C1629" t="s">
        <v>49</v>
      </c>
      <c r="D1629" t="s">
        <v>3322</v>
      </c>
      <c r="E1629" t="s">
        <v>30</v>
      </c>
      <c r="F1629">
        <v>5</v>
      </c>
      <c r="G1629" t="s">
        <v>24</v>
      </c>
      <c r="H1629" t="s">
        <v>25</v>
      </c>
      <c r="I1629" t="s">
        <v>60</v>
      </c>
    </row>
    <row r="1630" spans="1:9" x14ac:dyDescent="0.45">
      <c r="A1630" t="s">
        <v>3323</v>
      </c>
      <c r="B1630" s="2">
        <v>45890</v>
      </c>
      <c r="C1630" t="s">
        <v>10</v>
      </c>
      <c r="D1630" t="s">
        <v>3324</v>
      </c>
      <c r="E1630" t="s">
        <v>34</v>
      </c>
      <c r="F1630">
        <v>9</v>
      </c>
      <c r="G1630" t="s">
        <v>35</v>
      </c>
      <c r="H1630" t="s">
        <v>25</v>
      </c>
      <c r="I1630" t="s">
        <v>31</v>
      </c>
    </row>
    <row r="1631" spans="1:9" x14ac:dyDescent="0.45">
      <c r="A1631" t="s">
        <v>3325</v>
      </c>
      <c r="B1631" s="2">
        <v>45789</v>
      </c>
      <c r="C1631" t="s">
        <v>21</v>
      </c>
      <c r="D1631" t="s">
        <v>3326</v>
      </c>
      <c r="E1631" t="s">
        <v>38</v>
      </c>
      <c r="F1631">
        <v>3</v>
      </c>
      <c r="G1631" t="s">
        <v>43</v>
      </c>
      <c r="H1631" t="s">
        <v>14</v>
      </c>
      <c r="I1631" t="s">
        <v>31</v>
      </c>
    </row>
    <row r="1632" spans="1:9" x14ac:dyDescent="0.45">
      <c r="A1632" t="s">
        <v>3327</v>
      </c>
      <c r="B1632" s="2">
        <v>45767</v>
      </c>
      <c r="C1632" t="s">
        <v>28</v>
      </c>
      <c r="D1632" t="s">
        <v>3328</v>
      </c>
      <c r="E1632" t="s">
        <v>7974</v>
      </c>
      <c r="F1632">
        <v>8</v>
      </c>
      <c r="G1632" t="s">
        <v>13</v>
      </c>
      <c r="H1632" t="s">
        <v>14</v>
      </c>
      <c r="I1632" t="s">
        <v>60</v>
      </c>
    </row>
    <row r="1633" spans="1:9" x14ac:dyDescent="0.45">
      <c r="A1633" t="s">
        <v>3329</v>
      </c>
      <c r="B1633" s="2">
        <v>45903</v>
      </c>
      <c r="C1633" t="s">
        <v>49</v>
      </c>
      <c r="D1633" t="s">
        <v>3330</v>
      </c>
      <c r="E1633" t="s">
        <v>54</v>
      </c>
      <c r="F1633">
        <v>9</v>
      </c>
      <c r="G1633" t="s">
        <v>7967</v>
      </c>
      <c r="H1633" t="s">
        <v>25</v>
      </c>
      <c r="I1633" t="s">
        <v>31</v>
      </c>
    </row>
    <row r="1634" spans="1:9" x14ac:dyDescent="0.45">
      <c r="A1634" t="s">
        <v>3331</v>
      </c>
      <c r="B1634" s="2">
        <v>45856</v>
      </c>
      <c r="C1634" t="s">
        <v>28</v>
      </c>
      <c r="D1634" t="s">
        <v>3332</v>
      </c>
      <c r="E1634" t="s">
        <v>7973</v>
      </c>
      <c r="F1634">
        <v>9</v>
      </c>
      <c r="G1634" t="s">
        <v>35</v>
      </c>
      <c r="H1634" t="s">
        <v>25</v>
      </c>
      <c r="I1634" t="s">
        <v>47</v>
      </c>
    </row>
    <row r="1635" spans="1:9" x14ac:dyDescent="0.45">
      <c r="A1635" t="s">
        <v>3333</v>
      </c>
      <c r="B1635" s="2">
        <v>45775</v>
      </c>
      <c r="C1635" t="s">
        <v>28</v>
      </c>
      <c r="D1635" t="s">
        <v>3334</v>
      </c>
      <c r="E1635" t="s">
        <v>7974</v>
      </c>
      <c r="F1635">
        <v>11</v>
      </c>
      <c r="G1635" t="s">
        <v>55</v>
      </c>
      <c r="H1635" t="s">
        <v>72</v>
      </c>
      <c r="I1635" t="s">
        <v>31</v>
      </c>
    </row>
    <row r="1636" spans="1:9" x14ac:dyDescent="0.45">
      <c r="A1636" t="s">
        <v>3335</v>
      </c>
      <c r="B1636" s="2">
        <v>45661</v>
      </c>
      <c r="C1636" t="s">
        <v>99</v>
      </c>
      <c r="D1636" t="s">
        <v>3336</v>
      </c>
      <c r="E1636" t="s">
        <v>38</v>
      </c>
      <c r="F1636">
        <v>7</v>
      </c>
      <c r="G1636" t="s">
        <v>24</v>
      </c>
      <c r="H1636" t="s">
        <v>25</v>
      </c>
      <c r="I1636" t="s">
        <v>19</v>
      </c>
    </row>
    <row r="1637" spans="1:9" x14ac:dyDescent="0.45">
      <c r="A1637" t="s">
        <v>3337</v>
      </c>
      <c r="B1637" s="2">
        <v>45797</v>
      </c>
      <c r="C1637" t="s">
        <v>66</v>
      </c>
      <c r="D1637" t="s">
        <v>3338</v>
      </c>
      <c r="E1637" t="s">
        <v>7974</v>
      </c>
      <c r="F1637">
        <v>2</v>
      </c>
      <c r="G1637" t="s">
        <v>18</v>
      </c>
      <c r="H1637" t="s">
        <v>14</v>
      </c>
      <c r="I1637" t="s">
        <v>47</v>
      </c>
    </row>
    <row r="1638" spans="1:9" x14ac:dyDescent="0.45">
      <c r="A1638" t="s">
        <v>3339</v>
      </c>
      <c r="B1638" s="2">
        <v>45871</v>
      </c>
      <c r="C1638" t="s">
        <v>66</v>
      </c>
      <c r="D1638" t="s">
        <v>3340</v>
      </c>
      <c r="E1638" t="s">
        <v>7974</v>
      </c>
      <c r="F1638">
        <v>1</v>
      </c>
      <c r="G1638" t="s">
        <v>68</v>
      </c>
      <c r="H1638" t="s">
        <v>25</v>
      </c>
      <c r="I1638" t="s">
        <v>47</v>
      </c>
    </row>
    <row r="1639" spans="1:9" x14ac:dyDescent="0.45">
      <c r="A1639" t="s">
        <v>3341</v>
      </c>
      <c r="B1639" s="2">
        <v>45658</v>
      </c>
      <c r="C1639" t="s">
        <v>16</v>
      </c>
      <c r="D1639" t="s">
        <v>3342</v>
      </c>
      <c r="E1639" t="s">
        <v>7973</v>
      </c>
      <c r="F1639">
        <v>8</v>
      </c>
      <c r="G1639" t="s">
        <v>68</v>
      </c>
      <c r="H1639" t="s">
        <v>25</v>
      </c>
      <c r="I1639" t="s">
        <v>26</v>
      </c>
    </row>
    <row r="1640" spans="1:9" x14ac:dyDescent="0.45">
      <c r="A1640" t="s">
        <v>3343</v>
      </c>
      <c r="B1640" s="2">
        <v>45757</v>
      </c>
      <c r="C1640" t="s">
        <v>66</v>
      </c>
      <c r="D1640" t="s">
        <v>3344</v>
      </c>
      <c r="E1640" t="s">
        <v>34</v>
      </c>
      <c r="F1640">
        <v>11</v>
      </c>
      <c r="G1640" t="s">
        <v>68</v>
      </c>
      <c r="H1640" t="s">
        <v>25</v>
      </c>
      <c r="I1640" t="s">
        <v>19</v>
      </c>
    </row>
    <row r="1641" spans="1:9" x14ac:dyDescent="0.45">
      <c r="A1641" t="s">
        <v>3345</v>
      </c>
      <c r="B1641" s="2">
        <v>45881</v>
      </c>
      <c r="C1641" t="s">
        <v>10</v>
      </c>
      <c r="D1641" t="s">
        <v>3346</v>
      </c>
      <c r="E1641" t="s">
        <v>34</v>
      </c>
      <c r="F1641">
        <v>12</v>
      </c>
      <c r="G1641" t="s">
        <v>55</v>
      </c>
      <c r="H1641" t="s">
        <v>72</v>
      </c>
      <c r="I1641" t="s">
        <v>31</v>
      </c>
    </row>
    <row r="1642" spans="1:9" x14ac:dyDescent="0.45">
      <c r="A1642" t="s">
        <v>3347</v>
      </c>
      <c r="B1642" s="2">
        <v>45803</v>
      </c>
      <c r="C1642" t="s">
        <v>99</v>
      </c>
      <c r="D1642" t="s">
        <v>3348</v>
      </c>
      <c r="E1642" t="s">
        <v>23</v>
      </c>
      <c r="F1642">
        <v>5</v>
      </c>
      <c r="G1642" t="s">
        <v>13</v>
      </c>
      <c r="H1642" t="s">
        <v>14</v>
      </c>
      <c r="I1642" t="s">
        <v>47</v>
      </c>
    </row>
    <row r="1643" spans="1:9" x14ac:dyDescent="0.45">
      <c r="A1643" t="s">
        <v>3349</v>
      </c>
      <c r="B1643" s="2">
        <v>45755</v>
      </c>
      <c r="C1643" t="s">
        <v>66</v>
      </c>
      <c r="D1643" t="s">
        <v>3350</v>
      </c>
      <c r="E1643" t="s">
        <v>54</v>
      </c>
      <c r="F1643">
        <v>9</v>
      </c>
      <c r="G1643" t="s">
        <v>55</v>
      </c>
      <c r="H1643" t="s">
        <v>72</v>
      </c>
      <c r="I1643" t="s">
        <v>60</v>
      </c>
    </row>
    <row r="1644" spans="1:9" x14ac:dyDescent="0.45">
      <c r="A1644" t="s">
        <v>3351</v>
      </c>
      <c r="B1644" s="2">
        <v>45851</v>
      </c>
      <c r="C1644" t="s">
        <v>66</v>
      </c>
      <c r="D1644" t="s">
        <v>3352</v>
      </c>
      <c r="E1644" t="s">
        <v>46</v>
      </c>
      <c r="F1644">
        <v>7</v>
      </c>
      <c r="G1644" t="s">
        <v>13</v>
      </c>
      <c r="H1644" t="s">
        <v>14</v>
      </c>
      <c r="I1644" t="s">
        <v>60</v>
      </c>
    </row>
    <row r="1645" spans="1:9" x14ac:dyDescent="0.45">
      <c r="A1645" t="s">
        <v>3353</v>
      </c>
      <c r="B1645" s="2">
        <v>45855</v>
      </c>
      <c r="C1645" t="s">
        <v>28</v>
      </c>
      <c r="D1645" t="s">
        <v>3354</v>
      </c>
      <c r="E1645" t="s">
        <v>7973</v>
      </c>
      <c r="F1645">
        <v>6</v>
      </c>
      <c r="G1645" t="s">
        <v>68</v>
      </c>
      <c r="H1645" t="s">
        <v>25</v>
      </c>
      <c r="I1645" t="s">
        <v>47</v>
      </c>
    </row>
    <row r="1646" spans="1:9" x14ac:dyDescent="0.45">
      <c r="A1646" t="s">
        <v>3355</v>
      </c>
      <c r="B1646" s="2">
        <v>45734</v>
      </c>
      <c r="C1646" t="s">
        <v>28</v>
      </c>
      <c r="D1646" t="s">
        <v>3356</v>
      </c>
      <c r="E1646" t="s">
        <v>34</v>
      </c>
      <c r="F1646">
        <v>12</v>
      </c>
      <c r="G1646" t="s">
        <v>68</v>
      </c>
      <c r="H1646" t="s">
        <v>25</v>
      </c>
      <c r="I1646" t="s">
        <v>47</v>
      </c>
    </row>
    <row r="1647" spans="1:9" x14ac:dyDescent="0.45">
      <c r="A1647" t="s">
        <v>3357</v>
      </c>
      <c r="B1647" s="2">
        <v>45843</v>
      </c>
      <c r="C1647" t="s">
        <v>52</v>
      </c>
      <c r="D1647" t="s">
        <v>3358</v>
      </c>
      <c r="E1647" t="s">
        <v>7974</v>
      </c>
      <c r="F1647">
        <v>4</v>
      </c>
      <c r="G1647" t="s">
        <v>35</v>
      </c>
      <c r="H1647" t="s">
        <v>25</v>
      </c>
      <c r="I1647" t="s">
        <v>31</v>
      </c>
    </row>
    <row r="1648" spans="1:9" x14ac:dyDescent="0.45">
      <c r="A1648" t="s">
        <v>3359</v>
      </c>
      <c r="B1648" s="2">
        <v>45766</v>
      </c>
      <c r="C1648" t="s">
        <v>28</v>
      </c>
      <c r="D1648" t="s">
        <v>3360</v>
      </c>
      <c r="E1648" t="s">
        <v>34</v>
      </c>
      <c r="F1648">
        <v>11</v>
      </c>
      <c r="G1648" t="s">
        <v>68</v>
      </c>
      <c r="H1648" t="s">
        <v>25</v>
      </c>
      <c r="I1648" t="s">
        <v>31</v>
      </c>
    </row>
    <row r="1649" spans="1:9" x14ac:dyDescent="0.45">
      <c r="A1649" t="s">
        <v>3361</v>
      </c>
      <c r="B1649" s="2">
        <v>45713</v>
      </c>
      <c r="C1649" t="s">
        <v>28</v>
      </c>
      <c r="D1649" t="s">
        <v>3362</v>
      </c>
      <c r="E1649" t="s">
        <v>7974</v>
      </c>
      <c r="F1649">
        <v>6</v>
      </c>
      <c r="G1649" t="s">
        <v>18</v>
      </c>
      <c r="H1649" t="s">
        <v>14</v>
      </c>
      <c r="I1649" t="s">
        <v>39</v>
      </c>
    </row>
    <row r="1650" spans="1:9" x14ac:dyDescent="0.45">
      <c r="A1650" t="s">
        <v>3363</v>
      </c>
      <c r="B1650" s="2">
        <v>45827</v>
      </c>
      <c r="C1650" t="s">
        <v>10</v>
      </c>
      <c r="D1650" t="s">
        <v>3364</v>
      </c>
      <c r="E1650" t="s">
        <v>42</v>
      </c>
      <c r="F1650">
        <v>3</v>
      </c>
      <c r="G1650" t="s">
        <v>59</v>
      </c>
      <c r="H1650" t="s">
        <v>14</v>
      </c>
      <c r="I1650" t="s">
        <v>31</v>
      </c>
    </row>
    <row r="1651" spans="1:9" x14ac:dyDescent="0.45">
      <c r="A1651" t="s">
        <v>3365</v>
      </c>
      <c r="B1651" s="2">
        <v>45660</v>
      </c>
      <c r="C1651" t="s">
        <v>21</v>
      </c>
      <c r="D1651" t="s">
        <v>3366</v>
      </c>
      <c r="E1651" t="s">
        <v>23</v>
      </c>
      <c r="F1651">
        <v>9</v>
      </c>
      <c r="G1651" t="s">
        <v>68</v>
      </c>
      <c r="H1651" t="s">
        <v>25</v>
      </c>
      <c r="I1651" t="s">
        <v>39</v>
      </c>
    </row>
    <row r="1652" spans="1:9" x14ac:dyDescent="0.45">
      <c r="A1652" t="s">
        <v>3367</v>
      </c>
      <c r="B1652" s="2">
        <v>45895</v>
      </c>
      <c r="C1652" t="s">
        <v>99</v>
      </c>
      <c r="D1652" t="s">
        <v>3368</v>
      </c>
      <c r="E1652" t="s">
        <v>58</v>
      </c>
      <c r="F1652">
        <v>2</v>
      </c>
      <c r="G1652" t="s">
        <v>18</v>
      </c>
      <c r="H1652" t="s">
        <v>14</v>
      </c>
      <c r="I1652" t="s">
        <v>26</v>
      </c>
    </row>
    <row r="1653" spans="1:9" x14ac:dyDescent="0.45">
      <c r="A1653" t="s">
        <v>3369</v>
      </c>
      <c r="B1653" s="2">
        <v>45678</v>
      </c>
      <c r="C1653" t="s">
        <v>28</v>
      </c>
      <c r="D1653" t="s">
        <v>3370</v>
      </c>
      <c r="E1653" t="s">
        <v>34</v>
      </c>
      <c r="F1653">
        <v>4</v>
      </c>
      <c r="G1653" t="s">
        <v>68</v>
      </c>
      <c r="H1653" t="s">
        <v>25</v>
      </c>
      <c r="I1653" t="s">
        <v>31</v>
      </c>
    </row>
    <row r="1654" spans="1:9" x14ac:dyDescent="0.45">
      <c r="A1654" t="s">
        <v>3371</v>
      </c>
      <c r="B1654" s="2">
        <v>45821</v>
      </c>
      <c r="C1654" t="s">
        <v>28</v>
      </c>
      <c r="D1654" t="s">
        <v>3372</v>
      </c>
      <c r="E1654" t="s">
        <v>23</v>
      </c>
      <c r="F1654">
        <v>3</v>
      </c>
      <c r="G1654" t="s">
        <v>24</v>
      </c>
      <c r="H1654" t="s">
        <v>25</v>
      </c>
      <c r="I1654" t="s">
        <v>19</v>
      </c>
    </row>
    <row r="1655" spans="1:9" x14ac:dyDescent="0.45">
      <c r="A1655" t="s">
        <v>3373</v>
      </c>
      <c r="B1655" s="2">
        <v>45895</v>
      </c>
      <c r="C1655" t="s">
        <v>52</v>
      </c>
      <c r="D1655" t="s">
        <v>3374</v>
      </c>
      <c r="E1655" t="s">
        <v>38</v>
      </c>
      <c r="F1655">
        <v>1</v>
      </c>
      <c r="G1655" t="s">
        <v>55</v>
      </c>
      <c r="H1655" t="s">
        <v>72</v>
      </c>
      <c r="I1655" t="s">
        <v>60</v>
      </c>
    </row>
    <row r="1656" spans="1:9" x14ac:dyDescent="0.45">
      <c r="A1656" t="s">
        <v>3375</v>
      </c>
      <c r="B1656" s="2">
        <v>45825</v>
      </c>
      <c r="C1656" t="s">
        <v>52</v>
      </c>
      <c r="D1656" t="s">
        <v>3376</v>
      </c>
      <c r="E1656" t="s">
        <v>75</v>
      </c>
      <c r="F1656">
        <v>1</v>
      </c>
      <c r="G1656" t="s">
        <v>35</v>
      </c>
      <c r="H1656" t="s">
        <v>25</v>
      </c>
      <c r="I1656" t="s">
        <v>47</v>
      </c>
    </row>
    <row r="1657" spans="1:9" x14ac:dyDescent="0.45">
      <c r="A1657" t="s">
        <v>3377</v>
      </c>
      <c r="B1657" s="2">
        <v>45865</v>
      </c>
      <c r="C1657" t="s">
        <v>10</v>
      </c>
      <c r="D1657" t="s">
        <v>3378</v>
      </c>
      <c r="E1657" t="s">
        <v>7973</v>
      </c>
      <c r="F1657">
        <v>12</v>
      </c>
      <c r="G1657" t="s">
        <v>68</v>
      </c>
      <c r="H1657" t="s">
        <v>25</v>
      </c>
      <c r="I1657" t="s">
        <v>31</v>
      </c>
    </row>
    <row r="1658" spans="1:9" x14ac:dyDescent="0.45">
      <c r="A1658" t="s">
        <v>3379</v>
      </c>
      <c r="B1658" s="2">
        <v>45718</v>
      </c>
      <c r="C1658" t="s">
        <v>21</v>
      </c>
      <c r="D1658" t="s">
        <v>3380</v>
      </c>
      <c r="E1658" t="s">
        <v>75</v>
      </c>
      <c r="F1658">
        <v>7</v>
      </c>
      <c r="G1658" t="s">
        <v>18</v>
      </c>
      <c r="H1658" t="s">
        <v>14</v>
      </c>
      <c r="I1658" t="s">
        <v>31</v>
      </c>
    </row>
    <row r="1659" spans="1:9" x14ac:dyDescent="0.45">
      <c r="A1659" t="s">
        <v>3381</v>
      </c>
      <c r="B1659" s="2">
        <v>45859</v>
      </c>
      <c r="C1659" t="s">
        <v>99</v>
      </c>
      <c r="D1659" t="s">
        <v>3382</v>
      </c>
      <c r="E1659" t="s">
        <v>75</v>
      </c>
      <c r="F1659">
        <v>7</v>
      </c>
      <c r="G1659" t="s">
        <v>13</v>
      </c>
      <c r="H1659" t="s">
        <v>14</v>
      </c>
      <c r="I1659" t="s">
        <v>26</v>
      </c>
    </row>
    <row r="1660" spans="1:9" x14ac:dyDescent="0.45">
      <c r="A1660" t="s">
        <v>3383</v>
      </c>
      <c r="B1660" s="2">
        <v>45691</v>
      </c>
      <c r="C1660" t="s">
        <v>52</v>
      </c>
      <c r="D1660" t="s">
        <v>3384</v>
      </c>
      <c r="E1660" t="s">
        <v>75</v>
      </c>
      <c r="F1660">
        <v>3</v>
      </c>
      <c r="G1660" t="s">
        <v>43</v>
      </c>
      <c r="H1660" t="s">
        <v>14</v>
      </c>
      <c r="I1660" t="s">
        <v>39</v>
      </c>
    </row>
    <row r="1661" spans="1:9" x14ac:dyDescent="0.45">
      <c r="A1661" t="s">
        <v>3385</v>
      </c>
      <c r="B1661" s="2">
        <v>45894</v>
      </c>
      <c r="C1661" t="s">
        <v>99</v>
      </c>
      <c r="D1661" t="s">
        <v>3386</v>
      </c>
      <c r="E1661" t="s">
        <v>58</v>
      </c>
      <c r="F1661">
        <v>12</v>
      </c>
      <c r="G1661" t="s">
        <v>68</v>
      </c>
      <c r="H1661" t="s">
        <v>25</v>
      </c>
      <c r="I1661" t="s">
        <v>26</v>
      </c>
    </row>
    <row r="1662" spans="1:9" x14ac:dyDescent="0.45">
      <c r="A1662" t="s">
        <v>3387</v>
      </c>
      <c r="B1662" s="2">
        <v>45677</v>
      </c>
      <c r="C1662" t="s">
        <v>21</v>
      </c>
      <c r="D1662" t="s">
        <v>3388</v>
      </c>
      <c r="E1662" t="s">
        <v>30</v>
      </c>
      <c r="F1662">
        <v>12</v>
      </c>
      <c r="G1662" t="s">
        <v>13</v>
      </c>
      <c r="H1662" t="s">
        <v>14</v>
      </c>
      <c r="I1662" t="s">
        <v>60</v>
      </c>
    </row>
    <row r="1663" spans="1:9" x14ac:dyDescent="0.45">
      <c r="A1663" t="s">
        <v>3389</v>
      </c>
      <c r="B1663" s="2">
        <v>45698</v>
      </c>
      <c r="C1663" t="s">
        <v>52</v>
      </c>
      <c r="D1663" t="s">
        <v>3390</v>
      </c>
      <c r="E1663" t="s">
        <v>58</v>
      </c>
      <c r="F1663">
        <v>9</v>
      </c>
      <c r="G1663" t="s">
        <v>18</v>
      </c>
      <c r="H1663" t="s">
        <v>14</v>
      </c>
      <c r="I1663" t="s">
        <v>47</v>
      </c>
    </row>
    <row r="1664" spans="1:9" x14ac:dyDescent="0.45">
      <c r="A1664" t="s">
        <v>3391</v>
      </c>
      <c r="B1664" s="2">
        <v>45763</v>
      </c>
      <c r="C1664" t="s">
        <v>21</v>
      </c>
      <c r="D1664" t="s">
        <v>3392</v>
      </c>
      <c r="E1664" t="s">
        <v>38</v>
      </c>
      <c r="F1664">
        <v>8</v>
      </c>
      <c r="G1664" t="s">
        <v>35</v>
      </c>
      <c r="H1664" t="s">
        <v>25</v>
      </c>
      <c r="I1664" t="s">
        <v>60</v>
      </c>
    </row>
    <row r="1665" spans="1:9" x14ac:dyDescent="0.45">
      <c r="A1665" t="s">
        <v>3393</v>
      </c>
      <c r="B1665" s="2">
        <v>45779</v>
      </c>
      <c r="C1665" t="s">
        <v>66</v>
      </c>
      <c r="D1665" t="s">
        <v>3394</v>
      </c>
      <c r="E1665" t="s">
        <v>30</v>
      </c>
      <c r="F1665">
        <v>5</v>
      </c>
      <c r="G1665" t="s">
        <v>55</v>
      </c>
      <c r="H1665" t="s">
        <v>72</v>
      </c>
      <c r="I1665" t="s">
        <v>47</v>
      </c>
    </row>
    <row r="1666" spans="1:9" x14ac:dyDescent="0.45">
      <c r="A1666" t="s">
        <v>3395</v>
      </c>
      <c r="B1666" s="2">
        <v>45766</v>
      </c>
      <c r="C1666" t="s">
        <v>52</v>
      </c>
      <c r="D1666" t="s">
        <v>3396</v>
      </c>
      <c r="E1666" t="s">
        <v>38</v>
      </c>
      <c r="F1666">
        <v>8</v>
      </c>
      <c r="G1666" t="s">
        <v>13</v>
      </c>
      <c r="H1666" t="s">
        <v>14</v>
      </c>
      <c r="I1666" t="s">
        <v>31</v>
      </c>
    </row>
    <row r="1667" spans="1:9" x14ac:dyDescent="0.45">
      <c r="A1667" t="s">
        <v>3397</v>
      </c>
      <c r="B1667" s="2">
        <v>45900</v>
      </c>
      <c r="C1667" t="s">
        <v>66</v>
      </c>
      <c r="D1667" t="s">
        <v>3398</v>
      </c>
      <c r="E1667" t="s">
        <v>34</v>
      </c>
      <c r="F1667">
        <v>10</v>
      </c>
      <c r="G1667" t="s">
        <v>43</v>
      </c>
      <c r="H1667" t="s">
        <v>14</v>
      </c>
      <c r="I1667" t="s">
        <v>39</v>
      </c>
    </row>
    <row r="1668" spans="1:9" x14ac:dyDescent="0.45">
      <c r="A1668" t="s">
        <v>3399</v>
      </c>
      <c r="B1668" s="2">
        <v>45783</v>
      </c>
      <c r="C1668" t="s">
        <v>21</v>
      </c>
      <c r="D1668" t="s">
        <v>3400</v>
      </c>
      <c r="E1668" t="s">
        <v>58</v>
      </c>
      <c r="F1668">
        <v>4</v>
      </c>
      <c r="G1668" t="s">
        <v>35</v>
      </c>
      <c r="H1668" t="s">
        <v>25</v>
      </c>
      <c r="I1668" t="s">
        <v>47</v>
      </c>
    </row>
    <row r="1669" spans="1:9" x14ac:dyDescent="0.45">
      <c r="A1669" t="s">
        <v>3401</v>
      </c>
      <c r="B1669" s="2">
        <v>45795</v>
      </c>
      <c r="C1669" t="s">
        <v>16</v>
      </c>
      <c r="D1669" t="s">
        <v>3402</v>
      </c>
      <c r="E1669" t="s">
        <v>7974</v>
      </c>
      <c r="F1669">
        <v>3</v>
      </c>
      <c r="G1669" t="s">
        <v>68</v>
      </c>
      <c r="H1669" t="s">
        <v>25</v>
      </c>
      <c r="I1669" t="s">
        <v>26</v>
      </c>
    </row>
    <row r="1670" spans="1:9" x14ac:dyDescent="0.45">
      <c r="A1670" t="s">
        <v>3403</v>
      </c>
      <c r="B1670" s="2">
        <v>45682</v>
      </c>
      <c r="C1670" t="s">
        <v>10</v>
      </c>
      <c r="D1670" t="s">
        <v>3404</v>
      </c>
      <c r="E1670" t="s">
        <v>54</v>
      </c>
      <c r="F1670">
        <v>1</v>
      </c>
      <c r="G1670" t="s">
        <v>43</v>
      </c>
      <c r="H1670" t="s">
        <v>14</v>
      </c>
      <c r="I1670" t="s">
        <v>26</v>
      </c>
    </row>
    <row r="1671" spans="1:9" x14ac:dyDescent="0.45">
      <c r="A1671" t="s">
        <v>3405</v>
      </c>
      <c r="B1671" s="2">
        <v>45698</v>
      </c>
      <c r="C1671" t="s">
        <v>52</v>
      </c>
      <c r="D1671" t="s">
        <v>3406</v>
      </c>
      <c r="E1671" t="s">
        <v>34</v>
      </c>
      <c r="F1671">
        <v>11</v>
      </c>
      <c r="G1671" t="s">
        <v>24</v>
      </c>
      <c r="H1671" t="s">
        <v>25</v>
      </c>
      <c r="I1671" t="s">
        <v>39</v>
      </c>
    </row>
    <row r="1672" spans="1:9" x14ac:dyDescent="0.45">
      <c r="A1672" t="s">
        <v>3407</v>
      </c>
      <c r="B1672" s="2">
        <v>45818</v>
      </c>
      <c r="C1672" t="s">
        <v>52</v>
      </c>
      <c r="D1672" t="s">
        <v>3408</v>
      </c>
      <c r="E1672" t="s">
        <v>34</v>
      </c>
      <c r="F1672">
        <v>4</v>
      </c>
      <c r="G1672" t="s">
        <v>68</v>
      </c>
      <c r="H1672" t="s">
        <v>25</v>
      </c>
      <c r="I1672" t="s">
        <v>47</v>
      </c>
    </row>
    <row r="1673" spans="1:9" x14ac:dyDescent="0.45">
      <c r="A1673" t="s">
        <v>3409</v>
      </c>
      <c r="B1673" s="2">
        <v>45714</v>
      </c>
      <c r="C1673" t="s">
        <v>10</v>
      </c>
      <c r="D1673" t="s">
        <v>3410</v>
      </c>
      <c r="E1673" t="s">
        <v>38</v>
      </c>
      <c r="F1673">
        <v>11</v>
      </c>
      <c r="G1673" t="s">
        <v>24</v>
      </c>
      <c r="H1673" t="s">
        <v>25</v>
      </c>
      <c r="I1673" t="s">
        <v>31</v>
      </c>
    </row>
    <row r="1674" spans="1:9" x14ac:dyDescent="0.45">
      <c r="A1674" t="s">
        <v>3411</v>
      </c>
      <c r="B1674" s="2">
        <v>45663</v>
      </c>
      <c r="C1674" t="s">
        <v>10</v>
      </c>
      <c r="D1674" t="s">
        <v>3412</v>
      </c>
      <c r="E1674" t="s">
        <v>34</v>
      </c>
      <c r="F1674">
        <v>5</v>
      </c>
      <c r="G1674" t="s">
        <v>43</v>
      </c>
      <c r="H1674" t="s">
        <v>14</v>
      </c>
      <c r="I1674" t="s">
        <v>39</v>
      </c>
    </row>
    <row r="1675" spans="1:9" x14ac:dyDescent="0.45">
      <c r="A1675" t="s">
        <v>3413</v>
      </c>
      <c r="B1675" s="2">
        <v>45852</v>
      </c>
      <c r="C1675" t="s">
        <v>28</v>
      </c>
      <c r="D1675" t="s">
        <v>3414</v>
      </c>
      <c r="E1675" t="s">
        <v>58</v>
      </c>
      <c r="F1675">
        <v>1</v>
      </c>
      <c r="G1675" t="s">
        <v>35</v>
      </c>
      <c r="H1675" t="s">
        <v>25</v>
      </c>
      <c r="I1675" t="s">
        <v>47</v>
      </c>
    </row>
    <row r="1676" spans="1:9" x14ac:dyDescent="0.45">
      <c r="A1676" t="s">
        <v>3415</v>
      </c>
      <c r="B1676" s="2">
        <v>45700</v>
      </c>
      <c r="C1676" t="s">
        <v>49</v>
      </c>
      <c r="D1676" t="s">
        <v>3416</v>
      </c>
      <c r="E1676" t="s">
        <v>42</v>
      </c>
      <c r="F1676">
        <v>11</v>
      </c>
      <c r="G1676" t="s">
        <v>35</v>
      </c>
      <c r="H1676" t="s">
        <v>25</v>
      </c>
      <c r="I1676" t="s">
        <v>39</v>
      </c>
    </row>
    <row r="1677" spans="1:9" x14ac:dyDescent="0.45">
      <c r="A1677" t="s">
        <v>3417</v>
      </c>
      <c r="B1677" s="2">
        <v>45731</v>
      </c>
      <c r="C1677" t="s">
        <v>16</v>
      </c>
      <c r="D1677" t="s">
        <v>3418</v>
      </c>
      <c r="E1677" t="s">
        <v>71</v>
      </c>
      <c r="F1677">
        <v>6</v>
      </c>
      <c r="G1677" t="s">
        <v>55</v>
      </c>
      <c r="H1677" t="s">
        <v>72</v>
      </c>
      <c r="I1677" t="s">
        <v>19</v>
      </c>
    </row>
    <row r="1678" spans="1:9" x14ac:dyDescent="0.45">
      <c r="A1678" t="s">
        <v>3419</v>
      </c>
      <c r="B1678" s="2">
        <v>45868</v>
      </c>
      <c r="C1678" t="s">
        <v>10</v>
      </c>
      <c r="D1678" t="s">
        <v>3420</v>
      </c>
      <c r="E1678" t="s">
        <v>46</v>
      </c>
      <c r="F1678">
        <v>9</v>
      </c>
      <c r="G1678" t="s">
        <v>13</v>
      </c>
      <c r="H1678" t="s">
        <v>14</v>
      </c>
      <c r="I1678" t="s">
        <v>26</v>
      </c>
    </row>
    <row r="1679" spans="1:9" x14ac:dyDescent="0.45">
      <c r="A1679" t="s">
        <v>3421</v>
      </c>
      <c r="B1679" s="2">
        <v>45891</v>
      </c>
      <c r="C1679" t="s">
        <v>28</v>
      </c>
      <c r="D1679" t="s">
        <v>3422</v>
      </c>
      <c r="E1679" t="s">
        <v>38</v>
      </c>
      <c r="F1679">
        <v>6</v>
      </c>
      <c r="G1679" t="s">
        <v>43</v>
      </c>
      <c r="H1679" t="s">
        <v>14</v>
      </c>
      <c r="I1679" t="s">
        <v>26</v>
      </c>
    </row>
    <row r="1680" spans="1:9" x14ac:dyDescent="0.45">
      <c r="A1680" t="s">
        <v>3423</v>
      </c>
      <c r="B1680" s="2">
        <v>45703</v>
      </c>
      <c r="C1680" t="s">
        <v>21</v>
      </c>
      <c r="D1680" t="s">
        <v>3424</v>
      </c>
      <c r="E1680" t="s">
        <v>46</v>
      </c>
      <c r="F1680">
        <v>8</v>
      </c>
      <c r="G1680" t="s">
        <v>43</v>
      </c>
      <c r="H1680" t="s">
        <v>14</v>
      </c>
      <c r="I1680" t="s">
        <v>31</v>
      </c>
    </row>
    <row r="1681" spans="1:9" x14ac:dyDescent="0.45">
      <c r="A1681" t="s">
        <v>3425</v>
      </c>
      <c r="B1681" s="2">
        <v>45679</v>
      </c>
      <c r="C1681" t="s">
        <v>52</v>
      </c>
      <c r="D1681" t="s">
        <v>3426</v>
      </c>
      <c r="E1681" t="s">
        <v>30</v>
      </c>
      <c r="F1681">
        <v>12</v>
      </c>
      <c r="G1681" t="s">
        <v>59</v>
      </c>
      <c r="H1681" t="s">
        <v>14</v>
      </c>
      <c r="I1681" t="s">
        <v>26</v>
      </c>
    </row>
    <row r="1682" spans="1:9" x14ac:dyDescent="0.45">
      <c r="A1682" t="s">
        <v>3427</v>
      </c>
      <c r="B1682" s="2">
        <v>45873</v>
      </c>
      <c r="C1682" t="s">
        <v>99</v>
      </c>
      <c r="D1682" t="s">
        <v>3428</v>
      </c>
      <c r="E1682" t="s">
        <v>58</v>
      </c>
      <c r="F1682">
        <v>6</v>
      </c>
      <c r="G1682" t="s">
        <v>59</v>
      </c>
      <c r="H1682" t="s">
        <v>14</v>
      </c>
      <c r="I1682" t="s">
        <v>19</v>
      </c>
    </row>
    <row r="1683" spans="1:9" x14ac:dyDescent="0.45">
      <c r="A1683" t="s">
        <v>3429</v>
      </c>
      <c r="B1683" s="2">
        <v>45798</v>
      </c>
      <c r="C1683" t="s">
        <v>10</v>
      </c>
      <c r="D1683" t="s">
        <v>3430</v>
      </c>
      <c r="E1683" t="s">
        <v>71</v>
      </c>
      <c r="F1683">
        <v>12</v>
      </c>
      <c r="G1683" t="s">
        <v>43</v>
      </c>
      <c r="H1683" t="s">
        <v>14</v>
      </c>
      <c r="I1683" t="s">
        <v>39</v>
      </c>
    </row>
    <row r="1684" spans="1:9" x14ac:dyDescent="0.45">
      <c r="A1684" t="s">
        <v>3431</v>
      </c>
      <c r="B1684" s="2">
        <v>45794</v>
      </c>
      <c r="C1684" t="s">
        <v>49</v>
      </c>
      <c r="D1684" t="s">
        <v>3432</v>
      </c>
      <c r="E1684" t="s">
        <v>46</v>
      </c>
      <c r="F1684">
        <v>9</v>
      </c>
      <c r="G1684" t="s">
        <v>18</v>
      </c>
      <c r="H1684" t="s">
        <v>14</v>
      </c>
      <c r="I1684" t="s">
        <v>31</v>
      </c>
    </row>
    <row r="1685" spans="1:9" x14ac:dyDescent="0.45">
      <c r="A1685" t="s">
        <v>3433</v>
      </c>
      <c r="B1685" s="2">
        <v>45661</v>
      </c>
      <c r="C1685" t="s">
        <v>66</v>
      </c>
      <c r="D1685" t="s">
        <v>3434</v>
      </c>
      <c r="E1685" t="s">
        <v>30</v>
      </c>
      <c r="F1685">
        <v>7</v>
      </c>
      <c r="G1685" t="s">
        <v>43</v>
      </c>
      <c r="H1685" t="s">
        <v>14</v>
      </c>
      <c r="I1685" t="s">
        <v>60</v>
      </c>
    </row>
    <row r="1686" spans="1:9" x14ac:dyDescent="0.45">
      <c r="A1686" t="s">
        <v>3435</v>
      </c>
      <c r="B1686" s="2">
        <v>45843</v>
      </c>
      <c r="C1686" t="s">
        <v>49</v>
      </c>
      <c r="D1686" t="s">
        <v>3436</v>
      </c>
      <c r="E1686" t="s">
        <v>34</v>
      </c>
      <c r="F1686">
        <v>9</v>
      </c>
      <c r="G1686" t="s">
        <v>59</v>
      </c>
      <c r="H1686" t="s">
        <v>14</v>
      </c>
      <c r="I1686" t="s">
        <v>19</v>
      </c>
    </row>
    <row r="1687" spans="1:9" x14ac:dyDescent="0.45">
      <c r="A1687" t="s">
        <v>3437</v>
      </c>
      <c r="B1687" s="2">
        <v>45803</v>
      </c>
      <c r="C1687" t="s">
        <v>10</v>
      </c>
      <c r="D1687" t="s">
        <v>3438</v>
      </c>
      <c r="E1687" t="s">
        <v>7974</v>
      </c>
      <c r="F1687">
        <v>4</v>
      </c>
      <c r="G1687" t="s">
        <v>43</v>
      </c>
      <c r="H1687" t="s">
        <v>14</v>
      </c>
      <c r="I1687" t="s">
        <v>19</v>
      </c>
    </row>
    <row r="1688" spans="1:9" x14ac:dyDescent="0.45">
      <c r="A1688" t="s">
        <v>3439</v>
      </c>
      <c r="B1688" s="2">
        <v>45734</v>
      </c>
      <c r="C1688" t="s">
        <v>66</v>
      </c>
      <c r="D1688" t="s">
        <v>3440</v>
      </c>
      <c r="E1688" t="s">
        <v>75</v>
      </c>
      <c r="F1688">
        <v>3</v>
      </c>
      <c r="G1688" t="s">
        <v>18</v>
      </c>
      <c r="H1688" t="s">
        <v>14</v>
      </c>
      <c r="I1688" t="s">
        <v>26</v>
      </c>
    </row>
    <row r="1689" spans="1:9" x14ac:dyDescent="0.45">
      <c r="A1689" t="s">
        <v>3441</v>
      </c>
      <c r="B1689" s="2">
        <v>45812</v>
      </c>
      <c r="C1689" t="s">
        <v>10</v>
      </c>
      <c r="D1689" t="s">
        <v>3442</v>
      </c>
      <c r="E1689" t="s">
        <v>71</v>
      </c>
      <c r="F1689">
        <v>8</v>
      </c>
      <c r="G1689" t="s">
        <v>43</v>
      </c>
      <c r="H1689" t="s">
        <v>14</v>
      </c>
      <c r="I1689" t="s">
        <v>47</v>
      </c>
    </row>
    <row r="1690" spans="1:9" x14ac:dyDescent="0.45">
      <c r="A1690" t="s">
        <v>3443</v>
      </c>
      <c r="B1690" s="2">
        <v>45749</v>
      </c>
      <c r="C1690" t="s">
        <v>66</v>
      </c>
      <c r="D1690" t="s">
        <v>3444</v>
      </c>
      <c r="E1690" t="s">
        <v>7974</v>
      </c>
      <c r="F1690">
        <v>8</v>
      </c>
      <c r="G1690" t="s">
        <v>43</v>
      </c>
      <c r="H1690" t="s">
        <v>14</v>
      </c>
      <c r="I1690" t="s">
        <v>26</v>
      </c>
    </row>
    <row r="1691" spans="1:9" x14ac:dyDescent="0.45">
      <c r="A1691" t="s">
        <v>3445</v>
      </c>
      <c r="B1691" s="2">
        <v>45724</v>
      </c>
      <c r="C1691" t="s">
        <v>16</v>
      </c>
      <c r="D1691" t="s">
        <v>3446</v>
      </c>
      <c r="E1691" t="s">
        <v>30</v>
      </c>
      <c r="F1691">
        <v>8</v>
      </c>
      <c r="G1691" t="s">
        <v>18</v>
      </c>
      <c r="H1691" t="s">
        <v>14</v>
      </c>
      <c r="I1691" t="s">
        <v>47</v>
      </c>
    </row>
    <row r="1692" spans="1:9" x14ac:dyDescent="0.45">
      <c r="A1692" t="s">
        <v>3447</v>
      </c>
      <c r="B1692" s="2">
        <v>45851</v>
      </c>
      <c r="C1692" t="s">
        <v>10</v>
      </c>
      <c r="D1692" t="s">
        <v>3448</v>
      </c>
      <c r="E1692" t="s">
        <v>7974</v>
      </c>
      <c r="F1692">
        <v>5</v>
      </c>
      <c r="G1692" t="s">
        <v>59</v>
      </c>
      <c r="H1692" t="s">
        <v>14</v>
      </c>
      <c r="I1692" t="s">
        <v>47</v>
      </c>
    </row>
    <row r="1693" spans="1:9" x14ac:dyDescent="0.45">
      <c r="A1693" t="s">
        <v>3449</v>
      </c>
      <c r="B1693" s="2">
        <v>45791</v>
      </c>
      <c r="C1693" t="s">
        <v>66</v>
      </c>
      <c r="D1693" t="s">
        <v>3450</v>
      </c>
      <c r="E1693" t="s">
        <v>46</v>
      </c>
      <c r="F1693">
        <v>1</v>
      </c>
      <c r="G1693" t="s">
        <v>55</v>
      </c>
      <c r="H1693" t="s">
        <v>72</v>
      </c>
      <c r="I1693" t="s">
        <v>31</v>
      </c>
    </row>
    <row r="1694" spans="1:9" x14ac:dyDescent="0.45">
      <c r="A1694" t="s">
        <v>3451</v>
      </c>
      <c r="B1694" s="2">
        <v>45789</v>
      </c>
      <c r="C1694" t="s">
        <v>66</v>
      </c>
      <c r="D1694" t="s">
        <v>3452</v>
      </c>
      <c r="E1694" t="s">
        <v>34</v>
      </c>
      <c r="F1694">
        <v>10</v>
      </c>
      <c r="G1694" t="s">
        <v>59</v>
      </c>
      <c r="H1694" t="s">
        <v>14</v>
      </c>
      <c r="I1694" t="s">
        <v>60</v>
      </c>
    </row>
    <row r="1695" spans="1:9" x14ac:dyDescent="0.45">
      <c r="A1695" t="s">
        <v>3453</v>
      </c>
      <c r="B1695" s="2">
        <v>45780</v>
      </c>
      <c r="C1695" t="s">
        <v>21</v>
      </c>
      <c r="D1695" t="s">
        <v>3454</v>
      </c>
      <c r="E1695" t="s">
        <v>23</v>
      </c>
      <c r="F1695">
        <v>2</v>
      </c>
      <c r="G1695" t="s">
        <v>68</v>
      </c>
      <c r="H1695" t="s">
        <v>25</v>
      </c>
      <c r="I1695" t="s">
        <v>47</v>
      </c>
    </row>
    <row r="1696" spans="1:9" x14ac:dyDescent="0.45">
      <c r="A1696" t="s">
        <v>3455</v>
      </c>
      <c r="B1696" s="2">
        <v>45895</v>
      </c>
      <c r="C1696" t="s">
        <v>49</v>
      </c>
      <c r="D1696" t="s">
        <v>3456</v>
      </c>
      <c r="E1696" t="s">
        <v>30</v>
      </c>
      <c r="F1696">
        <v>2</v>
      </c>
      <c r="G1696" t="s">
        <v>68</v>
      </c>
      <c r="H1696" t="s">
        <v>25</v>
      </c>
      <c r="I1696" t="s">
        <v>19</v>
      </c>
    </row>
    <row r="1697" spans="1:9" x14ac:dyDescent="0.45">
      <c r="A1697" t="s">
        <v>3457</v>
      </c>
      <c r="B1697" s="2">
        <v>45736</v>
      </c>
      <c r="C1697" t="s">
        <v>28</v>
      </c>
      <c r="D1697" t="s">
        <v>3458</v>
      </c>
      <c r="E1697" t="s">
        <v>30</v>
      </c>
      <c r="F1697">
        <v>4</v>
      </c>
      <c r="G1697" t="s">
        <v>43</v>
      </c>
      <c r="H1697" t="s">
        <v>14</v>
      </c>
      <c r="I1697" t="s">
        <v>26</v>
      </c>
    </row>
    <row r="1698" spans="1:9" x14ac:dyDescent="0.45">
      <c r="A1698" t="s">
        <v>3459</v>
      </c>
      <c r="B1698" s="2">
        <v>45749</v>
      </c>
      <c r="C1698" t="s">
        <v>99</v>
      </c>
      <c r="D1698" t="s">
        <v>3460</v>
      </c>
      <c r="E1698" t="s">
        <v>38</v>
      </c>
      <c r="F1698">
        <v>10</v>
      </c>
      <c r="G1698" t="s">
        <v>35</v>
      </c>
      <c r="H1698" t="s">
        <v>25</v>
      </c>
      <c r="I1698" t="s">
        <v>60</v>
      </c>
    </row>
    <row r="1699" spans="1:9" x14ac:dyDescent="0.45">
      <c r="A1699" t="s">
        <v>3461</v>
      </c>
      <c r="B1699" s="2">
        <v>45832</v>
      </c>
      <c r="C1699" t="s">
        <v>16</v>
      </c>
      <c r="D1699" t="s">
        <v>3462</v>
      </c>
      <c r="E1699" t="s">
        <v>71</v>
      </c>
      <c r="F1699">
        <v>1</v>
      </c>
      <c r="G1699" t="s">
        <v>13</v>
      </c>
      <c r="H1699" t="s">
        <v>14</v>
      </c>
      <c r="I1699" t="s">
        <v>26</v>
      </c>
    </row>
    <row r="1700" spans="1:9" x14ac:dyDescent="0.45">
      <c r="A1700" t="s">
        <v>3463</v>
      </c>
      <c r="B1700" s="2">
        <v>45700</v>
      </c>
      <c r="C1700" t="s">
        <v>49</v>
      </c>
      <c r="D1700" t="s">
        <v>3464</v>
      </c>
      <c r="E1700" t="s">
        <v>46</v>
      </c>
      <c r="F1700">
        <v>10</v>
      </c>
      <c r="G1700" t="s">
        <v>59</v>
      </c>
      <c r="H1700" t="s">
        <v>14</v>
      </c>
      <c r="I1700" t="s">
        <v>26</v>
      </c>
    </row>
    <row r="1701" spans="1:9" x14ac:dyDescent="0.45">
      <c r="A1701" t="s">
        <v>3465</v>
      </c>
      <c r="B1701" s="2">
        <v>45668</v>
      </c>
      <c r="C1701" t="s">
        <v>49</v>
      </c>
      <c r="D1701" t="s">
        <v>3466</v>
      </c>
      <c r="E1701" t="s">
        <v>71</v>
      </c>
      <c r="F1701">
        <v>10</v>
      </c>
      <c r="G1701" t="s">
        <v>13</v>
      </c>
      <c r="H1701" t="s">
        <v>14</v>
      </c>
      <c r="I1701" t="s">
        <v>31</v>
      </c>
    </row>
    <row r="1702" spans="1:9" x14ac:dyDescent="0.45">
      <c r="A1702" t="s">
        <v>3467</v>
      </c>
      <c r="B1702" s="2">
        <v>45797</v>
      </c>
      <c r="C1702" t="s">
        <v>52</v>
      </c>
      <c r="D1702" t="s">
        <v>3468</v>
      </c>
      <c r="E1702" t="s">
        <v>23</v>
      </c>
      <c r="F1702">
        <v>10</v>
      </c>
      <c r="G1702" t="s">
        <v>35</v>
      </c>
      <c r="H1702" t="s">
        <v>25</v>
      </c>
      <c r="I1702" t="s">
        <v>26</v>
      </c>
    </row>
    <row r="1703" spans="1:9" x14ac:dyDescent="0.45">
      <c r="A1703" t="s">
        <v>3469</v>
      </c>
      <c r="B1703" s="2">
        <v>45871</v>
      </c>
      <c r="C1703" t="s">
        <v>21</v>
      </c>
      <c r="D1703" t="s">
        <v>3470</v>
      </c>
      <c r="E1703" t="s">
        <v>46</v>
      </c>
      <c r="F1703">
        <v>2</v>
      </c>
      <c r="G1703" t="s">
        <v>13</v>
      </c>
      <c r="H1703" t="s">
        <v>14</v>
      </c>
      <c r="I1703" t="s">
        <v>60</v>
      </c>
    </row>
    <row r="1704" spans="1:9" x14ac:dyDescent="0.45">
      <c r="A1704" t="s">
        <v>3471</v>
      </c>
      <c r="B1704" s="2">
        <v>45695</v>
      </c>
      <c r="C1704" t="s">
        <v>66</v>
      </c>
      <c r="D1704" t="s">
        <v>3472</v>
      </c>
      <c r="E1704" t="s">
        <v>30</v>
      </c>
      <c r="F1704">
        <v>6</v>
      </c>
      <c r="G1704" t="s">
        <v>13</v>
      </c>
      <c r="H1704" t="s">
        <v>14</v>
      </c>
      <c r="I1704" t="s">
        <v>31</v>
      </c>
    </row>
    <row r="1705" spans="1:9" x14ac:dyDescent="0.45">
      <c r="A1705" t="s">
        <v>3473</v>
      </c>
      <c r="B1705" s="2">
        <v>45689</v>
      </c>
      <c r="C1705" t="s">
        <v>52</v>
      </c>
      <c r="D1705" t="s">
        <v>3474</v>
      </c>
      <c r="E1705" t="s">
        <v>30</v>
      </c>
      <c r="F1705">
        <v>8</v>
      </c>
      <c r="G1705" t="s">
        <v>18</v>
      </c>
      <c r="H1705" t="s">
        <v>14</v>
      </c>
      <c r="I1705" t="s">
        <v>31</v>
      </c>
    </row>
    <row r="1706" spans="1:9" x14ac:dyDescent="0.45">
      <c r="A1706" t="s">
        <v>3475</v>
      </c>
      <c r="B1706" s="2">
        <v>45886</v>
      </c>
      <c r="C1706" t="s">
        <v>66</v>
      </c>
      <c r="D1706" t="s">
        <v>3476</v>
      </c>
      <c r="E1706" t="s">
        <v>58</v>
      </c>
      <c r="F1706">
        <v>7</v>
      </c>
      <c r="G1706" t="s">
        <v>55</v>
      </c>
      <c r="H1706" t="s">
        <v>72</v>
      </c>
      <c r="I1706" t="s">
        <v>19</v>
      </c>
    </row>
    <row r="1707" spans="1:9" x14ac:dyDescent="0.45">
      <c r="A1707" t="s">
        <v>3477</v>
      </c>
      <c r="B1707" s="2">
        <v>45669</v>
      </c>
      <c r="C1707" t="s">
        <v>66</v>
      </c>
      <c r="D1707" t="s">
        <v>3478</v>
      </c>
      <c r="E1707" t="s">
        <v>34</v>
      </c>
      <c r="F1707">
        <v>12</v>
      </c>
      <c r="G1707" t="s">
        <v>55</v>
      </c>
      <c r="H1707" t="s">
        <v>72</v>
      </c>
      <c r="I1707" t="s">
        <v>47</v>
      </c>
    </row>
    <row r="1708" spans="1:9" x14ac:dyDescent="0.45">
      <c r="A1708" t="s">
        <v>3479</v>
      </c>
      <c r="B1708" s="2">
        <v>45669</v>
      </c>
      <c r="C1708" t="s">
        <v>16</v>
      </c>
      <c r="D1708" t="s">
        <v>3480</v>
      </c>
      <c r="E1708" t="s">
        <v>42</v>
      </c>
      <c r="F1708">
        <v>3</v>
      </c>
      <c r="G1708" t="s">
        <v>18</v>
      </c>
      <c r="H1708" t="s">
        <v>14</v>
      </c>
      <c r="I1708" t="s">
        <v>47</v>
      </c>
    </row>
    <row r="1709" spans="1:9" x14ac:dyDescent="0.45">
      <c r="A1709" t="s">
        <v>3481</v>
      </c>
      <c r="B1709" s="2">
        <v>45842</v>
      </c>
      <c r="C1709" t="s">
        <v>16</v>
      </c>
      <c r="D1709" t="s">
        <v>3482</v>
      </c>
      <c r="E1709" t="s">
        <v>7973</v>
      </c>
      <c r="F1709">
        <v>2</v>
      </c>
      <c r="G1709" t="s">
        <v>59</v>
      </c>
      <c r="H1709" t="s">
        <v>14</v>
      </c>
      <c r="I1709" t="s">
        <v>39</v>
      </c>
    </row>
    <row r="1710" spans="1:9" x14ac:dyDescent="0.45">
      <c r="A1710" t="s">
        <v>3483</v>
      </c>
      <c r="B1710" s="2">
        <v>45801</v>
      </c>
      <c r="C1710" t="s">
        <v>21</v>
      </c>
      <c r="D1710" t="s">
        <v>3484</v>
      </c>
      <c r="E1710" t="s">
        <v>23</v>
      </c>
      <c r="F1710">
        <v>7</v>
      </c>
      <c r="G1710" t="s">
        <v>55</v>
      </c>
      <c r="H1710" t="s">
        <v>72</v>
      </c>
      <c r="I1710" t="s">
        <v>60</v>
      </c>
    </row>
    <row r="1711" spans="1:9" x14ac:dyDescent="0.45">
      <c r="A1711" t="s">
        <v>3485</v>
      </c>
      <c r="B1711" s="2">
        <v>45783</v>
      </c>
      <c r="C1711" t="s">
        <v>99</v>
      </c>
      <c r="D1711" t="s">
        <v>3486</v>
      </c>
      <c r="E1711" t="s">
        <v>46</v>
      </c>
      <c r="F1711">
        <v>10</v>
      </c>
      <c r="G1711" t="s">
        <v>68</v>
      </c>
      <c r="H1711" t="s">
        <v>25</v>
      </c>
      <c r="I1711" t="s">
        <v>39</v>
      </c>
    </row>
    <row r="1712" spans="1:9" x14ac:dyDescent="0.45">
      <c r="A1712" t="s">
        <v>3487</v>
      </c>
      <c r="B1712" s="2">
        <v>45818</v>
      </c>
      <c r="C1712" t="s">
        <v>99</v>
      </c>
      <c r="D1712" t="s">
        <v>3488</v>
      </c>
      <c r="E1712" t="s">
        <v>34</v>
      </c>
      <c r="F1712">
        <v>3</v>
      </c>
      <c r="G1712" t="s">
        <v>18</v>
      </c>
      <c r="H1712" t="s">
        <v>14</v>
      </c>
      <c r="I1712" t="s">
        <v>47</v>
      </c>
    </row>
    <row r="1713" spans="1:9" x14ac:dyDescent="0.45">
      <c r="A1713" t="s">
        <v>3489</v>
      </c>
      <c r="B1713" s="2">
        <v>45726</v>
      </c>
      <c r="C1713" t="s">
        <v>66</v>
      </c>
      <c r="D1713" t="s">
        <v>3490</v>
      </c>
      <c r="E1713" t="s">
        <v>30</v>
      </c>
      <c r="F1713">
        <v>4</v>
      </c>
      <c r="G1713" t="s">
        <v>13</v>
      </c>
      <c r="H1713" t="s">
        <v>14</v>
      </c>
      <c r="I1713" t="s">
        <v>60</v>
      </c>
    </row>
    <row r="1714" spans="1:9" x14ac:dyDescent="0.45">
      <c r="A1714" t="s">
        <v>3491</v>
      </c>
      <c r="B1714" s="2">
        <v>45742</v>
      </c>
      <c r="C1714" t="s">
        <v>52</v>
      </c>
      <c r="D1714" t="s">
        <v>3492</v>
      </c>
      <c r="E1714" t="s">
        <v>7973</v>
      </c>
      <c r="F1714">
        <v>8</v>
      </c>
      <c r="G1714" t="s">
        <v>13</v>
      </c>
      <c r="H1714" t="s">
        <v>14</v>
      </c>
      <c r="I1714" t="s">
        <v>31</v>
      </c>
    </row>
    <row r="1715" spans="1:9" x14ac:dyDescent="0.45">
      <c r="A1715" t="s">
        <v>3493</v>
      </c>
      <c r="B1715" s="2">
        <v>45877</v>
      </c>
      <c r="C1715" t="s">
        <v>49</v>
      </c>
      <c r="D1715" t="s">
        <v>3494</v>
      </c>
      <c r="E1715" t="s">
        <v>34</v>
      </c>
      <c r="F1715">
        <v>6</v>
      </c>
      <c r="G1715" t="s">
        <v>43</v>
      </c>
      <c r="H1715" t="s">
        <v>14</v>
      </c>
      <c r="I1715" t="s">
        <v>47</v>
      </c>
    </row>
    <row r="1716" spans="1:9" x14ac:dyDescent="0.45">
      <c r="A1716" t="s">
        <v>3495</v>
      </c>
      <c r="B1716" s="2">
        <v>45795</v>
      </c>
      <c r="C1716" t="s">
        <v>52</v>
      </c>
      <c r="D1716" t="s">
        <v>3496</v>
      </c>
      <c r="E1716" t="s">
        <v>42</v>
      </c>
      <c r="F1716">
        <v>10</v>
      </c>
      <c r="G1716" t="s">
        <v>43</v>
      </c>
      <c r="H1716" t="s">
        <v>14</v>
      </c>
      <c r="I1716" t="s">
        <v>19</v>
      </c>
    </row>
    <row r="1717" spans="1:9" x14ac:dyDescent="0.45">
      <c r="A1717" t="s">
        <v>3497</v>
      </c>
      <c r="B1717" s="2">
        <v>45886</v>
      </c>
      <c r="C1717" t="s">
        <v>49</v>
      </c>
      <c r="D1717" t="s">
        <v>3498</v>
      </c>
      <c r="E1717" t="s">
        <v>42</v>
      </c>
      <c r="F1717">
        <v>11</v>
      </c>
      <c r="G1717" t="s">
        <v>55</v>
      </c>
      <c r="H1717" t="s">
        <v>72</v>
      </c>
      <c r="I1717" t="s">
        <v>47</v>
      </c>
    </row>
    <row r="1718" spans="1:9" x14ac:dyDescent="0.45">
      <c r="A1718" t="s">
        <v>3499</v>
      </c>
      <c r="B1718" s="2">
        <v>45901</v>
      </c>
      <c r="C1718" t="s">
        <v>28</v>
      </c>
      <c r="D1718" t="s">
        <v>3500</v>
      </c>
      <c r="E1718" t="s">
        <v>42</v>
      </c>
      <c r="F1718">
        <v>6</v>
      </c>
      <c r="G1718" t="s">
        <v>13</v>
      </c>
      <c r="H1718" t="s">
        <v>14</v>
      </c>
      <c r="I1718" t="s">
        <v>39</v>
      </c>
    </row>
    <row r="1719" spans="1:9" x14ac:dyDescent="0.45">
      <c r="A1719" t="s">
        <v>3501</v>
      </c>
      <c r="B1719" s="2">
        <v>45803</v>
      </c>
      <c r="C1719" t="s">
        <v>16</v>
      </c>
      <c r="D1719" t="s">
        <v>3502</v>
      </c>
      <c r="E1719" t="s">
        <v>34</v>
      </c>
      <c r="F1719">
        <v>8</v>
      </c>
      <c r="G1719" t="s">
        <v>35</v>
      </c>
      <c r="H1719" t="s">
        <v>25</v>
      </c>
      <c r="I1719" t="s">
        <v>60</v>
      </c>
    </row>
    <row r="1720" spans="1:9" x14ac:dyDescent="0.45">
      <c r="A1720" t="s">
        <v>3503</v>
      </c>
      <c r="B1720" s="2">
        <v>45816</v>
      </c>
      <c r="C1720" t="s">
        <v>66</v>
      </c>
      <c r="D1720" t="s">
        <v>3504</v>
      </c>
      <c r="E1720" t="s">
        <v>54</v>
      </c>
      <c r="F1720">
        <v>7</v>
      </c>
      <c r="G1720" t="s">
        <v>18</v>
      </c>
      <c r="H1720" t="s">
        <v>14</v>
      </c>
      <c r="I1720" t="s">
        <v>60</v>
      </c>
    </row>
    <row r="1721" spans="1:9" x14ac:dyDescent="0.45">
      <c r="A1721" t="s">
        <v>3505</v>
      </c>
      <c r="B1721" s="2">
        <v>45781</v>
      </c>
      <c r="C1721" t="s">
        <v>21</v>
      </c>
      <c r="D1721" t="s">
        <v>3506</v>
      </c>
      <c r="E1721" t="s">
        <v>7974</v>
      </c>
      <c r="F1721">
        <v>9</v>
      </c>
      <c r="G1721" t="s">
        <v>59</v>
      </c>
      <c r="H1721" t="s">
        <v>14</v>
      </c>
      <c r="I1721" t="s">
        <v>47</v>
      </c>
    </row>
    <row r="1722" spans="1:9" x14ac:dyDescent="0.45">
      <c r="A1722" t="s">
        <v>3507</v>
      </c>
      <c r="B1722" s="2">
        <v>45897</v>
      </c>
      <c r="C1722" t="s">
        <v>28</v>
      </c>
      <c r="D1722" t="s">
        <v>3508</v>
      </c>
      <c r="E1722" t="s">
        <v>30</v>
      </c>
      <c r="F1722">
        <v>10</v>
      </c>
      <c r="G1722" t="s">
        <v>59</v>
      </c>
      <c r="H1722" t="s">
        <v>14</v>
      </c>
      <c r="I1722" t="s">
        <v>47</v>
      </c>
    </row>
    <row r="1723" spans="1:9" x14ac:dyDescent="0.45">
      <c r="A1723" t="s">
        <v>3509</v>
      </c>
      <c r="B1723" s="2">
        <v>45892</v>
      </c>
      <c r="C1723" t="s">
        <v>66</v>
      </c>
      <c r="D1723" t="s">
        <v>3510</v>
      </c>
      <c r="E1723" t="s">
        <v>30</v>
      </c>
      <c r="F1723">
        <v>9</v>
      </c>
      <c r="G1723" t="s">
        <v>59</v>
      </c>
      <c r="H1723" t="s">
        <v>14</v>
      </c>
      <c r="I1723" t="s">
        <v>31</v>
      </c>
    </row>
    <row r="1724" spans="1:9" x14ac:dyDescent="0.45">
      <c r="A1724" t="s">
        <v>3511</v>
      </c>
      <c r="B1724" s="2">
        <v>45681</v>
      </c>
      <c r="C1724" t="s">
        <v>21</v>
      </c>
      <c r="D1724" t="s">
        <v>3512</v>
      </c>
      <c r="E1724" t="s">
        <v>46</v>
      </c>
      <c r="F1724">
        <v>3</v>
      </c>
      <c r="G1724" t="s">
        <v>43</v>
      </c>
      <c r="H1724" t="s">
        <v>14</v>
      </c>
      <c r="I1724" t="s">
        <v>60</v>
      </c>
    </row>
    <row r="1725" spans="1:9" x14ac:dyDescent="0.45">
      <c r="A1725" t="s">
        <v>3513</v>
      </c>
      <c r="B1725" s="2">
        <v>45732</v>
      </c>
      <c r="C1725" t="s">
        <v>21</v>
      </c>
      <c r="D1725" t="s">
        <v>3514</v>
      </c>
      <c r="E1725" t="s">
        <v>38</v>
      </c>
      <c r="F1725">
        <v>4</v>
      </c>
      <c r="G1725" t="s">
        <v>35</v>
      </c>
      <c r="H1725" t="s">
        <v>25</v>
      </c>
      <c r="I1725" t="s">
        <v>26</v>
      </c>
    </row>
    <row r="1726" spans="1:9" x14ac:dyDescent="0.45">
      <c r="A1726" t="s">
        <v>3515</v>
      </c>
      <c r="B1726" s="2">
        <v>45862</v>
      </c>
      <c r="C1726" t="s">
        <v>16</v>
      </c>
      <c r="D1726" t="s">
        <v>3516</v>
      </c>
      <c r="E1726" t="s">
        <v>71</v>
      </c>
      <c r="F1726">
        <v>1</v>
      </c>
      <c r="G1726" t="s">
        <v>35</v>
      </c>
      <c r="H1726" t="s">
        <v>25</v>
      </c>
      <c r="I1726" t="s">
        <v>47</v>
      </c>
    </row>
    <row r="1727" spans="1:9" x14ac:dyDescent="0.45">
      <c r="A1727" t="s">
        <v>3517</v>
      </c>
      <c r="B1727" s="2">
        <v>45802</v>
      </c>
      <c r="C1727" t="s">
        <v>21</v>
      </c>
      <c r="D1727" t="s">
        <v>3518</v>
      </c>
      <c r="E1727" t="s">
        <v>58</v>
      </c>
      <c r="F1727">
        <v>3</v>
      </c>
      <c r="G1727" t="s">
        <v>55</v>
      </c>
      <c r="H1727" t="s">
        <v>72</v>
      </c>
      <c r="I1727" t="s">
        <v>60</v>
      </c>
    </row>
    <row r="1728" spans="1:9" x14ac:dyDescent="0.45">
      <c r="A1728" t="s">
        <v>3519</v>
      </c>
      <c r="B1728" s="2">
        <v>45863</v>
      </c>
      <c r="C1728" t="s">
        <v>16</v>
      </c>
      <c r="D1728" t="s">
        <v>3520</v>
      </c>
      <c r="E1728" t="s">
        <v>54</v>
      </c>
      <c r="F1728">
        <v>8</v>
      </c>
      <c r="G1728" t="s">
        <v>55</v>
      </c>
      <c r="H1728" t="s">
        <v>72</v>
      </c>
      <c r="I1728" t="s">
        <v>26</v>
      </c>
    </row>
    <row r="1729" spans="1:9" x14ac:dyDescent="0.45">
      <c r="A1729" t="s">
        <v>3521</v>
      </c>
      <c r="B1729" s="2">
        <v>45839</v>
      </c>
      <c r="C1729" t="s">
        <v>21</v>
      </c>
      <c r="D1729" t="s">
        <v>3522</v>
      </c>
      <c r="E1729" t="s">
        <v>7974</v>
      </c>
      <c r="F1729">
        <v>2</v>
      </c>
      <c r="G1729" t="s">
        <v>35</v>
      </c>
      <c r="H1729" t="s">
        <v>25</v>
      </c>
      <c r="I1729" t="s">
        <v>47</v>
      </c>
    </row>
    <row r="1730" spans="1:9" x14ac:dyDescent="0.45">
      <c r="A1730" t="s">
        <v>3523</v>
      </c>
      <c r="B1730" s="2">
        <v>45670</v>
      </c>
      <c r="C1730" t="s">
        <v>10</v>
      </c>
      <c r="D1730" t="s">
        <v>3524</v>
      </c>
      <c r="E1730" t="s">
        <v>54</v>
      </c>
      <c r="F1730">
        <v>5</v>
      </c>
      <c r="G1730" t="s">
        <v>59</v>
      </c>
      <c r="H1730" t="s">
        <v>14</v>
      </c>
      <c r="I1730" t="s">
        <v>19</v>
      </c>
    </row>
    <row r="1731" spans="1:9" x14ac:dyDescent="0.45">
      <c r="A1731" t="s">
        <v>3525</v>
      </c>
      <c r="B1731" s="2">
        <v>45857</v>
      </c>
      <c r="C1731" t="s">
        <v>10</v>
      </c>
      <c r="D1731" t="s">
        <v>3526</v>
      </c>
      <c r="E1731" t="s">
        <v>7973</v>
      </c>
      <c r="F1731">
        <v>6</v>
      </c>
      <c r="G1731" t="s">
        <v>59</v>
      </c>
      <c r="H1731" t="s">
        <v>14</v>
      </c>
      <c r="I1731" t="s">
        <v>19</v>
      </c>
    </row>
    <row r="1732" spans="1:9" x14ac:dyDescent="0.45">
      <c r="A1732" t="s">
        <v>3527</v>
      </c>
      <c r="B1732" s="2">
        <v>45897</v>
      </c>
      <c r="C1732" t="s">
        <v>66</v>
      </c>
      <c r="D1732" t="s">
        <v>3528</v>
      </c>
      <c r="E1732" t="s">
        <v>7974</v>
      </c>
      <c r="F1732">
        <v>1</v>
      </c>
      <c r="G1732" t="s">
        <v>24</v>
      </c>
      <c r="H1732" t="s">
        <v>25</v>
      </c>
      <c r="I1732" t="s">
        <v>60</v>
      </c>
    </row>
    <row r="1733" spans="1:9" x14ac:dyDescent="0.45">
      <c r="A1733" t="s">
        <v>3529</v>
      </c>
      <c r="B1733" s="2">
        <v>45867</v>
      </c>
      <c r="C1733" t="s">
        <v>52</v>
      </c>
      <c r="D1733" t="s">
        <v>3530</v>
      </c>
      <c r="E1733" t="s">
        <v>7974</v>
      </c>
      <c r="F1733">
        <v>10</v>
      </c>
      <c r="G1733" t="s">
        <v>24</v>
      </c>
      <c r="H1733" t="s">
        <v>25</v>
      </c>
      <c r="I1733" t="s">
        <v>47</v>
      </c>
    </row>
    <row r="1734" spans="1:9" x14ac:dyDescent="0.45">
      <c r="A1734" t="s">
        <v>3531</v>
      </c>
      <c r="B1734" s="2">
        <v>45760</v>
      </c>
      <c r="C1734" t="s">
        <v>28</v>
      </c>
      <c r="D1734" t="s">
        <v>3532</v>
      </c>
      <c r="E1734" t="s">
        <v>46</v>
      </c>
      <c r="F1734">
        <v>1</v>
      </c>
      <c r="G1734" t="s">
        <v>59</v>
      </c>
      <c r="H1734" t="s">
        <v>14</v>
      </c>
      <c r="I1734" t="s">
        <v>19</v>
      </c>
    </row>
    <row r="1735" spans="1:9" x14ac:dyDescent="0.45">
      <c r="A1735" t="s">
        <v>3533</v>
      </c>
      <c r="B1735" s="2">
        <v>45732</v>
      </c>
      <c r="C1735" t="s">
        <v>10</v>
      </c>
      <c r="D1735" t="s">
        <v>3534</v>
      </c>
      <c r="E1735" t="s">
        <v>7973</v>
      </c>
      <c r="F1735">
        <v>7</v>
      </c>
      <c r="G1735" t="s">
        <v>68</v>
      </c>
      <c r="H1735" t="s">
        <v>25</v>
      </c>
      <c r="I1735" t="s">
        <v>26</v>
      </c>
    </row>
    <row r="1736" spans="1:9" x14ac:dyDescent="0.45">
      <c r="A1736" t="s">
        <v>3535</v>
      </c>
      <c r="B1736" s="2">
        <v>45749</v>
      </c>
      <c r="C1736" t="s">
        <v>49</v>
      </c>
      <c r="D1736" t="s">
        <v>3536</v>
      </c>
      <c r="E1736" t="s">
        <v>42</v>
      </c>
      <c r="F1736">
        <v>3</v>
      </c>
      <c r="G1736" t="s">
        <v>68</v>
      </c>
      <c r="H1736" t="s">
        <v>25</v>
      </c>
      <c r="I1736" t="s">
        <v>19</v>
      </c>
    </row>
    <row r="1737" spans="1:9" x14ac:dyDescent="0.45">
      <c r="A1737" t="s">
        <v>3537</v>
      </c>
      <c r="B1737" s="2">
        <v>45815</v>
      </c>
      <c r="C1737" t="s">
        <v>28</v>
      </c>
      <c r="D1737" t="s">
        <v>3538</v>
      </c>
      <c r="E1737" t="s">
        <v>7974</v>
      </c>
      <c r="F1737">
        <v>12</v>
      </c>
      <c r="G1737" t="s">
        <v>13</v>
      </c>
      <c r="H1737" t="s">
        <v>14</v>
      </c>
      <c r="I1737" t="s">
        <v>31</v>
      </c>
    </row>
    <row r="1738" spans="1:9" x14ac:dyDescent="0.45">
      <c r="A1738" t="s">
        <v>3539</v>
      </c>
      <c r="B1738" s="2">
        <v>45686</v>
      </c>
      <c r="C1738" t="s">
        <v>10</v>
      </c>
      <c r="D1738" t="s">
        <v>3540</v>
      </c>
      <c r="E1738" t="s">
        <v>34</v>
      </c>
      <c r="F1738">
        <v>5</v>
      </c>
      <c r="G1738" t="s">
        <v>43</v>
      </c>
      <c r="H1738" t="s">
        <v>14</v>
      </c>
      <c r="I1738" t="s">
        <v>19</v>
      </c>
    </row>
    <row r="1739" spans="1:9" x14ac:dyDescent="0.45">
      <c r="A1739" t="s">
        <v>3541</v>
      </c>
      <c r="B1739" s="2">
        <v>45663</v>
      </c>
      <c r="C1739" t="s">
        <v>21</v>
      </c>
      <c r="D1739" t="s">
        <v>3542</v>
      </c>
      <c r="E1739" t="s">
        <v>23</v>
      </c>
      <c r="F1739">
        <v>9</v>
      </c>
      <c r="G1739" t="s">
        <v>24</v>
      </c>
      <c r="H1739" t="s">
        <v>25</v>
      </c>
      <c r="I1739" t="s">
        <v>31</v>
      </c>
    </row>
    <row r="1740" spans="1:9" x14ac:dyDescent="0.45">
      <c r="A1740" t="s">
        <v>3543</v>
      </c>
      <c r="B1740" s="2">
        <v>45692</v>
      </c>
      <c r="C1740" t="s">
        <v>99</v>
      </c>
      <c r="D1740" t="s">
        <v>3544</v>
      </c>
      <c r="E1740" t="s">
        <v>75</v>
      </c>
      <c r="F1740">
        <v>11</v>
      </c>
      <c r="G1740" t="s">
        <v>24</v>
      </c>
      <c r="H1740" t="s">
        <v>25</v>
      </c>
      <c r="I1740" t="s">
        <v>47</v>
      </c>
    </row>
    <row r="1741" spans="1:9" x14ac:dyDescent="0.45">
      <c r="A1741" t="s">
        <v>3545</v>
      </c>
      <c r="B1741" s="2">
        <v>45732</v>
      </c>
      <c r="C1741" t="s">
        <v>66</v>
      </c>
      <c r="D1741" t="s">
        <v>3546</v>
      </c>
      <c r="E1741" t="s">
        <v>42</v>
      </c>
      <c r="F1741">
        <v>3</v>
      </c>
      <c r="G1741" t="s">
        <v>35</v>
      </c>
      <c r="H1741" t="s">
        <v>25</v>
      </c>
      <c r="I1741" t="s">
        <v>47</v>
      </c>
    </row>
    <row r="1742" spans="1:9" x14ac:dyDescent="0.45">
      <c r="A1742" t="s">
        <v>3547</v>
      </c>
      <c r="B1742" s="2">
        <v>45823</v>
      </c>
      <c r="C1742" t="s">
        <v>52</v>
      </c>
      <c r="D1742" t="s">
        <v>3548</v>
      </c>
      <c r="E1742" t="s">
        <v>30</v>
      </c>
      <c r="F1742">
        <v>4</v>
      </c>
      <c r="G1742" t="s">
        <v>13</v>
      </c>
      <c r="H1742" t="s">
        <v>14</v>
      </c>
      <c r="I1742" t="s">
        <v>47</v>
      </c>
    </row>
    <row r="1743" spans="1:9" x14ac:dyDescent="0.45">
      <c r="A1743" t="s">
        <v>3549</v>
      </c>
      <c r="B1743" s="2">
        <v>45700</v>
      </c>
      <c r="C1743" t="s">
        <v>49</v>
      </c>
      <c r="D1743" t="s">
        <v>3550</v>
      </c>
      <c r="E1743" t="s">
        <v>23</v>
      </c>
      <c r="F1743">
        <v>6</v>
      </c>
      <c r="G1743" t="s">
        <v>13</v>
      </c>
      <c r="H1743" t="s">
        <v>14</v>
      </c>
      <c r="I1743" t="s">
        <v>47</v>
      </c>
    </row>
    <row r="1744" spans="1:9" x14ac:dyDescent="0.45">
      <c r="A1744" t="s">
        <v>3551</v>
      </c>
      <c r="B1744" s="2">
        <v>45900</v>
      </c>
      <c r="C1744" t="s">
        <v>10</v>
      </c>
      <c r="D1744" t="s">
        <v>3552</v>
      </c>
      <c r="E1744" t="s">
        <v>46</v>
      </c>
      <c r="F1744">
        <v>10</v>
      </c>
      <c r="G1744" t="s">
        <v>43</v>
      </c>
      <c r="H1744" t="s">
        <v>14</v>
      </c>
      <c r="I1744" t="s">
        <v>31</v>
      </c>
    </row>
    <row r="1745" spans="1:9" x14ac:dyDescent="0.45">
      <c r="A1745" t="s">
        <v>3553</v>
      </c>
      <c r="B1745" s="2">
        <v>45867</v>
      </c>
      <c r="C1745" t="s">
        <v>52</v>
      </c>
      <c r="D1745" t="s">
        <v>3554</v>
      </c>
      <c r="E1745" t="s">
        <v>34</v>
      </c>
      <c r="F1745">
        <v>12</v>
      </c>
      <c r="G1745" t="s">
        <v>18</v>
      </c>
      <c r="H1745" t="s">
        <v>14</v>
      </c>
      <c r="I1745" t="s">
        <v>31</v>
      </c>
    </row>
    <row r="1746" spans="1:9" x14ac:dyDescent="0.45">
      <c r="A1746" t="s">
        <v>3555</v>
      </c>
      <c r="B1746" s="2">
        <v>45772</v>
      </c>
      <c r="C1746" t="s">
        <v>99</v>
      </c>
      <c r="D1746" t="s">
        <v>3556</v>
      </c>
      <c r="E1746" t="s">
        <v>54</v>
      </c>
      <c r="F1746">
        <v>9</v>
      </c>
      <c r="G1746" t="s">
        <v>43</v>
      </c>
      <c r="H1746" t="s">
        <v>14</v>
      </c>
      <c r="I1746" t="s">
        <v>39</v>
      </c>
    </row>
    <row r="1747" spans="1:9" x14ac:dyDescent="0.45">
      <c r="A1747" t="s">
        <v>3557</v>
      </c>
      <c r="B1747" s="2">
        <v>45728</v>
      </c>
      <c r="C1747" t="s">
        <v>28</v>
      </c>
      <c r="D1747" t="s">
        <v>3558</v>
      </c>
      <c r="E1747" t="s">
        <v>42</v>
      </c>
      <c r="F1747">
        <v>11</v>
      </c>
      <c r="G1747" t="s">
        <v>35</v>
      </c>
      <c r="H1747" t="s">
        <v>25</v>
      </c>
      <c r="I1747" t="s">
        <v>19</v>
      </c>
    </row>
    <row r="1748" spans="1:9" x14ac:dyDescent="0.45">
      <c r="A1748" t="s">
        <v>3559</v>
      </c>
      <c r="B1748" s="2">
        <v>45817</v>
      </c>
      <c r="C1748" t="s">
        <v>52</v>
      </c>
      <c r="D1748" t="s">
        <v>3560</v>
      </c>
      <c r="E1748" t="s">
        <v>7973</v>
      </c>
      <c r="F1748">
        <v>8</v>
      </c>
      <c r="G1748" t="s">
        <v>68</v>
      </c>
      <c r="H1748" t="s">
        <v>25</v>
      </c>
      <c r="I1748" t="s">
        <v>31</v>
      </c>
    </row>
    <row r="1749" spans="1:9" x14ac:dyDescent="0.45">
      <c r="A1749" t="s">
        <v>3561</v>
      </c>
      <c r="B1749" s="2">
        <v>45889</v>
      </c>
      <c r="C1749" t="s">
        <v>49</v>
      </c>
      <c r="D1749" t="s">
        <v>3562</v>
      </c>
      <c r="E1749" t="s">
        <v>54</v>
      </c>
      <c r="F1749">
        <v>12</v>
      </c>
      <c r="G1749" t="s">
        <v>35</v>
      </c>
      <c r="H1749" t="s">
        <v>25</v>
      </c>
      <c r="I1749" t="s">
        <v>19</v>
      </c>
    </row>
    <row r="1750" spans="1:9" x14ac:dyDescent="0.45">
      <c r="A1750" t="s">
        <v>3563</v>
      </c>
      <c r="B1750" s="2">
        <v>45904</v>
      </c>
      <c r="C1750" t="s">
        <v>49</v>
      </c>
      <c r="D1750" t="s">
        <v>3564</v>
      </c>
      <c r="E1750" t="s">
        <v>71</v>
      </c>
      <c r="F1750">
        <v>12</v>
      </c>
      <c r="G1750" t="s">
        <v>18</v>
      </c>
      <c r="H1750" t="s">
        <v>14</v>
      </c>
      <c r="I1750" t="s">
        <v>26</v>
      </c>
    </row>
    <row r="1751" spans="1:9" x14ac:dyDescent="0.45">
      <c r="A1751" t="s">
        <v>3565</v>
      </c>
      <c r="B1751" s="2">
        <v>45862</v>
      </c>
      <c r="C1751" t="s">
        <v>49</v>
      </c>
      <c r="D1751" t="s">
        <v>3566</v>
      </c>
      <c r="E1751" t="s">
        <v>71</v>
      </c>
      <c r="F1751">
        <v>7</v>
      </c>
      <c r="G1751" t="s">
        <v>68</v>
      </c>
      <c r="H1751" t="s">
        <v>25</v>
      </c>
      <c r="I1751" t="s">
        <v>26</v>
      </c>
    </row>
    <row r="1752" spans="1:9" x14ac:dyDescent="0.45">
      <c r="A1752" t="s">
        <v>3567</v>
      </c>
      <c r="B1752" s="2">
        <v>45747</v>
      </c>
      <c r="C1752" t="s">
        <v>52</v>
      </c>
      <c r="D1752" t="s">
        <v>3568</v>
      </c>
      <c r="E1752" t="s">
        <v>75</v>
      </c>
      <c r="F1752">
        <v>11</v>
      </c>
      <c r="G1752" t="s">
        <v>24</v>
      </c>
      <c r="H1752" t="s">
        <v>25</v>
      </c>
      <c r="I1752" t="s">
        <v>26</v>
      </c>
    </row>
    <row r="1753" spans="1:9" x14ac:dyDescent="0.45">
      <c r="A1753" t="s">
        <v>3569</v>
      </c>
      <c r="B1753" s="2">
        <v>45658</v>
      </c>
      <c r="C1753" t="s">
        <v>66</v>
      </c>
      <c r="D1753" t="s">
        <v>3570</v>
      </c>
      <c r="E1753" t="s">
        <v>7967</v>
      </c>
      <c r="F1753">
        <v>8</v>
      </c>
      <c r="G1753" t="s">
        <v>13</v>
      </c>
      <c r="H1753" t="s">
        <v>14</v>
      </c>
      <c r="I1753" t="s">
        <v>19</v>
      </c>
    </row>
    <row r="1754" spans="1:9" x14ac:dyDescent="0.45">
      <c r="A1754" t="s">
        <v>3571</v>
      </c>
      <c r="B1754" s="2">
        <v>45848</v>
      </c>
      <c r="C1754" t="s">
        <v>16</v>
      </c>
      <c r="D1754" t="s">
        <v>3572</v>
      </c>
      <c r="E1754" t="s">
        <v>7974</v>
      </c>
      <c r="F1754">
        <v>1</v>
      </c>
      <c r="G1754" t="s">
        <v>18</v>
      </c>
      <c r="H1754" t="s">
        <v>14</v>
      </c>
      <c r="I1754" t="s">
        <v>39</v>
      </c>
    </row>
    <row r="1755" spans="1:9" x14ac:dyDescent="0.45">
      <c r="A1755" t="s">
        <v>3573</v>
      </c>
      <c r="B1755" s="2">
        <v>45870</v>
      </c>
      <c r="C1755" t="s">
        <v>16</v>
      </c>
      <c r="D1755" t="s">
        <v>3574</v>
      </c>
      <c r="E1755" t="s">
        <v>42</v>
      </c>
      <c r="F1755">
        <v>8</v>
      </c>
      <c r="G1755" t="s">
        <v>24</v>
      </c>
      <c r="H1755" t="s">
        <v>25</v>
      </c>
      <c r="I1755" t="s">
        <v>31</v>
      </c>
    </row>
    <row r="1756" spans="1:9" x14ac:dyDescent="0.45">
      <c r="A1756" t="s">
        <v>3575</v>
      </c>
      <c r="B1756" s="2">
        <v>45825</v>
      </c>
      <c r="C1756" t="s">
        <v>66</v>
      </c>
      <c r="D1756" t="s">
        <v>3576</v>
      </c>
      <c r="E1756" t="s">
        <v>58</v>
      </c>
      <c r="F1756">
        <v>7</v>
      </c>
      <c r="G1756" t="s">
        <v>59</v>
      </c>
      <c r="H1756" t="s">
        <v>14</v>
      </c>
      <c r="I1756" t="s">
        <v>26</v>
      </c>
    </row>
    <row r="1757" spans="1:9" x14ac:dyDescent="0.45">
      <c r="A1757" t="s">
        <v>3577</v>
      </c>
      <c r="B1757" s="2">
        <v>45874</v>
      </c>
      <c r="C1757" t="s">
        <v>52</v>
      </c>
      <c r="D1757" t="s">
        <v>3578</v>
      </c>
      <c r="E1757" t="s">
        <v>38</v>
      </c>
      <c r="F1757">
        <v>6</v>
      </c>
      <c r="G1757" t="s">
        <v>13</v>
      </c>
      <c r="H1757" t="s">
        <v>14</v>
      </c>
      <c r="I1757" t="s">
        <v>39</v>
      </c>
    </row>
    <row r="1758" spans="1:9" x14ac:dyDescent="0.45">
      <c r="A1758" t="s">
        <v>3579</v>
      </c>
      <c r="B1758" s="2">
        <v>45811</v>
      </c>
      <c r="C1758" t="s">
        <v>28</v>
      </c>
      <c r="D1758" t="s">
        <v>3580</v>
      </c>
      <c r="E1758" t="s">
        <v>7967</v>
      </c>
      <c r="F1758">
        <v>7</v>
      </c>
      <c r="G1758" t="s">
        <v>68</v>
      </c>
      <c r="H1758" t="s">
        <v>25</v>
      </c>
      <c r="I1758" t="s">
        <v>26</v>
      </c>
    </row>
    <row r="1759" spans="1:9" x14ac:dyDescent="0.45">
      <c r="A1759" t="s">
        <v>3581</v>
      </c>
      <c r="B1759" s="2">
        <v>45887</v>
      </c>
      <c r="C1759" t="s">
        <v>66</v>
      </c>
      <c r="D1759" t="s">
        <v>3582</v>
      </c>
      <c r="E1759" t="s">
        <v>58</v>
      </c>
      <c r="F1759">
        <v>5</v>
      </c>
      <c r="G1759" t="s">
        <v>68</v>
      </c>
      <c r="H1759" t="s">
        <v>25</v>
      </c>
      <c r="I1759" t="s">
        <v>26</v>
      </c>
    </row>
    <row r="1760" spans="1:9" x14ac:dyDescent="0.45">
      <c r="A1760" t="s">
        <v>3583</v>
      </c>
      <c r="B1760" s="2">
        <v>45846</v>
      </c>
      <c r="C1760" t="s">
        <v>28</v>
      </c>
      <c r="D1760" t="s">
        <v>3584</v>
      </c>
      <c r="E1760" t="s">
        <v>42</v>
      </c>
      <c r="F1760">
        <v>10</v>
      </c>
      <c r="G1760" t="s">
        <v>18</v>
      </c>
      <c r="H1760" t="s">
        <v>14</v>
      </c>
      <c r="I1760" t="s">
        <v>26</v>
      </c>
    </row>
    <row r="1761" spans="1:9" x14ac:dyDescent="0.45">
      <c r="A1761" t="s">
        <v>3585</v>
      </c>
      <c r="B1761" s="2">
        <v>45670</v>
      </c>
      <c r="C1761" t="s">
        <v>10</v>
      </c>
      <c r="D1761" t="s">
        <v>3586</v>
      </c>
      <c r="E1761" t="s">
        <v>54</v>
      </c>
      <c r="F1761">
        <v>10</v>
      </c>
      <c r="G1761" t="s">
        <v>13</v>
      </c>
      <c r="H1761" t="s">
        <v>14</v>
      </c>
      <c r="I1761" t="s">
        <v>60</v>
      </c>
    </row>
    <row r="1762" spans="1:9" x14ac:dyDescent="0.45">
      <c r="A1762" t="s">
        <v>3587</v>
      </c>
      <c r="B1762" s="2">
        <v>45789</v>
      </c>
      <c r="C1762" t="s">
        <v>52</v>
      </c>
      <c r="D1762" t="s">
        <v>3588</v>
      </c>
      <c r="E1762" t="s">
        <v>7973</v>
      </c>
      <c r="F1762">
        <v>11</v>
      </c>
      <c r="G1762" t="s">
        <v>18</v>
      </c>
      <c r="H1762" t="s">
        <v>14</v>
      </c>
      <c r="I1762" t="s">
        <v>60</v>
      </c>
    </row>
    <row r="1763" spans="1:9" x14ac:dyDescent="0.45">
      <c r="A1763" t="s">
        <v>3589</v>
      </c>
      <c r="B1763" s="2">
        <v>45728</v>
      </c>
      <c r="C1763" t="s">
        <v>52</v>
      </c>
      <c r="D1763" t="s">
        <v>3590</v>
      </c>
      <c r="E1763" t="s">
        <v>54</v>
      </c>
      <c r="F1763">
        <v>5</v>
      </c>
      <c r="G1763" t="s">
        <v>13</v>
      </c>
      <c r="H1763" t="s">
        <v>14</v>
      </c>
      <c r="I1763" t="s">
        <v>39</v>
      </c>
    </row>
    <row r="1764" spans="1:9" x14ac:dyDescent="0.45">
      <c r="A1764" t="s">
        <v>3591</v>
      </c>
      <c r="B1764" s="2">
        <v>45887</v>
      </c>
      <c r="C1764" t="s">
        <v>10</v>
      </c>
      <c r="D1764" t="s">
        <v>3592</v>
      </c>
      <c r="E1764" t="s">
        <v>54</v>
      </c>
      <c r="F1764">
        <v>4</v>
      </c>
      <c r="G1764" t="s">
        <v>68</v>
      </c>
      <c r="H1764" t="s">
        <v>25</v>
      </c>
      <c r="I1764" t="s">
        <v>26</v>
      </c>
    </row>
    <row r="1765" spans="1:9" x14ac:dyDescent="0.45">
      <c r="A1765" t="s">
        <v>3593</v>
      </c>
      <c r="B1765" s="2">
        <v>45659</v>
      </c>
      <c r="C1765" t="s">
        <v>28</v>
      </c>
      <c r="D1765" t="s">
        <v>3594</v>
      </c>
      <c r="E1765" t="s">
        <v>23</v>
      </c>
      <c r="F1765">
        <v>1</v>
      </c>
      <c r="G1765" t="s">
        <v>43</v>
      </c>
      <c r="H1765" t="s">
        <v>14</v>
      </c>
      <c r="I1765" t="s">
        <v>26</v>
      </c>
    </row>
    <row r="1766" spans="1:9" x14ac:dyDescent="0.45">
      <c r="A1766" t="s">
        <v>3595</v>
      </c>
      <c r="B1766" s="2">
        <v>45791</v>
      </c>
      <c r="C1766" t="s">
        <v>28</v>
      </c>
      <c r="D1766" t="s">
        <v>3596</v>
      </c>
      <c r="E1766" t="s">
        <v>71</v>
      </c>
      <c r="F1766">
        <v>5</v>
      </c>
      <c r="G1766" t="s">
        <v>59</v>
      </c>
      <c r="H1766" t="s">
        <v>14</v>
      </c>
      <c r="I1766" t="s">
        <v>39</v>
      </c>
    </row>
    <row r="1767" spans="1:9" x14ac:dyDescent="0.45">
      <c r="A1767" t="s">
        <v>3597</v>
      </c>
      <c r="B1767" s="2">
        <v>45753</v>
      </c>
      <c r="C1767" t="s">
        <v>16</v>
      </c>
      <c r="D1767" t="s">
        <v>3598</v>
      </c>
      <c r="E1767" t="s">
        <v>30</v>
      </c>
      <c r="F1767">
        <v>5</v>
      </c>
      <c r="G1767" t="s">
        <v>35</v>
      </c>
      <c r="H1767" t="s">
        <v>25</v>
      </c>
      <c r="I1767" t="s">
        <v>19</v>
      </c>
    </row>
    <row r="1768" spans="1:9" x14ac:dyDescent="0.45">
      <c r="A1768" t="s">
        <v>3599</v>
      </c>
      <c r="B1768" s="2">
        <v>45706</v>
      </c>
      <c r="C1768" t="s">
        <v>28</v>
      </c>
      <c r="D1768" t="s">
        <v>3600</v>
      </c>
      <c r="E1768" t="s">
        <v>46</v>
      </c>
      <c r="F1768">
        <v>4</v>
      </c>
      <c r="G1768" t="s">
        <v>35</v>
      </c>
      <c r="H1768" t="s">
        <v>25</v>
      </c>
      <c r="I1768" t="s">
        <v>19</v>
      </c>
    </row>
    <row r="1769" spans="1:9" x14ac:dyDescent="0.45">
      <c r="A1769" t="s">
        <v>3601</v>
      </c>
      <c r="B1769" s="2">
        <v>45803</v>
      </c>
      <c r="C1769" t="s">
        <v>16</v>
      </c>
      <c r="D1769" t="s">
        <v>3602</v>
      </c>
      <c r="E1769" t="s">
        <v>7974</v>
      </c>
      <c r="F1769">
        <v>4</v>
      </c>
      <c r="G1769" t="s">
        <v>13</v>
      </c>
      <c r="H1769" t="s">
        <v>14</v>
      </c>
      <c r="I1769" t="s">
        <v>47</v>
      </c>
    </row>
    <row r="1770" spans="1:9" x14ac:dyDescent="0.45">
      <c r="A1770" t="s">
        <v>3603</v>
      </c>
      <c r="B1770" s="2">
        <v>45861</v>
      </c>
      <c r="C1770" t="s">
        <v>49</v>
      </c>
      <c r="D1770" t="s">
        <v>3604</v>
      </c>
      <c r="E1770" t="s">
        <v>30</v>
      </c>
      <c r="F1770">
        <v>2</v>
      </c>
      <c r="G1770" t="s">
        <v>43</v>
      </c>
      <c r="H1770" t="s">
        <v>14</v>
      </c>
      <c r="I1770" t="s">
        <v>60</v>
      </c>
    </row>
    <row r="1771" spans="1:9" x14ac:dyDescent="0.45">
      <c r="A1771" t="s">
        <v>3605</v>
      </c>
      <c r="B1771" s="2">
        <v>45689</v>
      </c>
      <c r="C1771" t="s">
        <v>66</v>
      </c>
      <c r="D1771" t="s">
        <v>3606</v>
      </c>
      <c r="E1771" t="s">
        <v>7973</v>
      </c>
      <c r="F1771">
        <v>5</v>
      </c>
      <c r="G1771" t="s">
        <v>59</v>
      </c>
      <c r="H1771" t="s">
        <v>14</v>
      </c>
      <c r="I1771" t="s">
        <v>60</v>
      </c>
    </row>
    <row r="1772" spans="1:9" x14ac:dyDescent="0.45">
      <c r="A1772" t="s">
        <v>3607</v>
      </c>
      <c r="B1772" s="2">
        <v>45732</v>
      </c>
      <c r="C1772" t="s">
        <v>99</v>
      </c>
      <c r="D1772" t="s">
        <v>3608</v>
      </c>
      <c r="E1772" t="s">
        <v>34</v>
      </c>
      <c r="F1772">
        <v>5</v>
      </c>
      <c r="G1772" t="s">
        <v>59</v>
      </c>
      <c r="H1772" t="s">
        <v>14</v>
      </c>
      <c r="I1772" t="s">
        <v>19</v>
      </c>
    </row>
    <row r="1773" spans="1:9" x14ac:dyDescent="0.45">
      <c r="A1773" t="s">
        <v>3609</v>
      </c>
      <c r="B1773" s="2">
        <v>45867</v>
      </c>
      <c r="C1773" t="s">
        <v>66</v>
      </c>
      <c r="D1773" t="s">
        <v>3610</v>
      </c>
      <c r="E1773" t="s">
        <v>30</v>
      </c>
      <c r="F1773">
        <v>10</v>
      </c>
      <c r="G1773" t="s">
        <v>43</v>
      </c>
      <c r="H1773" t="s">
        <v>14</v>
      </c>
      <c r="I1773" t="s">
        <v>39</v>
      </c>
    </row>
    <row r="1774" spans="1:9" x14ac:dyDescent="0.45">
      <c r="A1774" t="s">
        <v>3611</v>
      </c>
      <c r="B1774" s="2">
        <v>45768</v>
      </c>
      <c r="C1774" t="s">
        <v>52</v>
      </c>
      <c r="D1774" t="s">
        <v>3612</v>
      </c>
      <c r="E1774" t="s">
        <v>58</v>
      </c>
      <c r="F1774">
        <v>8</v>
      </c>
      <c r="G1774" t="s">
        <v>13</v>
      </c>
      <c r="H1774" t="s">
        <v>14</v>
      </c>
      <c r="I1774" t="s">
        <v>60</v>
      </c>
    </row>
    <row r="1775" spans="1:9" x14ac:dyDescent="0.45">
      <c r="A1775" t="s">
        <v>3613</v>
      </c>
      <c r="B1775" s="2">
        <v>45834</v>
      </c>
      <c r="C1775" t="s">
        <v>16</v>
      </c>
      <c r="D1775" t="s">
        <v>3614</v>
      </c>
      <c r="E1775" t="s">
        <v>42</v>
      </c>
      <c r="F1775">
        <v>6</v>
      </c>
      <c r="G1775" t="s">
        <v>7967</v>
      </c>
      <c r="H1775" t="s">
        <v>14</v>
      </c>
      <c r="I1775" t="s">
        <v>26</v>
      </c>
    </row>
    <row r="1776" spans="1:9" x14ac:dyDescent="0.45">
      <c r="A1776" t="s">
        <v>3615</v>
      </c>
      <c r="B1776" s="2">
        <v>45708</v>
      </c>
      <c r="C1776" t="s">
        <v>52</v>
      </c>
      <c r="D1776" t="s">
        <v>3616</v>
      </c>
      <c r="E1776" t="s">
        <v>30</v>
      </c>
      <c r="F1776">
        <v>1</v>
      </c>
      <c r="G1776" t="s">
        <v>68</v>
      </c>
      <c r="H1776" t="s">
        <v>25</v>
      </c>
      <c r="I1776" t="s">
        <v>26</v>
      </c>
    </row>
    <row r="1777" spans="1:9" x14ac:dyDescent="0.45">
      <c r="A1777" t="s">
        <v>3617</v>
      </c>
      <c r="B1777" s="2">
        <v>45715</v>
      </c>
      <c r="C1777" t="s">
        <v>66</v>
      </c>
      <c r="D1777" t="s">
        <v>3618</v>
      </c>
      <c r="E1777" t="s">
        <v>75</v>
      </c>
      <c r="F1777">
        <v>8</v>
      </c>
      <c r="G1777" t="s">
        <v>68</v>
      </c>
      <c r="H1777" t="s">
        <v>25</v>
      </c>
      <c r="I1777" t="s">
        <v>31</v>
      </c>
    </row>
    <row r="1778" spans="1:9" x14ac:dyDescent="0.45">
      <c r="A1778" t="s">
        <v>3619</v>
      </c>
      <c r="B1778" s="2">
        <v>45659</v>
      </c>
      <c r="C1778" t="s">
        <v>10</v>
      </c>
      <c r="D1778" t="s">
        <v>3620</v>
      </c>
      <c r="E1778" t="s">
        <v>7974</v>
      </c>
      <c r="F1778">
        <v>10</v>
      </c>
      <c r="G1778" t="s">
        <v>43</v>
      </c>
      <c r="H1778" t="s">
        <v>14</v>
      </c>
      <c r="I1778" t="s">
        <v>47</v>
      </c>
    </row>
    <row r="1779" spans="1:9" x14ac:dyDescent="0.45">
      <c r="A1779" t="s">
        <v>3621</v>
      </c>
      <c r="B1779" s="2">
        <v>45814</v>
      </c>
      <c r="C1779" t="s">
        <v>10</v>
      </c>
      <c r="D1779" t="s">
        <v>3622</v>
      </c>
      <c r="E1779" t="s">
        <v>54</v>
      </c>
      <c r="F1779">
        <v>11</v>
      </c>
      <c r="G1779" t="s">
        <v>24</v>
      </c>
      <c r="H1779" t="s">
        <v>25</v>
      </c>
      <c r="I1779" t="s">
        <v>26</v>
      </c>
    </row>
    <row r="1780" spans="1:9" x14ac:dyDescent="0.45">
      <c r="A1780" t="s">
        <v>3623</v>
      </c>
      <c r="B1780" s="2">
        <v>45799</v>
      </c>
      <c r="C1780" t="s">
        <v>10</v>
      </c>
      <c r="D1780" t="s">
        <v>3624</v>
      </c>
      <c r="E1780" t="s">
        <v>42</v>
      </c>
      <c r="F1780">
        <v>5</v>
      </c>
      <c r="G1780" t="s">
        <v>35</v>
      </c>
      <c r="H1780" t="s">
        <v>25</v>
      </c>
      <c r="I1780" t="s">
        <v>19</v>
      </c>
    </row>
    <row r="1781" spans="1:9" x14ac:dyDescent="0.45">
      <c r="A1781" t="s">
        <v>3625</v>
      </c>
      <c r="B1781" s="2">
        <v>45793</v>
      </c>
      <c r="C1781" t="s">
        <v>66</v>
      </c>
      <c r="D1781" t="s">
        <v>3626</v>
      </c>
      <c r="E1781" t="s">
        <v>46</v>
      </c>
      <c r="F1781">
        <v>2</v>
      </c>
      <c r="G1781" t="s">
        <v>24</v>
      </c>
      <c r="H1781" t="s">
        <v>25</v>
      </c>
      <c r="I1781" t="s">
        <v>39</v>
      </c>
    </row>
    <row r="1782" spans="1:9" x14ac:dyDescent="0.45">
      <c r="A1782" t="s">
        <v>3627</v>
      </c>
      <c r="B1782" s="2">
        <v>45811</v>
      </c>
      <c r="C1782" t="s">
        <v>21</v>
      </c>
      <c r="D1782" t="s">
        <v>3628</v>
      </c>
      <c r="E1782" t="s">
        <v>7973</v>
      </c>
      <c r="F1782">
        <v>2</v>
      </c>
      <c r="G1782" t="s">
        <v>55</v>
      </c>
      <c r="H1782" t="s">
        <v>72</v>
      </c>
      <c r="I1782" t="s">
        <v>47</v>
      </c>
    </row>
    <row r="1783" spans="1:9" x14ac:dyDescent="0.45">
      <c r="A1783" t="s">
        <v>3629</v>
      </c>
      <c r="B1783" s="2">
        <v>45769</v>
      </c>
      <c r="C1783" t="s">
        <v>21</v>
      </c>
      <c r="D1783" t="s">
        <v>3630</v>
      </c>
      <c r="E1783" t="s">
        <v>7974</v>
      </c>
      <c r="F1783">
        <v>12</v>
      </c>
      <c r="G1783" t="s">
        <v>35</v>
      </c>
      <c r="H1783" t="s">
        <v>25</v>
      </c>
      <c r="I1783" t="s">
        <v>39</v>
      </c>
    </row>
    <row r="1784" spans="1:9" x14ac:dyDescent="0.45">
      <c r="A1784" t="s">
        <v>3631</v>
      </c>
      <c r="B1784" s="2">
        <v>45904</v>
      </c>
      <c r="C1784" t="s">
        <v>52</v>
      </c>
      <c r="D1784" t="s">
        <v>3632</v>
      </c>
      <c r="E1784" t="s">
        <v>23</v>
      </c>
      <c r="F1784">
        <v>4</v>
      </c>
      <c r="G1784" t="s">
        <v>55</v>
      </c>
      <c r="H1784" t="s">
        <v>72</v>
      </c>
      <c r="I1784" t="s">
        <v>19</v>
      </c>
    </row>
    <row r="1785" spans="1:9" x14ac:dyDescent="0.45">
      <c r="A1785" t="s">
        <v>3633</v>
      </c>
      <c r="B1785" s="2">
        <v>45659</v>
      </c>
      <c r="C1785" t="s">
        <v>52</v>
      </c>
      <c r="D1785" t="s">
        <v>3634</v>
      </c>
      <c r="E1785" t="s">
        <v>54</v>
      </c>
      <c r="F1785">
        <v>8</v>
      </c>
      <c r="G1785" t="s">
        <v>24</v>
      </c>
      <c r="H1785" t="s">
        <v>25</v>
      </c>
      <c r="I1785" t="s">
        <v>26</v>
      </c>
    </row>
    <row r="1786" spans="1:9" x14ac:dyDescent="0.45">
      <c r="A1786" t="s">
        <v>3635</v>
      </c>
      <c r="B1786" s="2">
        <v>45788</v>
      </c>
      <c r="C1786" t="s">
        <v>21</v>
      </c>
      <c r="D1786" t="s">
        <v>3636</v>
      </c>
      <c r="E1786" t="s">
        <v>38</v>
      </c>
      <c r="F1786">
        <v>6</v>
      </c>
      <c r="G1786" t="s">
        <v>68</v>
      </c>
      <c r="H1786" t="s">
        <v>25</v>
      </c>
      <c r="I1786" t="s">
        <v>47</v>
      </c>
    </row>
    <row r="1787" spans="1:9" x14ac:dyDescent="0.45">
      <c r="A1787" t="s">
        <v>3637</v>
      </c>
      <c r="B1787" s="2">
        <v>45728</v>
      </c>
      <c r="C1787" t="s">
        <v>52</v>
      </c>
      <c r="D1787" t="s">
        <v>3638</v>
      </c>
      <c r="E1787" t="s">
        <v>42</v>
      </c>
      <c r="F1787">
        <v>6</v>
      </c>
      <c r="G1787" t="s">
        <v>24</v>
      </c>
      <c r="H1787" t="s">
        <v>25</v>
      </c>
      <c r="I1787" t="s">
        <v>31</v>
      </c>
    </row>
    <row r="1788" spans="1:9" x14ac:dyDescent="0.45">
      <c r="A1788" t="s">
        <v>3639</v>
      </c>
      <c r="B1788" s="2">
        <v>45693</v>
      </c>
      <c r="C1788" t="s">
        <v>66</v>
      </c>
      <c r="D1788" t="s">
        <v>3640</v>
      </c>
      <c r="E1788" t="s">
        <v>23</v>
      </c>
      <c r="F1788">
        <v>5</v>
      </c>
      <c r="G1788" t="s">
        <v>18</v>
      </c>
      <c r="H1788" t="s">
        <v>14</v>
      </c>
      <c r="I1788" t="s">
        <v>26</v>
      </c>
    </row>
    <row r="1789" spans="1:9" x14ac:dyDescent="0.45">
      <c r="A1789" t="s">
        <v>3641</v>
      </c>
      <c r="B1789" s="2">
        <v>45854</v>
      </c>
      <c r="C1789" t="s">
        <v>21</v>
      </c>
      <c r="D1789" t="s">
        <v>3642</v>
      </c>
      <c r="E1789" t="s">
        <v>34</v>
      </c>
      <c r="F1789">
        <v>7</v>
      </c>
      <c r="G1789" t="s">
        <v>59</v>
      </c>
      <c r="H1789" t="s">
        <v>14</v>
      </c>
      <c r="I1789" t="s">
        <v>60</v>
      </c>
    </row>
    <row r="1790" spans="1:9" x14ac:dyDescent="0.45">
      <c r="A1790" t="s">
        <v>3643</v>
      </c>
      <c r="B1790" s="2">
        <v>45844</v>
      </c>
      <c r="C1790" t="s">
        <v>21</v>
      </c>
      <c r="D1790" t="s">
        <v>3644</v>
      </c>
      <c r="E1790" t="s">
        <v>46</v>
      </c>
      <c r="F1790">
        <v>10</v>
      </c>
      <c r="G1790" t="s">
        <v>18</v>
      </c>
      <c r="H1790" t="s">
        <v>14</v>
      </c>
      <c r="I1790" t="s">
        <v>31</v>
      </c>
    </row>
    <row r="1791" spans="1:9" x14ac:dyDescent="0.45">
      <c r="A1791" t="s">
        <v>3645</v>
      </c>
      <c r="B1791" s="2">
        <v>45860</v>
      </c>
      <c r="C1791" t="s">
        <v>52</v>
      </c>
      <c r="D1791" t="s">
        <v>3646</v>
      </c>
      <c r="E1791" t="s">
        <v>42</v>
      </c>
      <c r="F1791">
        <v>5</v>
      </c>
      <c r="G1791" t="s">
        <v>18</v>
      </c>
      <c r="H1791" t="s">
        <v>14</v>
      </c>
      <c r="I1791" t="s">
        <v>60</v>
      </c>
    </row>
    <row r="1792" spans="1:9" x14ac:dyDescent="0.45">
      <c r="A1792" t="s">
        <v>3647</v>
      </c>
      <c r="B1792" s="2">
        <v>45674</v>
      </c>
      <c r="C1792" t="s">
        <v>21</v>
      </c>
      <c r="D1792" t="s">
        <v>3648</v>
      </c>
      <c r="E1792" t="s">
        <v>46</v>
      </c>
      <c r="F1792">
        <v>10</v>
      </c>
      <c r="G1792" t="s">
        <v>35</v>
      </c>
      <c r="H1792" t="s">
        <v>25</v>
      </c>
      <c r="I1792" t="s">
        <v>47</v>
      </c>
    </row>
    <row r="1793" spans="1:9" x14ac:dyDescent="0.45">
      <c r="A1793" t="s">
        <v>3649</v>
      </c>
      <c r="B1793" s="2">
        <v>45826</v>
      </c>
      <c r="C1793" t="s">
        <v>99</v>
      </c>
      <c r="D1793" t="s">
        <v>3650</v>
      </c>
      <c r="E1793" t="s">
        <v>54</v>
      </c>
      <c r="F1793">
        <v>5</v>
      </c>
      <c r="G1793" t="s">
        <v>13</v>
      </c>
      <c r="H1793" t="s">
        <v>14</v>
      </c>
      <c r="I1793" t="s">
        <v>19</v>
      </c>
    </row>
    <row r="1794" spans="1:9" x14ac:dyDescent="0.45">
      <c r="A1794" t="s">
        <v>3651</v>
      </c>
      <c r="B1794" s="2">
        <v>45904</v>
      </c>
      <c r="C1794" t="s">
        <v>99</v>
      </c>
      <c r="D1794" t="s">
        <v>3652</v>
      </c>
      <c r="E1794" t="s">
        <v>54</v>
      </c>
      <c r="F1794">
        <v>5</v>
      </c>
      <c r="G1794" t="s">
        <v>43</v>
      </c>
      <c r="H1794" t="s">
        <v>14</v>
      </c>
      <c r="I1794" t="s">
        <v>26</v>
      </c>
    </row>
    <row r="1795" spans="1:9" x14ac:dyDescent="0.45">
      <c r="A1795" t="s">
        <v>3653</v>
      </c>
      <c r="B1795" s="2">
        <v>45743</v>
      </c>
      <c r="C1795" t="s">
        <v>10</v>
      </c>
      <c r="D1795" t="s">
        <v>3654</v>
      </c>
      <c r="E1795" t="s">
        <v>42</v>
      </c>
      <c r="F1795">
        <v>2</v>
      </c>
      <c r="G1795" t="s">
        <v>43</v>
      </c>
      <c r="H1795" t="s">
        <v>14</v>
      </c>
      <c r="I1795" t="s">
        <v>31</v>
      </c>
    </row>
    <row r="1796" spans="1:9" x14ac:dyDescent="0.45">
      <c r="A1796" t="s">
        <v>3655</v>
      </c>
      <c r="B1796" s="2">
        <v>45884</v>
      </c>
      <c r="C1796" t="s">
        <v>66</v>
      </c>
      <c r="D1796" t="s">
        <v>3656</v>
      </c>
      <c r="E1796" t="s">
        <v>7974</v>
      </c>
      <c r="F1796">
        <v>10</v>
      </c>
      <c r="G1796" t="s">
        <v>59</v>
      </c>
      <c r="H1796" t="s">
        <v>14</v>
      </c>
      <c r="I1796" t="s">
        <v>47</v>
      </c>
    </row>
    <row r="1797" spans="1:9" x14ac:dyDescent="0.45">
      <c r="A1797" t="s">
        <v>3657</v>
      </c>
      <c r="B1797" s="2">
        <v>45663</v>
      </c>
      <c r="C1797" t="s">
        <v>66</v>
      </c>
      <c r="D1797" t="s">
        <v>3658</v>
      </c>
      <c r="E1797" t="s">
        <v>42</v>
      </c>
      <c r="F1797">
        <v>6</v>
      </c>
      <c r="G1797" t="s">
        <v>55</v>
      </c>
      <c r="H1797" t="s">
        <v>72</v>
      </c>
      <c r="I1797" t="s">
        <v>39</v>
      </c>
    </row>
    <row r="1798" spans="1:9" x14ac:dyDescent="0.45">
      <c r="A1798" t="s">
        <v>3659</v>
      </c>
      <c r="B1798" s="2">
        <v>45823</v>
      </c>
      <c r="C1798" t="s">
        <v>16</v>
      </c>
      <c r="D1798" t="s">
        <v>3660</v>
      </c>
      <c r="E1798" t="s">
        <v>7974</v>
      </c>
      <c r="F1798">
        <v>4</v>
      </c>
      <c r="G1798" t="s">
        <v>43</v>
      </c>
      <c r="H1798" t="s">
        <v>14</v>
      </c>
      <c r="I1798" t="s">
        <v>31</v>
      </c>
    </row>
    <row r="1799" spans="1:9" x14ac:dyDescent="0.45">
      <c r="A1799" t="s">
        <v>3661</v>
      </c>
      <c r="B1799" s="2">
        <v>45687</v>
      </c>
      <c r="C1799" t="s">
        <v>52</v>
      </c>
      <c r="D1799" t="s">
        <v>3662</v>
      </c>
      <c r="E1799" t="s">
        <v>7973</v>
      </c>
      <c r="F1799">
        <v>4</v>
      </c>
      <c r="G1799" t="s">
        <v>24</v>
      </c>
      <c r="H1799" t="s">
        <v>25</v>
      </c>
      <c r="I1799" t="s">
        <v>19</v>
      </c>
    </row>
    <row r="1800" spans="1:9" x14ac:dyDescent="0.45">
      <c r="A1800" t="s">
        <v>3663</v>
      </c>
      <c r="B1800" s="2">
        <v>45799</v>
      </c>
      <c r="C1800" t="s">
        <v>16</v>
      </c>
      <c r="D1800" t="s">
        <v>3664</v>
      </c>
      <c r="E1800" t="s">
        <v>7973</v>
      </c>
      <c r="F1800">
        <v>2</v>
      </c>
      <c r="G1800" t="s">
        <v>13</v>
      </c>
      <c r="H1800" t="s">
        <v>14</v>
      </c>
      <c r="I1800" t="s">
        <v>26</v>
      </c>
    </row>
    <row r="1801" spans="1:9" x14ac:dyDescent="0.45">
      <c r="A1801" t="s">
        <v>3665</v>
      </c>
      <c r="B1801" s="2">
        <v>45659</v>
      </c>
      <c r="C1801" t="s">
        <v>10</v>
      </c>
      <c r="D1801" t="s">
        <v>3666</v>
      </c>
      <c r="E1801" t="s">
        <v>58</v>
      </c>
      <c r="F1801">
        <v>11</v>
      </c>
      <c r="G1801" t="s">
        <v>18</v>
      </c>
      <c r="H1801" t="s">
        <v>14</v>
      </c>
      <c r="I1801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0DCEA-EED0-4441-9BBA-2E9ECFB3A1BF}">
  <dimension ref="A1:I2151"/>
  <sheetViews>
    <sheetView workbookViewId="0">
      <selection activeCell="C2156" sqref="C2156"/>
    </sheetView>
  </sheetViews>
  <sheetFormatPr defaultRowHeight="14.25" x14ac:dyDescent="0.45"/>
  <cols>
    <col min="1" max="1" width="16.265625" customWidth="1"/>
    <col min="2" max="2" width="18.53125" style="2" customWidth="1"/>
    <col min="3" max="3" width="32.6640625" customWidth="1"/>
    <col min="4" max="4" width="18.73046875" customWidth="1"/>
    <col min="5" max="5" width="33.9296875" bestFit="1" customWidth="1"/>
    <col min="6" max="6" width="9.1328125" customWidth="1"/>
    <col min="7" max="7" width="10.33203125" customWidth="1"/>
    <col min="8" max="8" width="9.3984375" bestFit="1" customWidth="1"/>
    <col min="9" max="9" width="18.796875" bestFit="1" customWidth="1"/>
    <col min="10" max="10" width="30.06640625" bestFit="1" customWidth="1"/>
  </cols>
  <sheetData>
    <row r="1" spans="1:9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3667</v>
      </c>
      <c r="B2" s="2">
        <v>46181</v>
      </c>
      <c r="C2" t="s">
        <v>16</v>
      </c>
      <c r="D2" t="s">
        <v>3668</v>
      </c>
      <c r="E2" t="s">
        <v>38</v>
      </c>
      <c r="F2">
        <v>4</v>
      </c>
      <c r="G2" t="s">
        <v>13</v>
      </c>
      <c r="H2" t="s">
        <v>14</v>
      </c>
      <c r="I2" t="s">
        <v>47</v>
      </c>
    </row>
    <row r="3" spans="1:9" x14ac:dyDescent="0.45">
      <c r="A3" t="s">
        <v>3669</v>
      </c>
      <c r="B3" s="2">
        <v>46077</v>
      </c>
      <c r="C3" t="s">
        <v>66</v>
      </c>
      <c r="D3" t="s">
        <v>3670</v>
      </c>
      <c r="E3" t="s">
        <v>46</v>
      </c>
      <c r="F3">
        <v>12</v>
      </c>
      <c r="G3" t="s">
        <v>24</v>
      </c>
      <c r="H3" t="s">
        <v>25</v>
      </c>
      <c r="I3" t="s">
        <v>60</v>
      </c>
    </row>
    <row r="4" spans="1:9" x14ac:dyDescent="0.45">
      <c r="A4" t="s">
        <v>3671</v>
      </c>
      <c r="B4" s="2">
        <v>46110</v>
      </c>
      <c r="C4" t="s">
        <v>16</v>
      </c>
      <c r="D4" t="s">
        <v>3672</v>
      </c>
      <c r="E4" t="s">
        <v>7973</v>
      </c>
      <c r="F4">
        <v>8</v>
      </c>
      <c r="G4" t="s">
        <v>24</v>
      </c>
      <c r="H4" t="s">
        <v>25</v>
      </c>
      <c r="I4" t="s">
        <v>39</v>
      </c>
    </row>
    <row r="5" spans="1:9" x14ac:dyDescent="0.45">
      <c r="A5" t="s">
        <v>3673</v>
      </c>
      <c r="B5" s="2">
        <v>46038</v>
      </c>
      <c r="C5" t="s">
        <v>66</v>
      </c>
      <c r="D5" t="s">
        <v>3674</v>
      </c>
      <c r="E5" t="s">
        <v>58</v>
      </c>
      <c r="F5">
        <v>5</v>
      </c>
      <c r="G5" t="s">
        <v>35</v>
      </c>
      <c r="H5" t="s">
        <v>25</v>
      </c>
      <c r="I5" t="s">
        <v>60</v>
      </c>
    </row>
    <row r="6" spans="1:9" x14ac:dyDescent="0.45">
      <c r="A6" t="s">
        <v>3675</v>
      </c>
      <c r="B6" s="2">
        <v>46235</v>
      </c>
      <c r="C6" t="s">
        <v>21</v>
      </c>
      <c r="D6" t="s">
        <v>3676</v>
      </c>
      <c r="E6" t="s">
        <v>34</v>
      </c>
      <c r="F6">
        <v>8</v>
      </c>
      <c r="G6" t="s">
        <v>59</v>
      </c>
      <c r="H6" t="s">
        <v>14</v>
      </c>
      <c r="I6" t="s">
        <v>60</v>
      </c>
    </row>
    <row r="7" spans="1:9" x14ac:dyDescent="0.45">
      <c r="A7" t="s">
        <v>3677</v>
      </c>
      <c r="B7" s="2">
        <v>46086</v>
      </c>
      <c r="C7" t="s">
        <v>52</v>
      </c>
      <c r="D7" t="s">
        <v>3678</v>
      </c>
      <c r="E7" t="s">
        <v>71</v>
      </c>
      <c r="F7">
        <v>12</v>
      </c>
      <c r="G7" t="s">
        <v>59</v>
      </c>
      <c r="H7" t="s">
        <v>14</v>
      </c>
      <c r="I7" t="s">
        <v>60</v>
      </c>
    </row>
    <row r="8" spans="1:9" x14ac:dyDescent="0.45">
      <c r="A8" t="s">
        <v>3679</v>
      </c>
      <c r="B8" s="2">
        <v>46140</v>
      </c>
      <c r="C8" t="s">
        <v>10</v>
      </c>
      <c r="D8" t="s">
        <v>3680</v>
      </c>
      <c r="E8" t="s">
        <v>7973</v>
      </c>
      <c r="F8">
        <v>1</v>
      </c>
      <c r="G8" t="s">
        <v>13</v>
      </c>
      <c r="H8" t="s">
        <v>14</v>
      </c>
      <c r="I8" t="s">
        <v>47</v>
      </c>
    </row>
    <row r="9" spans="1:9" x14ac:dyDescent="0.45">
      <c r="A9" t="s">
        <v>3681</v>
      </c>
      <c r="B9" s="2">
        <v>46258</v>
      </c>
      <c r="C9" t="s">
        <v>10</v>
      </c>
      <c r="D9" t="s">
        <v>3682</v>
      </c>
      <c r="E9" t="s">
        <v>30</v>
      </c>
      <c r="F9">
        <v>4</v>
      </c>
      <c r="G9" t="s">
        <v>24</v>
      </c>
      <c r="H9" t="s">
        <v>25</v>
      </c>
      <c r="I9" t="s">
        <v>26</v>
      </c>
    </row>
    <row r="10" spans="1:9" x14ac:dyDescent="0.45">
      <c r="A10" t="s">
        <v>3683</v>
      </c>
      <c r="B10" s="2">
        <v>46199</v>
      </c>
      <c r="C10" t="s">
        <v>21</v>
      </c>
      <c r="D10" t="s">
        <v>3684</v>
      </c>
      <c r="E10" t="s">
        <v>42</v>
      </c>
      <c r="F10">
        <v>10</v>
      </c>
      <c r="G10" t="s">
        <v>18</v>
      </c>
      <c r="H10" t="s">
        <v>14</v>
      </c>
      <c r="I10" t="s">
        <v>60</v>
      </c>
    </row>
    <row r="11" spans="1:9" x14ac:dyDescent="0.45">
      <c r="A11" t="s">
        <v>3685</v>
      </c>
      <c r="B11" s="2">
        <v>46230</v>
      </c>
      <c r="C11" t="s">
        <v>52</v>
      </c>
      <c r="D11" t="s">
        <v>3686</v>
      </c>
      <c r="E11" t="s">
        <v>71</v>
      </c>
      <c r="F11">
        <v>12</v>
      </c>
      <c r="G11" t="s">
        <v>55</v>
      </c>
      <c r="H11" t="s">
        <v>72</v>
      </c>
      <c r="I11" t="s">
        <v>60</v>
      </c>
    </row>
    <row r="12" spans="1:9" x14ac:dyDescent="0.45">
      <c r="A12" t="s">
        <v>3687</v>
      </c>
      <c r="B12" s="2">
        <v>46239</v>
      </c>
      <c r="C12" t="s">
        <v>16</v>
      </c>
      <c r="D12" t="s">
        <v>3688</v>
      </c>
      <c r="E12" t="s">
        <v>71</v>
      </c>
      <c r="F12">
        <v>6</v>
      </c>
      <c r="G12" t="s">
        <v>35</v>
      </c>
      <c r="H12" t="s">
        <v>25</v>
      </c>
      <c r="I12" t="s">
        <v>39</v>
      </c>
    </row>
    <row r="13" spans="1:9" x14ac:dyDescent="0.45">
      <c r="A13" t="s">
        <v>3689</v>
      </c>
      <c r="B13" s="2">
        <v>46102</v>
      </c>
      <c r="C13" t="s">
        <v>16</v>
      </c>
      <c r="D13" t="s">
        <v>3690</v>
      </c>
      <c r="E13" t="s">
        <v>38</v>
      </c>
      <c r="F13">
        <v>8</v>
      </c>
      <c r="G13" t="s">
        <v>13</v>
      </c>
      <c r="H13" t="s">
        <v>14</v>
      </c>
      <c r="I13" t="s">
        <v>39</v>
      </c>
    </row>
    <row r="14" spans="1:9" x14ac:dyDescent="0.45">
      <c r="A14" t="s">
        <v>3691</v>
      </c>
      <c r="B14" s="2">
        <v>46181</v>
      </c>
      <c r="C14" t="s">
        <v>16</v>
      </c>
      <c r="D14" t="s">
        <v>3692</v>
      </c>
      <c r="E14" t="s">
        <v>38</v>
      </c>
      <c r="F14">
        <v>1</v>
      </c>
      <c r="G14" t="s">
        <v>59</v>
      </c>
      <c r="H14" t="s">
        <v>14</v>
      </c>
      <c r="I14" t="s">
        <v>31</v>
      </c>
    </row>
    <row r="15" spans="1:9" x14ac:dyDescent="0.45">
      <c r="A15" t="s">
        <v>3693</v>
      </c>
      <c r="B15" s="2">
        <v>46130</v>
      </c>
      <c r="C15" t="s">
        <v>99</v>
      </c>
      <c r="D15" t="s">
        <v>3694</v>
      </c>
      <c r="E15" t="s">
        <v>38</v>
      </c>
      <c r="F15">
        <v>3</v>
      </c>
      <c r="G15" t="s">
        <v>18</v>
      </c>
      <c r="H15" t="s">
        <v>14</v>
      </c>
      <c r="I15" t="s">
        <v>26</v>
      </c>
    </row>
    <row r="16" spans="1:9" x14ac:dyDescent="0.45">
      <c r="A16" t="s">
        <v>3695</v>
      </c>
      <c r="B16" s="2">
        <v>46128</v>
      </c>
      <c r="C16" t="s">
        <v>52</v>
      </c>
      <c r="D16" t="s">
        <v>3696</v>
      </c>
      <c r="E16" t="s">
        <v>38</v>
      </c>
      <c r="F16">
        <v>12</v>
      </c>
      <c r="G16" t="s">
        <v>13</v>
      </c>
      <c r="H16" t="s">
        <v>14</v>
      </c>
      <c r="I16" t="s">
        <v>39</v>
      </c>
    </row>
    <row r="17" spans="1:9" x14ac:dyDescent="0.45">
      <c r="A17" t="s">
        <v>3697</v>
      </c>
      <c r="B17" s="2">
        <v>46049</v>
      </c>
      <c r="C17" t="s">
        <v>21</v>
      </c>
      <c r="D17" t="s">
        <v>3698</v>
      </c>
      <c r="E17" t="s">
        <v>75</v>
      </c>
      <c r="F17">
        <v>3</v>
      </c>
      <c r="G17" t="s">
        <v>18</v>
      </c>
      <c r="H17" t="s">
        <v>14</v>
      </c>
      <c r="I17" t="s">
        <v>31</v>
      </c>
    </row>
    <row r="18" spans="1:9" x14ac:dyDescent="0.45">
      <c r="A18" t="s">
        <v>3699</v>
      </c>
      <c r="B18" s="2">
        <v>46182</v>
      </c>
      <c r="C18" t="s">
        <v>21</v>
      </c>
      <c r="D18" t="s">
        <v>3700</v>
      </c>
      <c r="E18" t="s">
        <v>46</v>
      </c>
      <c r="F18">
        <v>3</v>
      </c>
      <c r="G18" t="s">
        <v>35</v>
      </c>
      <c r="H18" t="s">
        <v>25</v>
      </c>
      <c r="I18" t="s">
        <v>47</v>
      </c>
    </row>
    <row r="19" spans="1:9" x14ac:dyDescent="0.45">
      <c r="A19" t="s">
        <v>3701</v>
      </c>
      <c r="B19" s="2">
        <v>46098</v>
      </c>
      <c r="C19" t="s">
        <v>49</v>
      </c>
      <c r="D19" t="s">
        <v>3702</v>
      </c>
      <c r="E19" t="s">
        <v>58</v>
      </c>
      <c r="F19">
        <v>8</v>
      </c>
      <c r="G19" t="s">
        <v>24</v>
      </c>
      <c r="H19" t="s">
        <v>25</v>
      </c>
      <c r="I19" t="s">
        <v>19</v>
      </c>
    </row>
    <row r="20" spans="1:9" x14ac:dyDescent="0.45">
      <c r="A20" t="s">
        <v>3703</v>
      </c>
      <c r="B20" s="2">
        <v>46090</v>
      </c>
      <c r="C20" t="s">
        <v>66</v>
      </c>
      <c r="D20" t="s">
        <v>3704</v>
      </c>
      <c r="E20" t="s">
        <v>7974</v>
      </c>
      <c r="F20">
        <v>4</v>
      </c>
      <c r="G20" t="s">
        <v>35</v>
      </c>
      <c r="H20" t="s">
        <v>25</v>
      </c>
      <c r="I20" t="s">
        <v>19</v>
      </c>
    </row>
    <row r="21" spans="1:9" x14ac:dyDescent="0.45">
      <c r="A21" t="s">
        <v>3705</v>
      </c>
      <c r="B21" s="2">
        <v>46214</v>
      </c>
      <c r="C21" t="s">
        <v>16</v>
      </c>
      <c r="D21" t="s">
        <v>3706</v>
      </c>
      <c r="E21" t="s">
        <v>54</v>
      </c>
      <c r="F21">
        <v>4</v>
      </c>
      <c r="G21" t="s">
        <v>18</v>
      </c>
      <c r="H21" t="s">
        <v>14</v>
      </c>
      <c r="I21" t="s">
        <v>26</v>
      </c>
    </row>
    <row r="22" spans="1:9" x14ac:dyDescent="0.45">
      <c r="A22" t="s">
        <v>3707</v>
      </c>
      <c r="B22" s="2">
        <v>46144</v>
      </c>
      <c r="C22" t="s">
        <v>66</v>
      </c>
      <c r="D22" t="s">
        <v>3708</v>
      </c>
      <c r="E22" t="s">
        <v>34</v>
      </c>
      <c r="F22">
        <v>8</v>
      </c>
      <c r="G22" t="s">
        <v>24</v>
      </c>
      <c r="H22" t="s">
        <v>25</v>
      </c>
      <c r="I22" t="s">
        <v>39</v>
      </c>
    </row>
    <row r="23" spans="1:9" x14ac:dyDescent="0.45">
      <c r="A23" t="s">
        <v>3709</v>
      </c>
      <c r="B23" s="2">
        <v>46111</v>
      </c>
      <c r="C23" t="s">
        <v>10</v>
      </c>
      <c r="D23" t="s">
        <v>3710</v>
      </c>
      <c r="E23" t="s">
        <v>75</v>
      </c>
      <c r="F23">
        <v>9</v>
      </c>
      <c r="G23" t="s">
        <v>43</v>
      </c>
      <c r="H23" t="s">
        <v>14</v>
      </c>
      <c r="I23" t="s">
        <v>39</v>
      </c>
    </row>
    <row r="24" spans="1:9" x14ac:dyDescent="0.45">
      <c r="A24" t="s">
        <v>3711</v>
      </c>
      <c r="B24" s="2">
        <v>46114</v>
      </c>
      <c r="C24" t="s">
        <v>10</v>
      </c>
      <c r="D24" t="s">
        <v>3712</v>
      </c>
      <c r="E24" t="s">
        <v>30</v>
      </c>
      <c r="F24">
        <v>10</v>
      </c>
      <c r="G24" t="s">
        <v>43</v>
      </c>
      <c r="H24" t="s">
        <v>14</v>
      </c>
      <c r="I24" t="s">
        <v>31</v>
      </c>
    </row>
    <row r="25" spans="1:9" x14ac:dyDescent="0.45">
      <c r="A25" t="s">
        <v>3713</v>
      </c>
      <c r="B25" s="2">
        <v>46184</v>
      </c>
      <c r="C25" t="s">
        <v>16</v>
      </c>
      <c r="D25" t="s">
        <v>3714</v>
      </c>
      <c r="E25" t="s">
        <v>30</v>
      </c>
      <c r="F25">
        <v>10</v>
      </c>
      <c r="G25" t="s">
        <v>68</v>
      </c>
      <c r="H25" t="s">
        <v>25</v>
      </c>
      <c r="I25" t="s">
        <v>60</v>
      </c>
    </row>
    <row r="26" spans="1:9" x14ac:dyDescent="0.45">
      <c r="A26" t="s">
        <v>3715</v>
      </c>
      <c r="B26" s="2">
        <v>46105</v>
      </c>
      <c r="C26" t="s">
        <v>99</v>
      </c>
      <c r="D26" t="s">
        <v>3716</v>
      </c>
      <c r="E26" t="s">
        <v>30</v>
      </c>
      <c r="F26">
        <v>5</v>
      </c>
      <c r="G26" t="s">
        <v>35</v>
      </c>
      <c r="H26" t="s">
        <v>25</v>
      </c>
      <c r="I26" t="s">
        <v>19</v>
      </c>
    </row>
    <row r="27" spans="1:9" x14ac:dyDescent="0.45">
      <c r="A27" t="s">
        <v>3717</v>
      </c>
      <c r="B27" s="2">
        <v>46041</v>
      </c>
      <c r="C27" t="s">
        <v>52</v>
      </c>
      <c r="D27" t="s">
        <v>3718</v>
      </c>
      <c r="E27" t="s">
        <v>23</v>
      </c>
      <c r="F27">
        <v>9</v>
      </c>
      <c r="G27" t="s">
        <v>68</v>
      </c>
      <c r="H27" t="s">
        <v>25</v>
      </c>
      <c r="I27" t="s">
        <v>31</v>
      </c>
    </row>
    <row r="28" spans="1:9" x14ac:dyDescent="0.45">
      <c r="A28" t="s">
        <v>3719</v>
      </c>
      <c r="B28" s="2">
        <v>46148</v>
      </c>
      <c r="C28" t="s">
        <v>28</v>
      </c>
      <c r="D28" t="s">
        <v>3720</v>
      </c>
      <c r="E28" t="s">
        <v>7967</v>
      </c>
      <c r="F28">
        <v>5</v>
      </c>
      <c r="G28" t="s">
        <v>55</v>
      </c>
      <c r="H28" t="s">
        <v>72</v>
      </c>
      <c r="I28" t="s">
        <v>26</v>
      </c>
    </row>
    <row r="29" spans="1:9" x14ac:dyDescent="0.45">
      <c r="A29" t="s">
        <v>3721</v>
      </c>
      <c r="B29" s="2">
        <v>46183</v>
      </c>
      <c r="C29" t="s">
        <v>49</v>
      </c>
      <c r="D29" t="s">
        <v>3722</v>
      </c>
      <c r="E29" t="s">
        <v>30</v>
      </c>
      <c r="F29">
        <v>10</v>
      </c>
      <c r="G29" t="s">
        <v>55</v>
      </c>
      <c r="H29" t="s">
        <v>72</v>
      </c>
      <c r="I29" t="s">
        <v>39</v>
      </c>
    </row>
    <row r="30" spans="1:9" x14ac:dyDescent="0.45">
      <c r="A30" t="s">
        <v>3723</v>
      </c>
      <c r="B30" s="2">
        <v>46145</v>
      </c>
      <c r="C30" t="s">
        <v>21</v>
      </c>
      <c r="D30" t="s">
        <v>3724</v>
      </c>
      <c r="E30" t="s">
        <v>34</v>
      </c>
      <c r="F30">
        <v>5</v>
      </c>
      <c r="G30" t="s">
        <v>68</v>
      </c>
      <c r="H30" t="s">
        <v>25</v>
      </c>
      <c r="I30" t="s">
        <v>26</v>
      </c>
    </row>
    <row r="31" spans="1:9" x14ac:dyDescent="0.45">
      <c r="A31" t="s">
        <v>3725</v>
      </c>
      <c r="B31" s="2">
        <v>46268</v>
      </c>
      <c r="C31" t="s">
        <v>21</v>
      </c>
      <c r="D31" t="s">
        <v>3726</v>
      </c>
      <c r="E31" t="s">
        <v>42</v>
      </c>
      <c r="F31">
        <v>6</v>
      </c>
      <c r="G31" t="s">
        <v>43</v>
      </c>
      <c r="H31" t="s">
        <v>14</v>
      </c>
      <c r="I31" t="s">
        <v>47</v>
      </c>
    </row>
    <row r="32" spans="1:9" x14ac:dyDescent="0.45">
      <c r="A32" t="s">
        <v>3727</v>
      </c>
      <c r="B32" s="2">
        <v>46227</v>
      </c>
      <c r="C32" t="s">
        <v>16</v>
      </c>
      <c r="D32" t="s">
        <v>3728</v>
      </c>
      <c r="E32" t="s">
        <v>54</v>
      </c>
      <c r="F32">
        <v>4</v>
      </c>
      <c r="G32" t="s">
        <v>18</v>
      </c>
      <c r="H32" t="s">
        <v>14</v>
      </c>
      <c r="I32" t="s">
        <v>47</v>
      </c>
    </row>
    <row r="33" spans="1:9" x14ac:dyDescent="0.45">
      <c r="A33" t="s">
        <v>3729</v>
      </c>
      <c r="B33" s="2">
        <v>46236</v>
      </c>
      <c r="C33" t="s">
        <v>28</v>
      </c>
      <c r="D33" t="s">
        <v>3730</v>
      </c>
      <c r="E33" t="s">
        <v>449</v>
      </c>
      <c r="F33">
        <v>12</v>
      </c>
      <c r="G33" t="s">
        <v>68</v>
      </c>
      <c r="H33" t="s">
        <v>25</v>
      </c>
      <c r="I33" t="s">
        <v>47</v>
      </c>
    </row>
    <row r="34" spans="1:9" x14ac:dyDescent="0.45">
      <c r="A34" t="s">
        <v>3731</v>
      </c>
      <c r="B34" s="2">
        <v>46169</v>
      </c>
      <c r="C34" t="s">
        <v>10</v>
      </c>
      <c r="D34" t="s">
        <v>3732</v>
      </c>
      <c r="E34" t="s">
        <v>54</v>
      </c>
      <c r="F34">
        <v>5</v>
      </c>
      <c r="G34" t="s">
        <v>55</v>
      </c>
      <c r="H34" t="s">
        <v>72</v>
      </c>
      <c r="I34" t="s">
        <v>26</v>
      </c>
    </row>
    <row r="35" spans="1:9" x14ac:dyDescent="0.45">
      <c r="A35" t="s">
        <v>3733</v>
      </c>
      <c r="B35" s="2">
        <v>46242</v>
      </c>
      <c r="C35" t="s">
        <v>28</v>
      </c>
      <c r="D35" t="s">
        <v>3734</v>
      </c>
      <c r="E35" t="s">
        <v>58</v>
      </c>
      <c r="F35">
        <v>10</v>
      </c>
      <c r="G35" t="s">
        <v>59</v>
      </c>
      <c r="H35" t="s">
        <v>14</v>
      </c>
      <c r="I35" t="s">
        <v>39</v>
      </c>
    </row>
    <row r="36" spans="1:9" x14ac:dyDescent="0.45">
      <c r="A36" t="s">
        <v>3735</v>
      </c>
      <c r="B36" s="2">
        <v>46175</v>
      </c>
      <c r="C36" t="s">
        <v>16</v>
      </c>
      <c r="D36" t="s">
        <v>3736</v>
      </c>
      <c r="E36" t="s">
        <v>7973</v>
      </c>
      <c r="F36">
        <v>4</v>
      </c>
      <c r="G36" t="s">
        <v>55</v>
      </c>
      <c r="H36" t="s">
        <v>72</v>
      </c>
      <c r="I36" t="s">
        <v>31</v>
      </c>
    </row>
    <row r="37" spans="1:9" x14ac:dyDescent="0.45">
      <c r="A37" t="s">
        <v>3737</v>
      </c>
      <c r="B37" s="2">
        <v>46115</v>
      </c>
      <c r="C37" t="s">
        <v>99</v>
      </c>
      <c r="D37" t="s">
        <v>3738</v>
      </c>
      <c r="E37" t="s">
        <v>46</v>
      </c>
      <c r="F37">
        <v>11</v>
      </c>
      <c r="G37" t="s">
        <v>18</v>
      </c>
      <c r="H37" t="s">
        <v>14</v>
      </c>
      <c r="I37" t="s">
        <v>39</v>
      </c>
    </row>
    <row r="38" spans="1:9" x14ac:dyDescent="0.45">
      <c r="A38" t="s">
        <v>3739</v>
      </c>
      <c r="B38" s="2">
        <v>46149</v>
      </c>
      <c r="C38" t="s">
        <v>49</v>
      </c>
      <c r="D38" t="s">
        <v>3740</v>
      </c>
      <c r="E38" t="s">
        <v>42</v>
      </c>
      <c r="F38">
        <v>11</v>
      </c>
      <c r="G38" t="s">
        <v>55</v>
      </c>
      <c r="H38" t="s">
        <v>72</v>
      </c>
      <c r="I38" t="s">
        <v>31</v>
      </c>
    </row>
    <row r="39" spans="1:9" x14ac:dyDescent="0.45">
      <c r="A39" t="s">
        <v>3741</v>
      </c>
      <c r="B39" s="2">
        <v>46093</v>
      </c>
      <c r="C39" t="s">
        <v>28</v>
      </c>
      <c r="D39" t="s">
        <v>3742</v>
      </c>
      <c r="E39" t="s">
        <v>46</v>
      </c>
      <c r="F39">
        <v>10</v>
      </c>
      <c r="G39" t="s">
        <v>18</v>
      </c>
      <c r="H39" t="s">
        <v>14</v>
      </c>
      <c r="I39" t="s">
        <v>19</v>
      </c>
    </row>
    <row r="40" spans="1:9" x14ac:dyDescent="0.45">
      <c r="A40" t="s">
        <v>3743</v>
      </c>
      <c r="B40" s="2">
        <v>46167</v>
      </c>
      <c r="C40" t="s">
        <v>49</v>
      </c>
      <c r="D40" t="s">
        <v>3744</v>
      </c>
      <c r="E40" t="s">
        <v>38</v>
      </c>
      <c r="F40">
        <v>5</v>
      </c>
      <c r="G40" t="s">
        <v>55</v>
      </c>
      <c r="H40" t="s">
        <v>72</v>
      </c>
      <c r="I40" t="s">
        <v>26</v>
      </c>
    </row>
    <row r="41" spans="1:9" x14ac:dyDescent="0.45">
      <c r="A41" t="s">
        <v>3745</v>
      </c>
      <c r="B41" s="2">
        <v>46217</v>
      </c>
      <c r="C41" t="s">
        <v>28</v>
      </c>
      <c r="D41" t="s">
        <v>3746</v>
      </c>
      <c r="E41" t="s">
        <v>58</v>
      </c>
      <c r="F41">
        <v>10</v>
      </c>
      <c r="G41" t="s">
        <v>68</v>
      </c>
      <c r="H41" t="s">
        <v>25</v>
      </c>
      <c r="I41" t="s">
        <v>39</v>
      </c>
    </row>
    <row r="42" spans="1:9" x14ac:dyDescent="0.45">
      <c r="A42" t="s">
        <v>3747</v>
      </c>
      <c r="B42" s="2">
        <v>46071</v>
      </c>
      <c r="C42" t="s">
        <v>66</v>
      </c>
      <c r="D42" t="s">
        <v>3748</v>
      </c>
      <c r="E42" t="s">
        <v>310</v>
      </c>
      <c r="F42">
        <v>10</v>
      </c>
      <c r="G42" t="s">
        <v>55</v>
      </c>
      <c r="H42" t="s">
        <v>72</v>
      </c>
      <c r="I42" t="s">
        <v>39</v>
      </c>
    </row>
    <row r="43" spans="1:9" x14ac:dyDescent="0.45">
      <c r="A43" t="s">
        <v>3749</v>
      </c>
      <c r="B43" s="2">
        <v>46114</v>
      </c>
      <c r="C43" t="s">
        <v>21</v>
      </c>
      <c r="D43" t="s">
        <v>3750</v>
      </c>
      <c r="E43" t="s">
        <v>7973</v>
      </c>
      <c r="F43">
        <v>3</v>
      </c>
      <c r="G43" t="s">
        <v>18</v>
      </c>
      <c r="H43" t="s">
        <v>14</v>
      </c>
      <c r="I43" t="s">
        <v>26</v>
      </c>
    </row>
    <row r="44" spans="1:9" x14ac:dyDescent="0.45">
      <c r="A44" t="s">
        <v>3751</v>
      </c>
      <c r="B44" s="2">
        <v>46197</v>
      </c>
      <c r="C44" t="s">
        <v>21</v>
      </c>
      <c r="D44" t="s">
        <v>3752</v>
      </c>
      <c r="E44" t="s">
        <v>7974</v>
      </c>
      <c r="F44">
        <v>3</v>
      </c>
      <c r="G44" t="s">
        <v>18</v>
      </c>
      <c r="H44" t="s">
        <v>14</v>
      </c>
      <c r="I44" t="s">
        <v>60</v>
      </c>
    </row>
    <row r="45" spans="1:9" x14ac:dyDescent="0.45">
      <c r="A45" t="s">
        <v>3753</v>
      </c>
      <c r="B45" s="2">
        <v>46128</v>
      </c>
      <c r="C45" t="s">
        <v>16</v>
      </c>
      <c r="D45" t="s">
        <v>3754</v>
      </c>
      <c r="E45" t="s">
        <v>38</v>
      </c>
      <c r="F45">
        <v>4</v>
      </c>
      <c r="G45" t="s">
        <v>18</v>
      </c>
      <c r="H45" t="s">
        <v>14</v>
      </c>
      <c r="I45" t="s">
        <v>47</v>
      </c>
    </row>
    <row r="46" spans="1:9" x14ac:dyDescent="0.45">
      <c r="A46" t="s">
        <v>3755</v>
      </c>
      <c r="B46" s="2">
        <v>46155</v>
      </c>
      <c r="C46" t="s">
        <v>16</v>
      </c>
      <c r="D46" t="s">
        <v>3756</v>
      </c>
      <c r="E46" t="s">
        <v>54</v>
      </c>
      <c r="F46">
        <v>9</v>
      </c>
      <c r="G46" t="s">
        <v>68</v>
      </c>
      <c r="H46" t="s">
        <v>25</v>
      </c>
      <c r="I46" t="s">
        <v>19</v>
      </c>
    </row>
    <row r="47" spans="1:9" x14ac:dyDescent="0.45">
      <c r="A47" t="s">
        <v>3757</v>
      </c>
      <c r="B47" s="2">
        <v>46078</v>
      </c>
      <c r="C47" t="s">
        <v>66</v>
      </c>
      <c r="D47" t="s">
        <v>3758</v>
      </c>
      <c r="E47" t="s">
        <v>7974</v>
      </c>
      <c r="F47">
        <v>4</v>
      </c>
      <c r="G47" t="s">
        <v>13</v>
      </c>
      <c r="H47" t="s">
        <v>14</v>
      </c>
      <c r="I47" t="s">
        <v>39</v>
      </c>
    </row>
    <row r="48" spans="1:9" x14ac:dyDescent="0.45">
      <c r="A48" t="s">
        <v>3759</v>
      </c>
      <c r="B48" s="2">
        <v>46060</v>
      </c>
      <c r="C48" t="s">
        <v>66</v>
      </c>
      <c r="D48" t="s">
        <v>3760</v>
      </c>
      <c r="E48" t="s">
        <v>38</v>
      </c>
      <c r="F48">
        <v>8</v>
      </c>
      <c r="G48" t="s">
        <v>68</v>
      </c>
      <c r="H48" t="s">
        <v>25</v>
      </c>
      <c r="I48" t="s">
        <v>60</v>
      </c>
    </row>
    <row r="49" spans="1:9" x14ac:dyDescent="0.45">
      <c r="A49" t="s">
        <v>3761</v>
      </c>
      <c r="B49" s="2">
        <v>46107</v>
      </c>
      <c r="C49" t="s">
        <v>16</v>
      </c>
      <c r="D49" t="s">
        <v>3762</v>
      </c>
      <c r="E49" t="s">
        <v>30</v>
      </c>
      <c r="F49">
        <v>12</v>
      </c>
      <c r="G49" t="s">
        <v>24</v>
      </c>
      <c r="H49" t="s">
        <v>25</v>
      </c>
      <c r="I49" t="s">
        <v>19</v>
      </c>
    </row>
    <row r="50" spans="1:9" x14ac:dyDescent="0.45">
      <c r="A50" t="s">
        <v>3763</v>
      </c>
      <c r="B50" s="2">
        <v>46023</v>
      </c>
      <c r="C50" t="s">
        <v>66</v>
      </c>
      <c r="D50" t="s">
        <v>3764</v>
      </c>
      <c r="E50" t="s">
        <v>34</v>
      </c>
      <c r="F50">
        <v>5</v>
      </c>
      <c r="G50" t="s">
        <v>68</v>
      </c>
      <c r="H50" t="s">
        <v>25</v>
      </c>
      <c r="I50" t="s">
        <v>26</v>
      </c>
    </row>
    <row r="51" spans="1:9" x14ac:dyDescent="0.45">
      <c r="A51" t="s">
        <v>3765</v>
      </c>
      <c r="B51" s="2">
        <v>46262</v>
      </c>
      <c r="C51" t="s">
        <v>16</v>
      </c>
      <c r="D51" t="s">
        <v>3766</v>
      </c>
      <c r="E51" t="s">
        <v>7974</v>
      </c>
      <c r="F51">
        <v>1</v>
      </c>
      <c r="G51" t="s">
        <v>68</v>
      </c>
      <c r="H51" t="s">
        <v>25</v>
      </c>
      <c r="I51" t="s">
        <v>39</v>
      </c>
    </row>
    <row r="52" spans="1:9" x14ac:dyDescent="0.45">
      <c r="A52" t="s">
        <v>3767</v>
      </c>
      <c r="B52" s="2">
        <v>46207</v>
      </c>
      <c r="C52" t="s">
        <v>49</v>
      </c>
      <c r="D52" t="s">
        <v>3768</v>
      </c>
      <c r="E52" t="s">
        <v>54</v>
      </c>
      <c r="F52">
        <v>4</v>
      </c>
      <c r="G52" t="s">
        <v>35</v>
      </c>
      <c r="H52" t="s">
        <v>25</v>
      </c>
      <c r="I52" t="s">
        <v>39</v>
      </c>
    </row>
    <row r="53" spans="1:9" x14ac:dyDescent="0.45">
      <c r="A53" t="s">
        <v>3769</v>
      </c>
      <c r="B53" s="2">
        <v>46103</v>
      </c>
      <c r="C53" t="s">
        <v>66</v>
      </c>
      <c r="D53" t="s">
        <v>3770</v>
      </c>
      <c r="E53" t="s">
        <v>30</v>
      </c>
      <c r="F53">
        <v>4</v>
      </c>
      <c r="G53" t="s">
        <v>59</v>
      </c>
      <c r="H53" t="s">
        <v>14</v>
      </c>
      <c r="I53" t="s">
        <v>47</v>
      </c>
    </row>
    <row r="54" spans="1:9" x14ac:dyDescent="0.45">
      <c r="A54" t="s">
        <v>3771</v>
      </c>
      <c r="B54" s="2">
        <v>46150</v>
      </c>
      <c r="C54" t="s">
        <v>10</v>
      </c>
      <c r="D54" t="s">
        <v>3772</v>
      </c>
      <c r="E54" t="s">
        <v>46</v>
      </c>
      <c r="F54">
        <v>4</v>
      </c>
      <c r="G54" t="s">
        <v>59</v>
      </c>
      <c r="H54" t="s">
        <v>14</v>
      </c>
      <c r="I54" t="s">
        <v>47</v>
      </c>
    </row>
    <row r="55" spans="1:9" x14ac:dyDescent="0.45">
      <c r="A55" t="s">
        <v>3773</v>
      </c>
      <c r="B55" s="2">
        <v>46035</v>
      </c>
      <c r="C55" t="s">
        <v>49</v>
      </c>
      <c r="D55" t="s">
        <v>3774</v>
      </c>
      <c r="E55" t="s">
        <v>38</v>
      </c>
      <c r="F55">
        <v>1</v>
      </c>
      <c r="G55" t="s">
        <v>43</v>
      </c>
      <c r="H55" t="s">
        <v>14</v>
      </c>
      <c r="I55" t="s">
        <v>39</v>
      </c>
    </row>
    <row r="56" spans="1:9" x14ac:dyDescent="0.45">
      <c r="A56" t="s">
        <v>3775</v>
      </c>
      <c r="B56" s="2">
        <v>46241</v>
      </c>
      <c r="C56" t="s">
        <v>28</v>
      </c>
      <c r="D56" t="s">
        <v>3776</v>
      </c>
      <c r="E56" t="s">
        <v>75</v>
      </c>
      <c r="F56">
        <v>3</v>
      </c>
      <c r="G56" t="s">
        <v>24</v>
      </c>
      <c r="H56" t="s">
        <v>25</v>
      </c>
      <c r="I56" t="s">
        <v>60</v>
      </c>
    </row>
    <row r="57" spans="1:9" x14ac:dyDescent="0.45">
      <c r="A57" t="s">
        <v>3777</v>
      </c>
      <c r="B57" s="2">
        <v>46152</v>
      </c>
      <c r="C57" t="s">
        <v>28</v>
      </c>
      <c r="D57" t="s">
        <v>3778</v>
      </c>
      <c r="E57" t="s">
        <v>34</v>
      </c>
      <c r="F57">
        <v>6</v>
      </c>
      <c r="G57" t="s">
        <v>43</v>
      </c>
      <c r="H57" t="s">
        <v>14</v>
      </c>
      <c r="I57" t="s">
        <v>47</v>
      </c>
    </row>
    <row r="58" spans="1:9" x14ac:dyDescent="0.45">
      <c r="A58" t="s">
        <v>3779</v>
      </c>
      <c r="B58" s="2">
        <v>46238</v>
      </c>
      <c r="C58" t="s">
        <v>66</v>
      </c>
      <c r="D58" t="s">
        <v>3780</v>
      </c>
      <c r="E58" t="s">
        <v>46</v>
      </c>
      <c r="F58">
        <v>4</v>
      </c>
      <c r="G58" t="s">
        <v>18</v>
      </c>
      <c r="H58" t="s">
        <v>14</v>
      </c>
      <c r="I58" t="s">
        <v>31</v>
      </c>
    </row>
    <row r="59" spans="1:9" x14ac:dyDescent="0.45">
      <c r="A59" t="s">
        <v>3781</v>
      </c>
      <c r="B59" s="2">
        <v>46226</v>
      </c>
      <c r="C59" t="s">
        <v>52</v>
      </c>
      <c r="D59" t="s">
        <v>3782</v>
      </c>
      <c r="E59" t="s">
        <v>75</v>
      </c>
      <c r="F59">
        <v>6</v>
      </c>
      <c r="G59" t="s">
        <v>18</v>
      </c>
      <c r="H59" t="s">
        <v>14</v>
      </c>
      <c r="I59" t="s">
        <v>31</v>
      </c>
    </row>
    <row r="60" spans="1:9" x14ac:dyDescent="0.45">
      <c r="A60" t="s">
        <v>3783</v>
      </c>
      <c r="B60" s="2">
        <v>46157</v>
      </c>
      <c r="C60" t="s">
        <v>28</v>
      </c>
      <c r="D60" t="s">
        <v>3784</v>
      </c>
      <c r="E60" t="s">
        <v>38</v>
      </c>
      <c r="F60">
        <v>8</v>
      </c>
      <c r="G60" t="s">
        <v>13</v>
      </c>
      <c r="H60" t="s">
        <v>14</v>
      </c>
      <c r="I60" t="s">
        <v>26</v>
      </c>
    </row>
    <row r="61" spans="1:9" x14ac:dyDescent="0.45">
      <c r="A61" t="s">
        <v>3785</v>
      </c>
      <c r="B61" s="2">
        <v>46250</v>
      </c>
      <c r="C61" t="s">
        <v>21</v>
      </c>
      <c r="D61" t="s">
        <v>3786</v>
      </c>
      <c r="E61" t="s">
        <v>75</v>
      </c>
      <c r="F61">
        <v>7</v>
      </c>
      <c r="G61" t="s">
        <v>43</v>
      </c>
      <c r="H61" t="s">
        <v>14</v>
      </c>
      <c r="I61" t="s">
        <v>39</v>
      </c>
    </row>
    <row r="62" spans="1:9" x14ac:dyDescent="0.45">
      <c r="A62" t="s">
        <v>3787</v>
      </c>
      <c r="B62" s="2">
        <v>46222</v>
      </c>
      <c r="C62" t="s">
        <v>10</v>
      </c>
      <c r="D62" t="s">
        <v>3788</v>
      </c>
      <c r="E62" t="s">
        <v>42</v>
      </c>
      <c r="F62">
        <v>7</v>
      </c>
      <c r="G62" t="s">
        <v>55</v>
      </c>
      <c r="H62" t="s">
        <v>72</v>
      </c>
      <c r="I62" t="s">
        <v>31</v>
      </c>
    </row>
    <row r="63" spans="1:9" x14ac:dyDescent="0.45">
      <c r="A63" t="s">
        <v>3789</v>
      </c>
      <c r="B63" s="2">
        <v>46039</v>
      </c>
      <c r="C63" t="s">
        <v>99</v>
      </c>
      <c r="D63" t="s">
        <v>3790</v>
      </c>
      <c r="E63" t="s">
        <v>34</v>
      </c>
      <c r="F63">
        <v>9</v>
      </c>
      <c r="G63" t="s">
        <v>43</v>
      </c>
      <c r="H63" t="s">
        <v>14</v>
      </c>
      <c r="I63" t="s">
        <v>39</v>
      </c>
    </row>
    <row r="64" spans="1:9" x14ac:dyDescent="0.45">
      <c r="A64" t="s">
        <v>3791</v>
      </c>
      <c r="B64" s="2">
        <v>46176</v>
      </c>
      <c r="C64" t="s">
        <v>10</v>
      </c>
      <c r="D64" t="s">
        <v>3792</v>
      </c>
      <c r="E64" t="s">
        <v>46</v>
      </c>
      <c r="F64">
        <v>2</v>
      </c>
      <c r="G64" t="s">
        <v>24</v>
      </c>
      <c r="H64" t="s">
        <v>25</v>
      </c>
      <c r="I64" t="s">
        <v>60</v>
      </c>
    </row>
    <row r="65" spans="1:9" x14ac:dyDescent="0.45">
      <c r="A65" t="s">
        <v>3793</v>
      </c>
      <c r="B65" s="2">
        <v>46200</v>
      </c>
      <c r="C65" t="s">
        <v>52</v>
      </c>
      <c r="D65" t="s">
        <v>3794</v>
      </c>
      <c r="E65" t="s">
        <v>54</v>
      </c>
      <c r="F65">
        <v>2</v>
      </c>
      <c r="G65" t="s">
        <v>43</v>
      </c>
      <c r="H65" t="s">
        <v>14</v>
      </c>
      <c r="I65" t="s">
        <v>47</v>
      </c>
    </row>
    <row r="66" spans="1:9" x14ac:dyDescent="0.45">
      <c r="A66" t="s">
        <v>3795</v>
      </c>
      <c r="B66" s="2">
        <v>46234</v>
      </c>
      <c r="C66" t="s">
        <v>16</v>
      </c>
      <c r="D66" t="s">
        <v>3796</v>
      </c>
      <c r="E66" t="s">
        <v>7973</v>
      </c>
      <c r="F66">
        <v>10</v>
      </c>
      <c r="G66" t="s">
        <v>59</v>
      </c>
      <c r="H66" t="s">
        <v>14</v>
      </c>
      <c r="I66" t="s">
        <v>26</v>
      </c>
    </row>
    <row r="67" spans="1:9" x14ac:dyDescent="0.45">
      <c r="A67" t="s">
        <v>3797</v>
      </c>
      <c r="B67" s="2">
        <v>46097</v>
      </c>
      <c r="C67" t="s">
        <v>10</v>
      </c>
      <c r="D67" t="s">
        <v>3798</v>
      </c>
      <c r="E67" t="s">
        <v>7974</v>
      </c>
      <c r="F67">
        <v>12</v>
      </c>
      <c r="G67" t="s">
        <v>55</v>
      </c>
      <c r="H67" t="s">
        <v>72</v>
      </c>
      <c r="I67" t="s">
        <v>39</v>
      </c>
    </row>
    <row r="68" spans="1:9" x14ac:dyDescent="0.45">
      <c r="A68" t="s">
        <v>3799</v>
      </c>
      <c r="B68" s="2">
        <v>46223</v>
      </c>
      <c r="C68" t="s">
        <v>99</v>
      </c>
      <c r="D68" t="s">
        <v>3800</v>
      </c>
      <c r="E68" t="s">
        <v>23</v>
      </c>
      <c r="F68">
        <v>7</v>
      </c>
      <c r="G68" t="s">
        <v>68</v>
      </c>
      <c r="H68" t="s">
        <v>25</v>
      </c>
      <c r="I68" t="s">
        <v>39</v>
      </c>
    </row>
    <row r="69" spans="1:9" x14ac:dyDescent="0.45">
      <c r="A69" t="s">
        <v>3801</v>
      </c>
      <c r="B69" s="2">
        <v>46244</v>
      </c>
      <c r="C69" t="s">
        <v>21</v>
      </c>
      <c r="D69" t="s">
        <v>3802</v>
      </c>
      <c r="E69" t="s">
        <v>7967</v>
      </c>
      <c r="F69">
        <v>11</v>
      </c>
      <c r="G69" t="s">
        <v>59</v>
      </c>
      <c r="H69" t="s">
        <v>14</v>
      </c>
      <c r="I69" t="s">
        <v>47</v>
      </c>
    </row>
    <row r="70" spans="1:9" x14ac:dyDescent="0.45">
      <c r="A70" t="s">
        <v>3803</v>
      </c>
      <c r="B70" s="2">
        <v>46245</v>
      </c>
      <c r="C70" t="s">
        <v>52</v>
      </c>
      <c r="D70" t="s">
        <v>3804</v>
      </c>
      <c r="E70" t="s">
        <v>7973</v>
      </c>
      <c r="F70">
        <v>6</v>
      </c>
      <c r="G70" t="s">
        <v>68</v>
      </c>
      <c r="H70" t="s">
        <v>25</v>
      </c>
      <c r="I70" t="s">
        <v>47</v>
      </c>
    </row>
    <row r="71" spans="1:9" x14ac:dyDescent="0.45">
      <c r="A71" t="s">
        <v>3805</v>
      </c>
      <c r="B71" s="2">
        <v>46067</v>
      </c>
      <c r="C71" t="s">
        <v>49</v>
      </c>
      <c r="D71" t="s">
        <v>3806</v>
      </c>
      <c r="E71" t="s">
        <v>46</v>
      </c>
      <c r="F71">
        <v>1</v>
      </c>
      <c r="G71" t="s">
        <v>43</v>
      </c>
      <c r="H71" t="s">
        <v>14</v>
      </c>
      <c r="I71" t="s">
        <v>39</v>
      </c>
    </row>
    <row r="72" spans="1:9" x14ac:dyDescent="0.45">
      <c r="A72" t="s">
        <v>3807</v>
      </c>
      <c r="B72" s="2">
        <v>46206</v>
      </c>
      <c r="C72" t="s">
        <v>49</v>
      </c>
      <c r="D72" t="s">
        <v>3808</v>
      </c>
      <c r="E72" t="s">
        <v>7974</v>
      </c>
      <c r="F72">
        <v>12</v>
      </c>
      <c r="G72" t="s">
        <v>55</v>
      </c>
      <c r="H72" t="s">
        <v>72</v>
      </c>
      <c r="I72" t="s">
        <v>47</v>
      </c>
    </row>
    <row r="73" spans="1:9" x14ac:dyDescent="0.45">
      <c r="A73" t="s">
        <v>3809</v>
      </c>
      <c r="B73" s="2">
        <v>46269</v>
      </c>
      <c r="C73" t="s">
        <v>28</v>
      </c>
      <c r="D73" t="s">
        <v>3810</v>
      </c>
      <c r="E73" t="s">
        <v>23</v>
      </c>
      <c r="F73">
        <v>11</v>
      </c>
      <c r="G73" t="s">
        <v>55</v>
      </c>
      <c r="H73" t="s">
        <v>72</v>
      </c>
      <c r="I73" t="s">
        <v>19</v>
      </c>
    </row>
    <row r="74" spans="1:9" x14ac:dyDescent="0.45">
      <c r="A74" t="s">
        <v>3811</v>
      </c>
      <c r="B74" s="2">
        <v>46189</v>
      </c>
      <c r="C74" t="s">
        <v>66</v>
      </c>
      <c r="D74" t="s">
        <v>3812</v>
      </c>
      <c r="E74" t="s">
        <v>34</v>
      </c>
      <c r="F74">
        <v>12</v>
      </c>
      <c r="G74" t="s">
        <v>55</v>
      </c>
      <c r="H74" t="s">
        <v>72</v>
      </c>
      <c r="I74" t="s">
        <v>60</v>
      </c>
    </row>
    <row r="75" spans="1:9" x14ac:dyDescent="0.45">
      <c r="A75" t="s">
        <v>3813</v>
      </c>
      <c r="B75" s="2">
        <v>46052</v>
      </c>
      <c r="C75" t="s">
        <v>28</v>
      </c>
      <c r="D75" t="s">
        <v>3814</v>
      </c>
      <c r="E75" t="s">
        <v>34</v>
      </c>
      <c r="F75">
        <v>12</v>
      </c>
      <c r="G75" t="s">
        <v>35</v>
      </c>
      <c r="H75" t="s">
        <v>25</v>
      </c>
      <c r="I75" t="s">
        <v>31</v>
      </c>
    </row>
    <row r="76" spans="1:9" x14ac:dyDescent="0.45">
      <c r="A76" t="s">
        <v>3815</v>
      </c>
      <c r="B76" s="2">
        <v>46146</v>
      </c>
      <c r="C76" t="s">
        <v>99</v>
      </c>
      <c r="D76" t="s">
        <v>3816</v>
      </c>
      <c r="E76" t="s">
        <v>23</v>
      </c>
      <c r="F76">
        <v>4</v>
      </c>
      <c r="G76" t="s">
        <v>55</v>
      </c>
      <c r="H76" t="s">
        <v>72</v>
      </c>
      <c r="I76" t="s">
        <v>31</v>
      </c>
    </row>
    <row r="77" spans="1:9" x14ac:dyDescent="0.45">
      <c r="A77" t="s">
        <v>3817</v>
      </c>
      <c r="B77" s="2">
        <v>46134</v>
      </c>
      <c r="C77" t="s">
        <v>10</v>
      </c>
      <c r="D77" t="s">
        <v>3818</v>
      </c>
      <c r="E77" t="s">
        <v>54</v>
      </c>
      <c r="F77">
        <v>12</v>
      </c>
      <c r="G77" t="s">
        <v>68</v>
      </c>
      <c r="H77" t="s">
        <v>25</v>
      </c>
      <c r="I77" t="s">
        <v>47</v>
      </c>
    </row>
    <row r="78" spans="1:9" x14ac:dyDescent="0.45">
      <c r="A78" t="s">
        <v>3819</v>
      </c>
      <c r="B78" s="2">
        <v>46172</v>
      </c>
      <c r="C78" t="s">
        <v>10</v>
      </c>
      <c r="D78" t="s">
        <v>3820</v>
      </c>
      <c r="E78" t="s">
        <v>75</v>
      </c>
      <c r="F78">
        <v>7</v>
      </c>
      <c r="G78" t="s">
        <v>68</v>
      </c>
      <c r="H78" t="s">
        <v>25</v>
      </c>
      <c r="I78" t="s">
        <v>26</v>
      </c>
    </row>
    <row r="79" spans="1:9" x14ac:dyDescent="0.45">
      <c r="A79" t="s">
        <v>3821</v>
      </c>
      <c r="B79" s="2">
        <v>46039</v>
      </c>
      <c r="C79" t="s">
        <v>99</v>
      </c>
      <c r="D79" t="s">
        <v>3822</v>
      </c>
      <c r="E79" t="s">
        <v>38</v>
      </c>
      <c r="F79">
        <v>10</v>
      </c>
      <c r="G79" t="s">
        <v>13</v>
      </c>
      <c r="H79" t="s">
        <v>14</v>
      </c>
      <c r="I79" t="s">
        <v>60</v>
      </c>
    </row>
    <row r="80" spans="1:9" x14ac:dyDescent="0.45">
      <c r="A80" t="s">
        <v>3823</v>
      </c>
      <c r="B80" s="2">
        <v>46092</v>
      </c>
      <c r="C80" t="s">
        <v>52</v>
      </c>
      <c r="D80" t="s">
        <v>3824</v>
      </c>
      <c r="E80" t="s">
        <v>46</v>
      </c>
      <c r="F80">
        <v>7</v>
      </c>
      <c r="G80" t="s">
        <v>68</v>
      </c>
      <c r="H80" t="s">
        <v>25</v>
      </c>
      <c r="I80" t="s">
        <v>39</v>
      </c>
    </row>
    <row r="81" spans="1:9" x14ac:dyDescent="0.45">
      <c r="A81" t="s">
        <v>3825</v>
      </c>
      <c r="B81" s="2">
        <v>46242</v>
      </c>
      <c r="C81" t="s">
        <v>52</v>
      </c>
      <c r="D81" t="s">
        <v>3826</v>
      </c>
      <c r="E81" t="s">
        <v>310</v>
      </c>
      <c r="F81">
        <v>10</v>
      </c>
      <c r="G81" t="s">
        <v>24</v>
      </c>
      <c r="H81" t="s">
        <v>25</v>
      </c>
      <c r="I81" t="s">
        <v>39</v>
      </c>
    </row>
    <row r="82" spans="1:9" x14ac:dyDescent="0.45">
      <c r="A82" t="s">
        <v>3827</v>
      </c>
      <c r="B82" s="2">
        <v>46097</v>
      </c>
      <c r="C82" t="s">
        <v>21</v>
      </c>
      <c r="D82" t="s">
        <v>3828</v>
      </c>
      <c r="E82" t="s">
        <v>38</v>
      </c>
      <c r="F82">
        <v>8</v>
      </c>
      <c r="G82" t="s">
        <v>35</v>
      </c>
      <c r="H82" t="s">
        <v>25</v>
      </c>
      <c r="I82" t="s">
        <v>19</v>
      </c>
    </row>
    <row r="83" spans="1:9" x14ac:dyDescent="0.45">
      <c r="A83" t="s">
        <v>3829</v>
      </c>
      <c r="B83" s="2">
        <v>46102</v>
      </c>
      <c r="C83" t="s">
        <v>99</v>
      </c>
      <c r="D83" t="s">
        <v>3830</v>
      </c>
      <c r="E83" t="s">
        <v>30</v>
      </c>
      <c r="F83">
        <v>5</v>
      </c>
      <c r="G83" t="s">
        <v>68</v>
      </c>
      <c r="H83" t="s">
        <v>25</v>
      </c>
      <c r="I83" t="s">
        <v>47</v>
      </c>
    </row>
    <row r="84" spans="1:9" x14ac:dyDescent="0.45">
      <c r="A84" t="s">
        <v>3831</v>
      </c>
      <c r="B84" s="2">
        <v>46150</v>
      </c>
      <c r="C84" t="s">
        <v>99</v>
      </c>
      <c r="D84" t="s">
        <v>3832</v>
      </c>
      <c r="E84" t="s">
        <v>42</v>
      </c>
      <c r="F84">
        <v>11</v>
      </c>
      <c r="G84" t="s">
        <v>43</v>
      </c>
      <c r="H84" t="s">
        <v>14</v>
      </c>
      <c r="I84" t="s">
        <v>60</v>
      </c>
    </row>
    <row r="85" spans="1:9" x14ac:dyDescent="0.45">
      <c r="A85" t="s">
        <v>3833</v>
      </c>
      <c r="B85" s="2">
        <v>46150</v>
      </c>
      <c r="C85" t="s">
        <v>21</v>
      </c>
      <c r="D85" t="s">
        <v>3834</v>
      </c>
      <c r="E85" t="s">
        <v>7973</v>
      </c>
      <c r="F85">
        <v>2</v>
      </c>
      <c r="G85" t="s">
        <v>43</v>
      </c>
      <c r="H85" t="s">
        <v>14</v>
      </c>
      <c r="I85" t="s">
        <v>26</v>
      </c>
    </row>
    <row r="86" spans="1:9" x14ac:dyDescent="0.45">
      <c r="A86" t="s">
        <v>3835</v>
      </c>
      <c r="B86" s="2">
        <v>46091</v>
      </c>
      <c r="C86" t="s">
        <v>10</v>
      </c>
      <c r="D86" t="s">
        <v>3836</v>
      </c>
      <c r="E86" t="s">
        <v>54</v>
      </c>
      <c r="F86">
        <v>10</v>
      </c>
      <c r="G86" t="s">
        <v>59</v>
      </c>
      <c r="H86" t="s">
        <v>14</v>
      </c>
      <c r="I86" t="s">
        <v>31</v>
      </c>
    </row>
    <row r="87" spans="1:9" x14ac:dyDescent="0.45">
      <c r="A87" t="s">
        <v>3837</v>
      </c>
      <c r="B87" s="2">
        <v>46195</v>
      </c>
      <c r="C87" t="s">
        <v>21</v>
      </c>
      <c r="D87" t="s">
        <v>3838</v>
      </c>
      <c r="E87" t="s">
        <v>30</v>
      </c>
      <c r="F87">
        <v>4</v>
      </c>
      <c r="G87" t="s">
        <v>68</v>
      </c>
      <c r="H87" t="s">
        <v>25</v>
      </c>
      <c r="I87" t="s">
        <v>31</v>
      </c>
    </row>
    <row r="88" spans="1:9" x14ac:dyDescent="0.45">
      <c r="A88" t="s">
        <v>3839</v>
      </c>
      <c r="B88" s="2">
        <v>46186</v>
      </c>
      <c r="C88" t="s">
        <v>21</v>
      </c>
      <c r="D88" t="s">
        <v>3840</v>
      </c>
      <c r="E88" t="s">
        <v>71</v>
      </c>
      <c r="F88">
        <v>10</v>
      </c>
      <c r="G88" t="s">
        <v>18</v>
      </c>
      <c r="H88" t="s">
        <v>14</v>
      </c>
      <c r="I88" t="s">
        <v>31</v>
      </c>
    </row>
    <row r="89" spans="1:9" x14ac:dyDescent="0.45">
      <c r="A89" t="s">
        <v>3841</v>
      </c>
      <c r="B89" s="2">
        <v>46211</v>
      </c>
      <c r="C89" t="s">
        <v>21</v>
      </c>
      <c r="D89" t="s">
        <v>3842</v>
      </c>
      <c r="E89" t="s">
        <v>30</v>
      </c>
      <c r="F89">
        <v>3</v>
      </c>
      <c r="G89" t="s">
        <v>18</v>
      </c>
      <c r="H89" t="s">
        <v>14</v>
      </c>
      <c r="I89" t="s">
        <v>19</v>
      </c>
    </row>
    <row r="90" spans="1:9" x14ac:dyDescent="0.45">
      <c r="A90" t="s">
        <v>3843</v>
      </c>
      <c r="B90" s="2">
        <v>46181</v>
      </c>
      <c r="C90" t="s">
        <v>28</v>
      </c>
      <c r="D90" t="s">
        <v>3844</v>
      </c>
      <c r="E90" t="s">
        <v>7974</v>
      </c>
      <c r="F90">
        <v>5</v>
      </c>
      <c r="G90" t="s">
        <v>55</v>
      </c>
      <c r="H90" t="s">
        <v>72</v>
      </c>
      <c r="I90" t="s">
        <v>31</v>
      </c>
    </row>
    <row r="91" spans="1:9" x14ac:dyDescent="0.45">
      <c r="A91" t="s">
        <v>3845</v>
      </c>
      <c r="B91" s="2">
        <v>46220</v>
      </c>
      <c r="C91" t="s">
        <v>66</v>
      </c>
      <c r="D91" t="s">
        <v>3846</v>
      </c>
      <c r="E91" t="s">
        <v>54</v>
      </c>
      <c r="F91">
        <v>6</v>
      </c>
      <c r="G91" t="s">
        <v>13</v>
      </c>
      <c r="H91" t="s">
        <v>14</v>
      </c>
      <c r="I91" t="s">
        <v>26</v>
      </c>
    </row>
    <row r="92" spans="1:9" x14ac:dyDescent="0.45">
      <c r="A92" t="s">
        <v>3847</v>
      </c>
      <c r="B92" s="2">
        <v>46158</v>
      </c>
      <c r="C92" t="s">
        <v>66</v>
      </c>
      <c r="D92" t="s">
        <v>3848</v>
      </c>
      <c r="E92" t="s">
        <v>7974</v>
      </c>
      <c r="F92">
        <v>9</v>
      </c>
      <c r="G92" t="s">
        <v>68</v>
      </c>
      <c r="H92" t="s">
        <v>25</v>
      </c>
      <c r="I92" t="s">
        <v>47</v>
      </c>
    </row>
    <row r="93" spans="1:9" x14ac:dyDescent="0.45">
      <c r="A93" t="s">
        <v>3849</v>
      </c>
      <c r="B93" s="2">
        <v>46093</v>
      </c>
      <c r="C93" t="s">
        <v>21</v>
      </c>
      <c r="D93" t="s">
        <v>3850</v>
      </c>
      <c r="E93" t="s">
        <v>58</v>
      </c>
      <c r="F93">
        <v>7</v>
      </c>
      <c r="G93" t="s">
        <v>35</v>
      </c>
      <c r="H93" t="s">
        <v>25</v>
      </c>
      <c r="I93" t="s">
        <v>19</v>
      </c>
    </row>
    <row r="94" spans="1:9" x14ac:dyDescent="0.45">
      <c r="A94" t="s">
        <v>3851</v>
      </c>
      <c r="B94" s="2">
        <v>46243</v>
      </c>
      <c r="C94" t="s">
        <v>16</v>
      </c>
      <c r="D94" t="s">
        <v>3852</v>
      </c>
      <c r="E94" t="s">
        <v>46</v>
      </c>
      <c r="F94">
        <v>9</v>
      </c>
      <c r="G94" t="s">
        <v>24</v>
      </c>
      <c r="H94" t="s">
        <v>25</v>
      </c>
      <c r="I94" t="s">
        <v>26</v>
      </c>
    </row>
    <row r="95" spans="1:9" x14ac:dyDescent="0.45">
      <c r="A95" t="s">
        <v>3853</v>
      </c>
      <c r="B95" s="2">
        <v>46064</v>
      </c>
      <c r="C95" t="s">
        <v>16</v>
      </c>
      <c r="D95" t="s">
        <v>3854</v>
      </c>
      <c r="E95" t="s">
        <v>54</v>
      </c>
      <c r="F95">
        <v>5</v>
      </c>
      <c r="G95" t="s">
        <v>59</v>
      </c>
      <c r="H95" t="s">
        <v>14</v>
      </c>
      <c r="I95" t="s">
        <v>31</v>
      </c>
    </row>
    <row r="96" spans="1:9" x14ac:dyDescent="0.45">
      <c r="A96" t="s">
        <v>3855</v>
      </c>
      <c r="B96" s="2">
        <v>46091</v>
      </c>
      <c r="C96" t="s">
        <v>66</v>
      </c>
      <c r="D96" t="s">
        <v>3856</v>
      </c>
      <c r="E96" t="s">
        <v>23</v>
      </c>
      <c r="F96">
        <v>9</v>
      </c>
      <c r="G96" t="s">
        <v>55</v>
      </c>
      <c r="H96" t="s">
        <v>72</v>
      </c>
      <c r="I96" t="s">
        <v>19</v>
      </c>
    </row>
    <row r="97" spans="1:9" x14ac:dyDescent="0.45">
      <c r="A97" t="s">
        <v>3857</v>
      </c>
      <c r="B97" s="2">
        <v>46064</v>
      </c>
      <c r="C97" t="s">
        <v>49</v>
      </c>
      <c r="D97" t="s">
        <v>3858</v>
      </c>
      <c r="E97" t="s">
        <v>30</v>
      </c>
      <c r="F97">
        <v>10</v>
      </c>
      <c r="G97" t="s">
        <v>35</v>
      </c>
      <c r="H97" t="s">
        <v>25</v>
      </c>
      <c r="I97" t="s">
        <v>19</v>
      </c>
    </row>
    <row r="98" spans="1:9" x14ac:dyDescent="0.45">
      <c r="A98" t="s">
        <v>3859</v>
      </c>
      <c r="B98" s="2">
        <v>46230</v>
      </c>
      <c r="C98" t="s">
        <v>16</v>
      </c>
      <c r="D98" t="s">
        <v>3860</v>
      </c>
      <c r="E98" t="s">
        <v>7967</v>
      </c>
      <c r="F98">
        <v>6</v>
      </c>
      <c r="G98" t="s">
        <v>68</v>
      </c>
      <c r="H98" t="s">
        <v>25</v>
      </c>
      <c r="I98" t="s">
        <v>31</v>
      </c>
    </row>
    <row r="99" spans="1:9" x14ac:dyDescent="0.45">
      <c r="A99" t="s">
        <v>3861</v>
      </c>
      <c r="B99" s="2">
        <v>46059</v>
      </c>
      <c r="C99" t="s">
        <v>21</v>
      </c>
      <c r="D99" t="s">
        <v>3862</v>
      </c>
      <c r="E99" t="s">
        <v>7974</v>
      </c>
      <c r="F99">
        <v>3</v>
      </c>
      <c r="G99" t="s">
        <v>59</v>
      </c>
      <c r="H99" t="s">
        <v>14</v>
      </c>
      <c r="I99" t="s">
        <v>19</v>
      </c>
    </row>
    <row r="100" spans="1:9" x14ac:dyDescent="0.45">
      <c r="A100" t="s">
        <v>3863</v>
      </c>
      <c r="B100" s="2">
        <v>46088</v>
      </c>
      <c r="C100" t="s">
        <v>16</v>
      </c>
      <c r="D100" t="s">
        <v>3864</v>
      </c>
      <c r="E100" t="s">
        <v>310</v>
      </c>
      <c r="F100">
        <v>3</v>
      </c>
      <c r="G100" t="s">
        <v>68</v>
      </c>
      <c r="H100" t="s">
        <v>25</v>
      </c>
      <c r="I100" t="s">
        <v>31</v>
      </c>
    </row>
    <row r="101" spans="1:9" x14ac:dyDescent="0.45">
      <c r="A101" t="s">
        <v>3865</v>
      </c>
      <c r="B101" s="2">
        <v>46087</v>
      </c>
      <c r="C101" t="s">
        <v>21</v>
      </c>
      <c r="D101" t="s">
        <v>3866</v>
      </c>
      <c r="E101" t="s">
        <v>46</v>
      </c>
      <c r="F101">
        <v>5</v>
      </c>
      <c r="G101" t="s">
        <v>13</v>
      </c>
      <c r="H101" t="s">
        <v>14</v>
      </c>
      <c r="I101" t="s">
        <v>19</v>
      </c>
    </row>
    <row r="102" spans="1:9" x14ac:dyDescent="0.45">
      <c r="A102" t="s">
        <v>3867</v>
      </c>
      <c r="B102" s="2">
        <v>46075</v>
      </c>
      <c r="C102" t="s">
        <v>28</v>
      </c>
      <c r="D102" t="s">
        <v>3868</v>
      </c>
      <c r="E102" t="s">
        <v>46</v>
      </c>
      <c r="F102">
        <v>4</v>
      </c>
      <c r="G102" t="s">
        <v>24</v>
      </c>
      <c r="H102" t="s">
        <v>25</v>
      </c>
      <c r="I102" t="s">
        <v>47</v>
      </c>
    </row>
    <row r="103" spans="1:9" x14ac:dyDescent="0.45">
      <c r="A103" t="s">
        <v>3869</v>
      </c>
      <c r="B103" s="2">
        <v>46149</v>
      </c>
      <c r="C103" t="s">
        <v>28</v>
      </c>
      <c r="D103" t="s">
        <v>3870</v>
      </c>
      <c r="E103" t="s">
        <v>7973</v>
      </c>
      <c r="F103">
        <v>9</v>
      </c>
      <c r="G103" t="s">
        <v>24</v>
      </c>
      <c r="H103" t="s">
        <v>25</v>
      </c>
      <c r="I103" t="s">
        <v>39</v>
      </c>
    </row>
    <row r="104" spans="1:9" x14ac:dyDescent="0.45">
      <c r="A104" t="s">
        <v>3871</v>
      </c>
      <c r="B104" s="2">
        <v>46039</v>
      </c>
      <c r="C104" t="s">
        <v>21</v>
      </c>
      <c r="D104" t="s">
        <v>3872</v>
      </c>
      <c r="E104" t="s">
        <v>75</v>
      </c>
      <c r="F104">
        <v>4</v>
      </c>
      <c r="G104" t="s">
        <v>13</v>
      </c>
      <c r="H104" t="s">
        <v>14</v>
      </c>
      <c r="I104" t="s">
        <v>31</v>
      </c>
    </row>
    <row r="105" spans="1:9" x14ac:dyDescent="0.45">
      <c r="A105" t="s">
        <v>3873</v>
      </c>
      <c r="B105" s="2">
        <v>46209</v>
      </c>
      <c r="C105" t="s">
        <v>99</v>
      </c>
      <c r="D105" t="s">
        <v>3874</v>
      </c>
      <c r="E105" t="s">
        <v>58</v>
      </c>
      <c r="F105">
        <v>6</v>
      </c>
      <c r="G105" t="s">
        <v>24</v>
      </c>
      <c r="H105" t="s">
        <v>25</v>
      </c>
      <c r="I105" t="s">
        <v>47</v>
      </c>
    </row>
    <row r="106" spans="1:9" x14ac:dyDescent="0.45">
      <c r="A106" t="s">
        <v>3875</v>
      </c>
      <c r="B106" s="2">
        <v>46221</v>
      </c>
      <c r="C106" t="s">
        <v>28</v>
      </c>
      <c r="D106" t="s">
        <v>3876</v>
      </c>
      <c r="E106" t="s">
        <v>34</v>
      </c>
      <c r="F106">
        <v>1</v>
      </c>
      <c r="G106" t="s">
        <v>43</v>
      </c>
      <c r="H106" t="s">
        <v>14</v>
      </c>
      <c r="I106" t="s">
        <v>39</v>
      </c>
    </row>
    <row r="107" spans="1:9" x14ac:dyDescent="0.45">
      <c r="A107" t="s">
        <v>3877</v>
      </c>
      <c r="B107" s="2">
        <v>46039</v>
      </c>
      <c r="C107" t="s">
        <v>52</v>
      </c>
      <c r="D107" t="s">
        <v>3878</v>
      </c>
      <c r="E107" t="s">
        <v>38</v>
      </c>
      <c r="F107">
        <v>7</v>
      </c>
      <c r="G107" t="s">
        <v>24</v>
      </c>
      <c r="H107" t="s">
        <v>25</v>
      </c>
      <c r="I107" t="s">
        <v>26</v>
      </c>
    </row>
    <row r="108" spans="1:9" x14ac:dyDescent="0.45">
      <c r="A108" t="s">
        <v>3879</v>
      </c>
      <c r="B108" s="2">
        <v>46145</v>
      </c>
      <c r="C108" t="s">
        <v>52</v>
      </c>
      <c r="D108" t="s">
        <v>3880</v>
      </c>
      <c r="E108" t="s">
        <v>71</v>
      </c>
      <c r="F108">
        <v>12</v>
      </c>
      <c r="G108" t="s">
        <v>13</v>
      </c>
      <c r="H108" t="s">
        <v>14</v>
      </c>
      <c r="I108" t="s">
        <v>39</v>
      </c>
    </row>
    <row r="109" spans="1:9" x14ac:dyDescent="0.45">
      <c r="A109" t="s">
        <v>3881</v>
      </c>
      <c r="B109" s="2">
        <v>46072</v>
      </c>
      <c r="C109" t="s">
        <v>10</v>
      </c>
      <c r="D109" t="s">
        <v>3882</v>
      </c>
      <c r="E109" t="s">
        <v>30</v>
      </c>
      <c r="F109">
        <v>8</v>
      </c>
      <c r="G109" t="s">
        <v>55</v>
      </c>
      <c r="H109" t="s">
        <v>72</v>
      </c>
      <c r="I109" t="s">
        <v>60</v>
      </c>
    </row>
    <row r="110" spans="1:9" x14ac:dyDescent="0.45">
      <c r="A110" t="s">
        <v>3883</v>
      </c>
      <c r="B110" s="2">
        <v>46111</v>
      </c>
      <c r="C110" t="s">
        <v>16</v>
      </c>
      <c r="D110" t="s">
        <v>3884</v>
      </c>
      <c r="E110" t="s">
        <v>46</v>
      </c>
      <c r="F110">
        <v>5</v>
      </c>
      <c r="G110" t="s">
        <v>24</v>
      </c>
      <c r="H110" t="s">
        <v>25</v>
      </c>
      <c r="I110" t="s">
        <v>39</v>
      </c>
    </row>
    <row r="111" spans="1:9" x14ac:dyDescent="0.45">
      <c r="A111" t="s">
        <v>3885</v>
      </c>
      <c r="B111" s="2">
        <v>46057</v>
      </c>
      <c r="C111" t="s">
        <v>16</v>
      </c>
      <c r="D111" t="s">
        <v>3886</v>
      </c>
      <c r="E111" t="s">
        <v>71</v>
      </c>
      <c r="F111">
        <v>1</v>
      </c>
      <c r="G111" t="s">
        <v>55</v>
      </c>
      <c r="H111" t="s">
        <v>72</v>
      </c>
      <c r="I111" t="s">
        <v>19</v>
      </c>
    </row>
    <row r="112" spans="1:9" x14ac:dyDescent="0.45">
      <c r="A112" t="s">
        <v>3887</v>
      </c>
      <c r="B112" s="2">
        <v>46112</v>
      </c>
      <c r="C112" t="s">
        <v>99</v>
      </c>
      <c r="D112" t="s">
        <v>3888</v>
      </c>
      <c r="E112" t="s">
        <v>54</v>
      </c>
      <c r="F112">
        <v>1</v>
      </c>
      <c r="G112" t="s">
        <v>13</v>
      </c>
      <c r="H112" t="s">
        <v>14</v>
      </c>
      <c r="I112" t="s">
        <v>47</v>
      </c>
    </row>
    <row r="113" spans="1:9" x14ac:dyDescent="0.45">
      <c r="A113" t="s">
        <v>3889</v>
      </c>
      <c r="B113" s="2">
        <v>46155</v>
      </c>
      <c r="C113" t="s">
        <v>52</v>
      </c>
      <c r="D113" t="s">
        <v>3890</v>
      </c>
      <c r="E113" t="s">
        <v>30</v>
      </c>
      <c r="F113">
        <v>11</v>
      </c>
      <c r="G113" t="s">
        <v>59</v>
      </c>
      <c r="H113" t="s">
        <v>14</v>
      </c>
      <c r="I113" t="s">
        <v>60</v>
      </c>
    </row>
    <row r="114" spans="1:9" x14ac:dyDescent="0.45">
      <c r="A114" t="s">
        <v>3891</v>
      </c>
      <c r="B114" s="2">
        <v>46221</v>
      </c>
      <c r="C114" t="s">
        <v>49</v>
      </c>
      <c r="D114" t="s">
        <v>3892</v>
      </c>
      <c r="E114" t="s">
        <v>54</v>
      </c>
      <c r="F114">
        <v>11</v>
      </c>
      <c r="G114" t="s">
        <v>35</v>
      </c>
      <c r="H114" t="s">
        <v>25</v>
      </c>
      <c r="I114" t="s">
        <v>47</v>
      </c>
    </row>
    <row r="115" spans="1:9" x14ac:dyDescent="0.45">
      <c r="A115" t="s">
        <v>3893</v>
      </c>
      <c r="B115" s="2">
        <v>46084</v>
      </c>
      <c r="C115" t="s">
        <v>99</v>
      </c>
      <c r="D115" t="s">
        <v>3894</v>
      </c>
      <c r="E115" t="s">
        <v>71</v>
      </c>
      <c r="F115">
        <v>3</v>
      </c>
      <c r="G115" t="s">
        <v>55</v>
      </c>
      <c r="H115" t="s">
        <v>72</v>
      </c>
      <c r="I115" t="s">
        <v>39</v>
      </c>
    </row>
    <row r="116" spans="1:9" x14ac:dyDescent="0.45">
      <c r="A116" t="s">
        <v>3895</v>
      </c>
      <c r="B116" s="2">
        <v>46103</v>
      </c>
      <c r="C116" t="s">
        <v>21</v>
      </c>
      <c r="D116" t="s">
        <v>3896</v>
      </c>
      <c r="E116" t="s">
        <v>58</v>
      </c>
      <c r="F116">
        <v>9</v>
      </c>
      <c r="G116" t="s">
        <v>59</v>
      </c>
      <c r="H116" t="s">
        <v>14</v>
      </c>
      <c r="I116" t="s">
        <v>19</v>
      </c>
    </row>
    <row r="117" spans="1:9" x14ac:dyDescent="0.45">
      <c r="A117" t="s">
        <v>3897</v>
      </c>
      <c r="B117" s="2">
        <v>46122</v>
      </c>
      <c r="C117" t="s">
        <v>28</v>
      </c>
      <c r="D117" t="s">
        <v>3898</v>
      </c>
      <c r="E117" t="s">
        <v>42</v>
      </c>
      <c r="F117">
        <v>1</v>
      </c>
      <c r="G117" t="s">
        <v>13</v>
      </c>
      <c r="H117" t="s">
        <v>14</v>
      </c>
      <c r="I117" t="s">
        <v>26</v>
      </c>
    </row>
    <row r="118" spans="1:9" x14ac:dyDescent="0.45">
      <c r="A118" t="s">
        <v>3899</v>
      </c>
      <c r="B118" s="2">
        <v>46076</v>
      </c>
      <c r="C118" t="s">
        <v>49</v>
      </c>
      <c r="D118" t="s">
        <v>3900</v>
      </c>
      <c r="E118" t="s">
        <v>7973</v>
      </c>
      <c r="F118">
        <v>5</v>
      </c>
      <c r="G118" t="s">
        <v>59</v>
      </c>
      <c r="H118" t="s">
        <v>14</v>
      </c>
      <c r="I118" t="s">
        <v>31</v>
      </c>
    </row>
    <row r="119" spans="1:9" x14ac:dyDescent="0.45">
      <c r="A119" t="s">
        <v>3901</v>
      </c>
      <c r="B119" s="2">
        <v>46066</v>
      </c>
      <c r="C119" t="s">
        <v>21</v>
      </c>
      <c r="D119" t="s">
        <v>3902</v>
      </c>
      <c r="E119" t="s">
        <v>7973</v>
      </c>
      <c r="F119">
        <v>6</v>
      </c>
      <c r="G119" t="s">
        <v>13</v>
      </c>
      <c r="H119" t="s">
        <v>14</v>
      </c>
      <c r="I119" t="s">
        <v>31</v>
      </c>
    </row>
    <row r="120" spans="1:9" x14ac:dyDescent="0.45">
      <c r="A120" t="s">
        <v>3903</v>
      </c>
      <c r="B120" s="2">
        <v>46104</v>
      </c>
      <c r="C120" t="s">
        <v>52</v>
      </c>
      <c r="D120" t="s">
        <v>3904</v>
      </c>
      <c r="E120" t="s">
        <v>38</v>
      </c>
      <c r="F120">
        <v>4</v>
      </c>
      <c r="G120" t="s">
        <v>55</v>
      </c>
      <c r="H120" t="s">
        <v>72</v>
      </c>
      <c r="I120" t="s">
        <v>47</v>
      </c>
    </row>
    <row r="121" spans="1:9" x14ac:dyDescent="0.45">
      <c r="A121" t="s">
        <v>3905</v>
      </c>
      <c r="B121" s="2">
        <v>46044</v>
      </c>
      <c r="C121" t="s">
        <v>28</v>
      </c>
      <c r="D121" t="s">
        <v>3906</v>
      </c>
      <c r="E121" t="s">
        <v>7973</v>
      </c>
      <c r="F121">
        <v>6</v>
      </c>
      <c r="G121" t="s">
        <v>68</v>
      </c>
      <c r="H121" t="s">
        <v>25</v>
      </c>
      <c r="I121" t="s">
        <v>39</v>
      </c>
    </row>
    <row r="122" spans="1:9" x14ac:dyDescent="0.45">
      <c r="A122" t="s">
        <v>3907</v>
      </c>
      <c r="B122" s="2">
        <v>46107</v>
      </c>
      <c r="C122" t="s">
        <v>52</v>
      </c>
      <c r="D122" t="s">
        <v>3908</v>
      </c>
      <c r="E122" t="s">
        <v>58</v>
      </c>
      <c r="F122">
        <v>5</v>
      </c>
      <c r="G122" t="s">
        <v>59</v>
      </c>
      <c r="H122" t="s">
        <v>14</v>
      </c>
      <c r="I122" t="s">
        <v>47</v>
      </c>
    </row>
    <row r="123" spans="1:9" x14ac:dyDescent="0.45">
      <c r="A123" t="s">
        <v>3909</v>
      </c>
      <c r="B123" s="2">
        <v>46161</v>
      </c>
      <c r="C123" t="s">
        <v>21</v>
      </c>
      <c r="D123" t="s">
        <v>3910</v>
      </c>
      <c r="E123" t="s">
        <v>42</v>
      </c>
      <c r="F123">
        <v>9</v>
      </c>
      <c r="G123" t="s">
        <v>24</v>
      </c>
      <c r="H123" t="s">
        <v>25</v>
      </c>
      <c r="I123" t="s">
        <v>60</v>
      </c>
    </row>
    <row r="124" spans="1:9" x14ac:dyDescent="0.45">
      <c r="A124" t="s">
        <v>3911</v>
      </c>
      <c r="B124" s="2">
        <v>46093</v>
      </c>
      <c r="C124" t="s">
        <v>66</v>
      </c>
      <c r="D124" t="s">
        <v>3912</v>
      </c>
      <c r="E124" t="s">
        <v>7974</v>
      </c>
      <c r="F124">
        <v>9</v>
      </c>
      <c r="G124" t="s">
        <v>18</v>
      </c>
      <c r="H124" t="s">
        <v>14</v>
      </c>
      <c r="I124" t="s">
        <v>60</v>
      </c>
    </row>
    <row r="125" spans="1:9" x14ac:dyDescent="0.45">
      <c r="A125" t="s">
        <v>3913</v>
      </c>
      <c r="B125" s="2">
        <v>46129</v>
      </c>
      <c r="C125" t="s">
        <v>28</v>
      </c>
      <c r="D125" t="s">
        <v>3914</v>
      </c>
      <c r="E125" t="s">
        <v>46</v>
      </c>
      <c r="F125">
        <v>8</v>
      </c>
      <c r="G125" t="s">
        <v>43</v>
      </c>
      <c r="H125" t="s">
        <v>14</v>
      </c>
      <c r="I125" t="s">
        <v>31</v>
      </c>
    </row>
    <row r="126" spans="1:9" x14ac:dyDescent="0.45">
      <c r="A126" t="s">
        <v>3915</v>
      </c>
      <c r="B126" s="2">
        <v>46070</v>
      </c>
      <c r="C126" t="s">
        <v>10</v>
      </c>
      <c r="D126" t="s">
        <v>3916</v>
      </c>
      <c r="E126" t="s">
        <v>7974</v>
      </c>
      <c r="F126">
        <v>10</v>
      </c>
      <c r="G126" t="s">
        <v>68</v>
      </c>
      <c r="H126" t="s">
        <v>25</v>
      </c>
      <c r="I126" t="s">
        <v>39</v>
      </c>
    </row>
    <row r="127" spans="1:9" x14ac:dyDescent="0.45">
      <c r="A127" t="s">
        <v>3917</v>
      </c>
      <c r="B127" s="2">
        <v>46269</v>
      </c>
      <c r="C127" t="s">
        <v>10</v>
      </c>
      <c r="D127" t="s">
        <v>3918</v>
      </c>
      <c r="E127" t="s">
        <v>75</v>
      </c>
      <c r="F127">
        <v>11</v>
      </c>
      <c r="G127" t="s">
        <v>18</v>
      </c>
      <c r="H127" t="s">
        <v>14</v>
      </c>
      <c r="I127" t="s">
        <v>39</v>
      </c>
    </row>
    <row r="128" spans="1:9" x14ac:dyDescent="0.45">
      <c r="A128" t="s">
        <v>3919</v>
      </c>
      <c r="B128" s="2">
        <v>46259</v>
      </c>
      <c r="C128" t="s">
        <v>16</v>
      </c>
      <c r="D128" t="s">
        <v>3920</v>
      </c>
      <c r="E128" t="s">
        <v>7973</v>
      </c>
      <c r="F128">
        <v>4</v>
      </c>
      <c r="G128" t="s">
        <v>35</v>
      </c>
      <c r="H128" t="s">
        <v>25</v>
      </c>
      <c r="I128" t="s">
        <v>60</v>
      </c>
    </row>
    <row r="129" spans="1:9" x14ac:dyDescent="0.45">
      <c r="A129" t="s">
        <v>3921</v>
      </c>
      <c r="B129" s="2">
        <v>46089</v>
      </c>
      <c r="C129" t="s">
        <v>52</v>
      </c>
      <c r="D129" t="s">
        <v>3922</v>
      </c>
      <c r="E129" t="s">
        <v>7974</v>
      </c>
      <c r="F129">
        <v>7</v>
      </c>
      <c r="G129" t="s">
        <v>59</v>
      </c>
      <c r="H129" t="s">
        <v>14</v>
      </c>
      <c r="I129" t="s">
        <v>39</v>
      </c>
    </row>
    <row r="130" spans="1:9" x14ac:dyDescent="0.45">
      <c r="A130" t="s">
        <v>3923</v>
      </c>
      <c r="B130" s="2">
        <v>46210</v>
      </c>
      <c r="C130" t="s">
        <v>21</v>
      </c>
      <c r="D130" t="s">
        <v>3924</v>
      </c>
      <c r="E130" t="s">
        <v>46</v>
      </c>
      <c r="F130">
        <v>2</v>
      </c>
      <c r="G130" t="s">
        <v>59</v>
      </c>
      <c r="H130" t="s">
        <v>14</v>
      </c>
      <c r="I130" t="s">
        <v>26</v>
      </c>
    </row>
    <row r="131" spans="1:9" x14ac:dyDescent="0.45">
      <c r="A131" t="s">
        <v>3925</v>
      </c>
      <c r="B131" s="2">
        <v>46147</v>
      </c>
      <c r="C131" t="s">
        <v>49</v>
      </c>
      <c r="D131" t="s">
        <v>3926</v>
      </c>
      <c r="E131" t="s">
        <v>34</v>
      </c>
      <c r="F131">
        <v>6</v>
      </c>
      <c r="G131" t="s">
        <v>68</v>
      </c>
      <c r="H131" t="s">
        <v>25</v>
      </c>
      <c r="I131" t="s">
        <v>26</v>
      </c>
    </row>
    <row r="132" spans="1:9" x14ac:dyDescent="0.45">
      <c r="A132" t="s">
        <v>3927</v>
      </c>
      <c r="B132" s="2">
        <v>46040</v>
      </c>
      <c r="C132" t="s">
        <v>16</v>
      </c>
      <c r="D132" t="s">
        <v>3928</v>
      </c>
      <c r="E132" t="s">
        <v>46</v>
      </c>
      <c r="F132">
        <v>5</v>
      </c>
      <c r="G132" t="s">
        <v>24</v>
      </c>
      <c r="H132" t="s">
        <v>25</v>
      </c>
      <c r="I132" t="s">
        <v>47</v>
      </c>
    </row>
    <row r="133" spans="1:9" x14ac:dyDescent="0.45">
      <c r="A133" t="s">
        <v>3929</v>
      </c>
      <c r="B133" s="2">
        <v>46246</v>
      </c>
      <c r="C133" t="s">
        <v>16</v>
      </c>
      <c r="D133" t="s">
        <v>3930</v>
      </c>
      <c r="E133" t="s">
        <v>163</v>
      </c>
      <c r="F133">
        <v>8</v>
      </c>
      <c r="G133" t="s">
        <v>13</v>
      </c>
      <c r="H133" t="s">
        <v>14</v>
      </c>
      <c r="I133" t="s">
        <v>26</v>
      </c>
    </row>
    <row r="134" spans="1:9" x14ac:dyDescent="0.45">
      <c r="A134" t="s">
        <v>3931</v>
      </c>
      <c r="B134" s="2">
        <v>46115</v>
      </c>
      <c r="C134" t="s">
        <v>66</v>
      </c>
      <c r="D134" t="s">
        <v>3932</v>
      </c>
      <c r="E134" t="s">
        <v>75</v>
      </c>
      <c r="F134">
        <v>2</v>
      </c>
      <c r="G134" t="s">
        <v>68</v>
      </c>
      <c r="H134" t="s">
        <v>25</v>
      </c>
      <c r="I134" t="s">
        <v>60</v>
      </c>
    </row>
    <row r="135" spans="1:9" x14ac:dyDescent="0.45">
      <c r="A135" t="s">
        <v>3933</v>
      </c>
      <c r="B135" s="2">
        <v>46151</v>
      </c>
      <c r="C135" t="s">
        <v>49</v>
      </c>
      <c r="D135" t="s">
        <v>3934</v>
      </c>
      <c r="E135" t="s">
        <v>7973</v>
      </c>
      <c r="F135">
        <v>7</v>
      </c>
      <c r="G135" t="s">
        <v>35</v>
      </c>
      <c r="H135" t="s">
        <v>25</v>
      </c>
      <c r="I135" t="s">
        <v>39</v>
      </c>
    </row>
    <row r="136" spans="1:9" x14ac:dyDescent="0.45">
      <c r="A136" t="s">
        <v>3935</v>
      </c>
      <c r="B136" s="2">
        <v>46164</v>
      </c>
      <c r="C136" t="s">
        <v>52</v>
      </c>
      <c r="D136" t="s">
        <v>3936</v>
      </c>
      <c r="E136" t="s">
        <v>71</v>
      </c>
      <c r="F136">
        <v>1</v>
      </c>
      <c r="G136" t="s">
        <v>59</v>
      </c>
      <c r="H136" t="s">
        <v>14</v>
      </c>
      <c r="I136" t="s">
        <v>19</v>
      </c>
    </row>
    <row r="137" spans="1:9" x14ac:dyDescent="0.45">
      <c r="A137" t="s">
        <v>3937</v>
      </c>
      <c r="B137" s="2">
        <v>46204</v>
      </c>
      <c r="C137" t="s">
        <v>28</v>
      </c>
      <c r="D137" t="s">
        <v>3938</v>
      </c>
      <c r="E137" t="s">
        <v>30</v>
      </c>
      <c r="F137">
        <v>5</v>
      </c>
      <c r="G137" t="s">
        <v>35</v>
      </c>
      <c r="H137" t="s">
        <v>25</v>
      </c>
      <c r="I137" t="s">
        <v>47</v>
      </c>
    </row>
    <row r="138" spans="1:9" x14ac:dyDescent="0.45">
      <c r="A138" t="s">
        <v>3939</v>
      </c>
      <c r="B138" s="2">
        <v>46031</v>
      </c>
      <c r="C138" t="s">
        <v>16</v>
      </c>
      <c r="D138" t="s">
        <v>3940</v>
      </c>
      <c r="E138" t="s">
        <v>54</v>
      </c>
      <c r="F138">
        <v>12</v>
      </c>
      <c r="G138" t="s">
        <v>43</v>
      </c>
      <c r="H138" t="s">
        <v>14</v>
      </c>
      <c r="I138" t="s">
        <v>19</v>
      </c>
    </row>
    <row r="139" spans="1:9" x14ac:dyDescent="0.45">
      <c r="A139" t="s">
        <v>3941</v>
      </c>
      <c r="B139" s="2">
        <v>46047</v>
      </c>
      <c r="C139" t="s">
        <v>21</v>
      </c>
      <c r="D139" t="s">
        <v>3942</v>
      </c>
      <c r="E139" t="s">
        <v>30</v>
      </c>
      <c r="F139">
        <v>2</v>
      </c>
      <c r="G139" t="s">
        <v>18</v>
      </c>
      <c r="H139" t="s">
        <v>14</v>
      </c>
      <c r="I139" t="s">
        <v>31</v>
      </c>
    </row>
    <row r="140" spans="1:9" x14ac:dyDescent="0.45">
      <c r="A140" t="s">
        <v>3943</v>
      </c>
      <c r="B140" s="2">
        <v>46074</v>
      </c>
      <c r="C140" t="s">
        <v>49</v>
      </c>
      <c r="D140" t="s">
        <v>3944</v>
      </c>
      <c r="E140" t="s">
        <v>71</v>
      </c>
      <c r="F140">
        <v>5</v>
      </c>
      <c r="G140" t="s">
        <v>55</v>
      </c>
      <c r="H140" t="s">
        <v>72</v>
      </c>
      <c r="I140" t="s">
        <v>60</v>
      </c>
    </row>
    <row r="141" spans="1:9" x14ac:dyDescent="0.45">
      <c r="A141" t="s">
        <v>3945</v>
      </c>
      <c r="B141" s="2">
        <v>46155</v>
      </c>
      <c r="C141" t="s">
        <v>66</v>
      </c>
      <c r="D141" t="s">
        <v>3946</v>
      </c>
      <c r="E141" t="s">
        <v>54</v>
      </c>
      <c r="F141">
        <v>6</v>
      </c>
      <c r="G141" t="s">
        <v>43</v>
      </c>
      <c r="H141" t="s">
        <v>14</v>
      </c>
      <c r="I141" t="s">
        <v>19</v>
      </c>
    </row>
    <row r="142" spans="1:9" x14ac:dyDescent="0.45">
      <c r="A142" t="s">
        <v>3947</v>
      </c>
      <c r="B142" s="2">
        <v>46160</v>
      </c>
      <c r="C142" t="s">
        <v>21</v>
      </c>
      <c r="D142" t="s">
        <v>3948</v>
      </c>
      <c r="E142" t="s">
        <v>7973</v>
      </c>
      <c r="F142">
        <v>1</v>
      </c>
      <c r="G142" t="s">
        <v>68</v>
      </c>
      <c r="H142" t="s">
        <v>25</v>
      </c>
      <c r="I142" t="s">
        <v>19</v>
      </c>
    </row>
    <row r="143" spans="1:9" x14ac:dyDescent="0.45">
      <c r="A143" t="s">
        <v>3949</v>
      </c>
      <c r="B143" s="2">
        <v>46055</v>
      </c>
      <c r="C143" t="s">
        <v>28</v>
      </c>
      <c r="D143" t="s">
        <v>3950</v>
      </c>
      <c r="E143" t="s">
        <v>30</v>
      </c>
      <c r="F143">
        <v>4</v>
      </c>
      <c r="G143" t="s">
        <v>55</v>
      </c>
      <c r="H143" t="s">
        <v>72</v>
      </c>
      <c r="I143" t="s">
        <v>60</v>
      </c>
    </row>
    <row r="144" spans="1:9" x14ac:dyDescent="0.45">
      <c r="A144" t="s">
        <v>3951</v>
      </c>
      <c r="B144" s="2">
        <v>46084</v>
      </c>
      <c r="C144" t="s">
        <v>66</v>
      </c>
      <c r="D144" t="s">
        <v>3952</v>
      </c>
      <c r="E144" t="s">
        <v>7974</v>
      </c>
      <c r="F144">
        <v>3</v>
      </c>
      <c r="G144" t="s">
        <v>59</v>
      </c>
      <c r="H144" t="s">
        <v>14</v>
      </c>
      <c r="I144" t="s">
        <v>19</v>
      </c>
    </row>
    <row r="145" spans="1:9" x14ac:dyDescent="0.45">
      <c r="A145" t="s">
        <v>3953</v>
      </c>
      <c r="B145" s="2">
        <v>46248</v>
      </c>
      <c r="C145" t="s">
        <v>49</v>
      </c>
      <c r="D145" t="s">
        <v>3954</v>
      </c>
      <c r="E145" t="s">
        <v>75</v>
      </c>
      <c r="F145">
        <v>10</v>
      </c>
      <c r="G145" t="s">
        <v>55</v>
      </c>
      <c r="H145" t="s">
        <v>72</v>
      </c>
      <c r="I145" t="s">
        <v>60</v>
      </c>
    </row>
    <row r="146" spans="1:9" x14ac:dyDescent="0.45">
      <c r="A146" t="s">
        <v>3955</v>
      </c>
      <c r="B146" s="2">
        <v>46168</v>
      </c>
      <c r="C146" t="s">
        <v>28</v>
      </c>
      <c r="D146" t="s">
        <v>3956</v>
      </c>
      <c r="E146" t="s">
        <v>58</v>
      </c>
      <c r="F146">
        <v>2</v>
      </c>
      <c r="G146" t="s">
        <v>59</v>
      </c>
      <c r="H146" t="s">
        <v>14</v>
      </c>
      <c r="I146" t="s">
        <v>31</v>
      </c>
    </row>
    <row r="147" spans="1:9" x14ac:dyDescent="0.45">
      <c r="A147" t="s">
        <v>3957</v>
      </c>
      <c r="B147" s="2">
        <v>46134</v>
      </c>
      <c r="C147" t="s">
        <v>21</v>
      </c>
      <c r="D147" t="s">
        <v>3958</v>
      </c>
      <c r="E147" t="s">
        <v>23</v>
      </c>
      <c r="F147">
        <v>1</v>
      </c>
      <c r="G147" t="s">
        <v>7967</v>
      </c>
      <c r="H147" t="s">
        <v>25</v>
      </c>
      <c r="I147" t="s">
        <v>26</v>
      </c>
    </row>
    <row r="148" spans="1:9" x14ac:dyDescent="0.45">
      <c r="A148" t="s">
        <v>3959</v>
      </c>
      <c r="B148" s="2">
        <v>46042</v>
      </c>
      <c r="C148" t="s">
        <v>16</v>
      </c>
      <c r="D148" t="s">
        <v>3960</v>
      </c>
      <c r="E148" t="s">
        <v>42</v>
      </c>
      <c r="F148">
        <v>1</v>
      </c>
      <c r="G148" t="s">
        <v>35</v>
      </c>
      <c r="H148" t="s">
        <v>25</v>
      </c>
      <c r="I148" t="s">
        <v>26</v>
      </c>
    </row>
    <row r="149" spans="1:9" x14ac:dyDescent="0.45">
      <c r="A149" t="s">
        <v>3961</v>
      </c>
      <c r="B149" s="2">
        <v>46079</v>
      </c>
      <c r="C149" t="s">
        <v>66</v>
      </c>
      <c r="D149" t="s">
        <v>3962</v>
      </c>
      <c r="E149" t="s">
        <v>38</v>
      </c>
      <c r="F149">
        <v>1</v>
      </c>
      <c r="G149" t="s">
        <v>35</v>
      </c>
      <c r="H149" t="s">
        <v>25</v>
      </c>
      <c r="I149" t="s">
        <v>39</v>
      </c>
    </row>
    <row r="150" spans="1:9" x14ac:dyDescent="0.45">
      <c r="A150" t="s">
        <v>3963</v>
      </c>
      <c r="B150" s="2">
        <v>46191</v>
      </c>
      <c r="C150" t="s">
        <v>49</v>
      </c>
      <c r="D150" t="s">
        <v>3964</v>
      </c>
      <c r="E150" t="s">
        <v>23</v>
      </c>
      <c r="F150">
        <v>5</v>
      </c>
      <c r="G150" t="s">
        <v>55</v>
      </c>
      <c r="H150" t="s">
        <v>72</v>
      </c>
      <c r="I150" t="s">
        <v>47</v>
      </c>
    </row>
    <row r="151" spans="1:9" x14ac:dyDescent="0.45">
      <c r="A151" t="s">
        <v>3965</v>
      </c>
      <c r="B151" s="2">
        <v>46218</v>
      </c>
      <c r="C151" t="s">
        <v>21</v>
      </c>
      <c r="D151" t="s">
        <v>3966</v>
      </c>
      <c r="E151" t="s">
        <v>75</v>
      </c>
      <c r="F151">
        <v>4</v>
      </c>
      <c r="G151" t="s">
        <v>24</v>
      </c>
      <c r="H151" t="s">
        <v>25</v>
      </c>
      <c r="I151" t="s">
        <v>19</v>
      </c>
    </row>
    <row r="152" spans="1:9" x14ac:dyDescent="0.45">
      <c r="A152" t="s">
        <v>3967</v>
      </c>
      <c r="B152" s="2">
        <v>46109</v>
      </c>
      <c r="C152" t="s">
        <v>28</v>
      </c>
      <c r="D152" t="s">
        <v>3968</v>
      </c>
      <c r="E152" t="s">
        <v>30</v>
      </c>
      <c r="F152">
        <v>6</v>
      </c>
      <c r="G152" t="s">
        <v>35</v>
      </c>
      <c r="H152" t="s">
        <v>25</v>
      </c>
      <c r="I152" t="s">
        <v>39</v>
      </c>
    </row>
    <row r="153" spans="1:9" x14ac:dyDescent="0.45">
      <c r="A153" t="s">
        <v>3969</v>
      </c>
      <c r="B153" s="2">
        <v>46081</v>
      </c>
      <c r="C153" t="s">
        <v>49</v>
      </c>
      <c r="D153" t="s">
        <v>3970</v>
      </c>
      <c r="E153" t="s">
        <v>71</v>
      </c>
      <c r="F153">
        <v>12</v>
      </c>
      <c r="G153" t="s">
        <v>35</v>
      </c>
      <c r="H153" t="s">
        <v>25</v>
      </c>
      <c r="I153" t="s">
        <v>26</v>
      </c>
    </row>
    <row r="154" spans="1:9" x14ac:dyDescent="0.45">
      <c r="A154" t="s">
        <v>3971</v>
      </c>
      <c r="B154" s="2">
        <v>46131</v>
      </c>
      <c r="C154" t="s">
        <v>66</v>
      </c>
      <c r="D154" t="s">
        <v>3972</v>
      </c>
      <c r="E154" t="s">
        <v>7974</v>
      </c>
      <c r="F154">
        <v>10</v>
      </c>
      <c r="G154" t="s">
        <v>68</v>
      </c>
      <c r="H154" t="s">
        <v>25</v>
      </c>
      <c r="I154" t="s">
        <v>60</v>
      </c>
    </row>
    <row r="155" spans="1:9" x14ac:dyDescent="0.45">
      <c r="A155" t="s">
        <v>3973</v>
      </c>
      <c r="B155" s="2">
        <v>46260</v>
      </c>
      <c r="C155" t="s">
        <v>16</v>
      </c>
      <c r="D155" t="s">
        <v>3974</v>
      </c>
      <c r="E155" t="s">
        <v>71</v>
      </c>
      <c r="F155">
        <v>10</v>
      </c>
      <c r="G155" t="s">
        <v>68</v>
      </c>
      <c r="H155" t="s">
        <v>25</v>
      </c>
      <c r="I155" t="s">
        <v>19</v>
      </c>
    </row>
    <row r="156" spans="1:9" x14ac:dyDescent="0.45">
      <c r="A156" t="s">
        <v>3975</v>
      </c>
      <c r="B156" s="2">
        <v>46215</v>
      </c>
      <c r="C156" t="s">
        <v>99</v>
      </c>
      <c r="D156" t="s">
        <v>3976</v>
      </c>
      <c r="E156" t="s">
        <v>71</v>
      </c>
      <c r="F156">
        <v>2</v>
      </c>
      <c r="G156" t="s">
        <v>68</v>
      </c>
      <c r="H156" t="s">
        <v>25</v>
      </c>
      <c r="I156" t="s">
        <v>47</v>
      </c>
    </row>
    <row r="157" spans="1:9" x14ac:dyDescent="0.45">
      <c r="A157" t="s">
        <v>3977</v>
      </c>
      <c r="B157" s="2">
        <v>46219</v>
      </c>
      <c r="C157" t="s">
        <v>16</v>
      </c>
      <c r="D157" t="s">
        <v>3978</v>
      </c>
      <c r="E157" t="s">
        <v>46</v>
      </c>
      <c r="F157">
        <v>1</v>
      </c>
      <c r="G157" t="s">
        <v>24</v>
      </c>
      <c r="H157" t="s">
        <v>25</v>
      </c>
      <c r="I157" t="s">
        <v>60</v>
      </c>
    </row>
    <row r="158" spans="1:9" x14ac:dyDescent="0.45">
      <c r="A158" t="s">
        <v>3979</v>
      </c>
      <c r="B158" s="2">
        <v>46108</v>
      </c>
      <c r="C158" t="s">
        <v>66</v>
      </c>
      <c r="D158" t="s">
        <v>3980</v>
      </c>
      <c r="E158" t="s">
        <v>58</v>
      </c>
      <c r="F158">
        <v>8</v>
      </c>
      <c r="G158" t="s">
        <v>59</v>
      </c>
      <c r="H158" t="s">
        <v>14</v>
      </c>
      <c r="I158" t="s">
        <v>19</v>
      </c>
    </row>
    <row r="159" spans="1:9" x14ac:dyDescent="0.45">
      <c r="A159" t="s">
        <v>3981</v>
      </c>
      <c r="B159" s="2">
        <v>46194</v>
      </c>
      <c r="C159" t="s">
        <v>66</v>
      </c>
      <c r="D159" t="s">
        <v>3982</v>
      </c>
      <c r="E159" t="s">
        <v>23</v>
      </c>
      <c r="F159">
        <v>11</v>
      </c>
      <c r="G159" t="s">
        <v>43</v>
      </c>
      <c r="H159" t="s">
        <v>14</v>
      </c>
      <c r="I159" t="s">
        <v>60</v>
      </c>
    </row>
    <row r="160" spans="1:9" x14ac:dyDescent="0.45">
      <c r="A160" t="s">
        <v>3983</v>
      </c>
      <c r="B160" s="2">
        <v>46240</v>
      </c>
      <c r="C160" t="s">
        <v>10</v>
      </c>
      <c r="D160" t="s">
        <v>3984</v>
      </c>
      <c r="E160" t="s">
        <v>42</v>
      </c>
      <c r="F160">
        <v>8</v>
      </c>
      <c r="G160" t="s">
        <v>68</v>
      </c>
      <c r="H160" t="s">
        <v>25</v>
      </c>
      <c r="I160" t="s">
        <v>26</v>
      </c>
    </row>
    <row r="161" spans="1:9" x14ac:dyDescent="0.45">
      <c r="A161" t="s">
        <v>3985</v>
      </c>
      <c r="B161" s="2">
        <v>46108</v>
      </c>
      <c r="C161" t="s">
        <v>16</v>
      </c>
      <c r="D161" t="s">
        <v>3986</v>
      </c>
      <c r="E161" t="s">
        <v>42</v>
      </c>
      <c r="F161">
        <v>1</v>
      </c>
      <c r="G161" t="s">
        <v>68</v>
      </c>
      <c r="H161" t="s">
        <v>25</v>
      </c>
      <c r="I161" t="s">
        <v>26</v>
      </c>
    </row>
    <row r="162" spans="1:9" x14ac:dyDescent="0.45">
      <c r="A162" t="s">
        <v>3987</v>
      </c>
      <c r="B162" s="2">
        <v>46118</v>
      </c>
      <c r="C162" t="s">
        <v>66</v>
      </c>
      <c r="D162" t="s">
        <v>3988</v>
      </c>
      <c r="E162" t="s">
        <v>30</v>
      </c>
      <c r="F162">
        <v>6</v>
      </c>
      <c r="G162" t="s">
        <v>43</v>
      </c>
      <c r="H162" t="s">
        <v>14</v>
      </c>
      <c r="I162" t="s">
        <v>31</v>
      </c>
    </row>
    <row r="163" spans="1:9" x14ac:dyDescent="0.45">
      <c r="A163" t="s">
        <v>3989</v>
      </c>
      <c r="B163" s="2">
        <v>46041</v>
      </c>
      <c r="C163" t="s">
        <v>49</v>
      </c>
      <c r="D163" t="s">
        <v>3990</v>
      </c>
      <c r="E163" t="s">
        <v>46</v>
      </c>
      <c r="F163">
        <v>2</v>
      </c>
      <c r="G163" t="s">
        <v>68</v>
      </c>
      <c r="H163" t="s">
        <v>25</v>
      </c>
      <c r="I163" t="s">
        <v>19</v>
      </c>
    </row>
    <row r="164" spans="1:9" x14ac:dyDescent="0.45">
      <c r="A164" t="s">
        <v>3991</v>
      </c>
      <c r="B164" s="2">
        <v>46044</v>
      </c>
      <c r="C164" t="s">
        <v>21</v>
      </c>
      <c r="D164" t="s">
        <v>3992</v>
      </c>
      <c r="E164" t="s">
        <v>30</v>
      </c>
      <c r="F164">
        <v>1</v>
      </c>
      <c r="G164" t="s">
        <v>13</v>
      </c>
      <c r="H164" t="s">
        <v>14</v>
      </c>
      <c r="I164" t="s">
        <v>19</v>
      </c>
    </row>
    <row r="165" spans="1:9" x14ac:dyDescent="0.45">
      <c r="A165" t="s">
        <v>3993</v>
      </c>
      <c r="B165" s="2">
        <v>46259</v>
      </c>
      <c r="C165" t="s">
        <v>99</v>
      </c>
      <c r="D165" t="s">
        <v>3994</v>
      </c>
      <c r="E165" t="s">
        <v>7974</v>
      </c>
      <c r="F165">
        <v>7</v>
      </c>
      <c r="G165" t="s">
        <v>13</v>
      </c>
      <c r="H165" t="s">
        <v>14</v>
      </c>
      <c r="I165" t="s">
        <v>19</v>
      </c>
    </row>
    <row r="166" spans="1:9" x14ac:dyDescent="0.45">
      <c r="A166" t="s">
        <v>3995</v>
      </c>
      <c r="B166" s="2">
        <v>46083</v>
      </c>
      <c r="C166" t="s">
        <v>28</v>
      </c>
      <c r="D166" t="s">
        <v>3996</v>
      </c>
      <c r="E166" t="s">
        <v>75</v>
      </c>
      <c r="F166">
        <v>2</v>
      </c>
      <c r="G166" t="s">
        <v>43</v>
      </c>
      <c r="H166" t="s">
        <v>14</v>
      </c>
      <c r="I166" t="s">
        <v>31</v>
      </c>
    </row>
    <row r="167" spans="1:9" x14ac:dyDescent="0.45">
      <c r="A167" t="s">
        <v>3997</v>
      </c>
      <c r="B167" s="2">
        <v>46167</v>
      </c>
      <c r="C167" t="s">
        <v>52</v>
      </c>
      <c r="D167" t="s">
        <v>3998</v>
      </c>
      <c r="E167" t="s">
        <v>38</v>
      </c>
      <c r="F167">
        <v>6</v>
      </c>
      <c r="G167" t="s">
        <v>43</v>
      </c>
      <c r="H167" t="s">
        <v>14</v>
      </c>
      <c r="I167" t="s">
        <v>60</v>
      </c>
    </row>
    <row r="168" spans="1:9" x14ac:dyDescent="0.45">
      <c r="A168" t="s">
        <v>3999</v>
      </c>
      <c r="B168" s="2">
        <v>46216</v>
      </c>
      <c r="C168" t="s">
        <v>16</v>
      </c>
      <c r="D168" t="s">
        <v>4000</v>
      </c>
      <c r="E168" t="s">
        <v>38</v>
      </c>
      <c r="F168">
        <v>10</v>
      </c>
      <c r="G168" t="s">
        <v>59</v>
      </c>
      <c r="H168" t="s">
        <v>14</v>
      </c>
      <c r="I168" t="s">
        <v>31</v>
      </c>
    </row>
    <row r="169" spans="1:9" x14ac:dyDescent="0.45">
      <c r="A169" t="s">
        <v>4001</v>
      </c>
      <c r="B169" s="2">
        <v>46179</v>
      </c>
      <c r="C169" t="s">
        <v>52</v>
      </c>
      <c r="D169" t="s">
        <v>4002</v>
      </c>
      <c r="E169" t="s">
        <v>866</v>
      </c>
      <c r="F169">
        <v>6</v>
      </c>
      <c r="G169" t="s">
        <v>24</v>
      </c>
      <c r="H169" t="s">
        <v>25</v>
      </c>
      <c r="I169" t="s">
        <v>39</v>
      </c>
    </row>
    <row r="170" spans="1:9" x14ac:dyDescent="0.45">
      <c r="A170" t="s">
        <v>4003</v>
      </c>
      <c r="B170" s="2">
        <v>46231</v>
      </c>
      <c r="C170" t="s">
        <v>99</v>
      </c>
      <c r="D170" t="s">
        <v>4004</v>
      </c>
      <c r="E170" t="s">
        <v>7974</v>
      </c>
      <c r="F170">
        <v>3</v>
      </c>
      <c r="G170" t="s">
        <v>18</v>
      </c>
      <c r="H170" t="s">
        <v>14</v>
      </c>
      <c r="I170" t="s">
        <v>47</v>
      </c>
    </row>
    <row r="171" spans="1:9" x14ac:dyDescent="0.45">
      <c r="A171" t="s">
        <v>4005</v>
      </c>
      <c r="B171" s="2">
        <v>46054</v>
      </c>
      <c r="C171" t="s">
        <v>49</v>
      </c>
      <c r="D171" t="s">
        <v>4006</v>
      </c>
      <c r="E171" t="s">
        <v>38</v>
      </c>
      <c r="F171">
        <v>8</v>
      </c>
      <c r="G171" t="s">
        <v>59</v>
      </c>
      <c r="H171" t="s">
        <v>14</v>
      </c>
      <c r="I171" t="s">
        <v>60</v>
      </c>
    </row>
    <row r="172" spans="1:9" x14ac:dyDescent="0.45">
      <c r="A172" t="s">
        <v>4007</v>
      </c>
      <c r="B172" s="2">
        <v>46207</v>
      </c>
      <c r="C172" t="s">
        <v>49</v>
      </c>
      <c r="D172" t="s">
        <v>4008</v>
      </c>
      <c r="E172" t="s">
        <v>38</v>
      </c>
      <c r="F172">
        <v>3</v>
      </c>
      <c r="G172" t="s">
        <v>55</v>
      </c>
      <c r="H172" t="s">
        <v>72</v>
      </c>
      <c r="I172" t="s">
        <v>60</v>
      </c>
    </row>
    <row r="173" spans="1:9" x14ac:dyDescent="0.45">
      <c r="A173" t="s">
        <v>4009</v>
      </c>
      <c r="B173" s="2">
        <v>46124</v>
      </c>
      <c r="C173" t="s">
        <v>21</v>
      </c>
      <c r="D173" t="s">
        <v>4010</v>
      </c>
      <c r="E173" t="s">
        <v>71</v>
      </c>
      <c r="F173">
        <v>5</v>
      </c>
      <c r="G173" t="s">
        <v>13</v>
      </c>
      <c r="H173" t="s">
        <v>14</v>
      </c>
      <c r="I173" t="s">
        <v>19</v>
      </c>
    </row>
    <row r="174" spans="1:9" x14ac:dyDescent="0.45">
      <c r="A174" t="s">
        <v>4011</v>
      </c>
      <c r="B174" s="2">
        <v>46130</v>
      </c>
      <c r="C174" t="s">
        <v>49</v>
      </c>
      <c r="D174" t="s">
        <v>4012</v>
      </c>
      <c r="E174" t="s">
        <v>75</v>
      </c>
      <c r="F174">
        <v>1</v>
      </c>
      <c r="G174" t="s">
        <v>35</v>
      </c>
      <c r="H174" t="s">
        <v>25</v>
      </c>
      <c r="I174" t="s">
        <v>31</v>
      </c>
    </row>
    <row r="175" spans="1:9" x14ac:dyDescent="0.45">
      <c r="A175" t="s">
        <v>4013</v>
      </c>
      <c r="B175" s="2">
        <v>46031</v>
      </c>
      <c r="C175" t="s">
        <v>10</v>
      </c>
      <c r="D175" t="s">
        <v>4014</v>
      </c>
      <c r="E175" t="s">
        <v>7973</v>
      </c>
      <c r="F175">
        <v>2</v>
      </c>
      <c r="G175" t="s">
        <v>24</v>
      </c>
      <c r="H175" t="s">
        <v>25</v>
      </c>
      <c r="I175" t="s">
        <v>19</v>
      </c>
    </row>
    <row r="176" spans="1:9" x14ac:dyDescent="0.45">
      <c r="A176" t="s">
        <v>4015</v>
      </c>
      <c r="B176" s="2">
        <v>46150</v>
      </c>
      <c r="C176" t="s">
        <v>21</v>
      </c>
      <c r="D176" t="s">
        <v>4016</v>
      </c>
      <c r="E176" t="s">
        <v>7974</v>
      </c>
      <c r="F176">
        <v>10</v>
      </c>
      <c r="G176" t="s">
        <v>35</v>
      </c>
      <c r="H176" t="s">
        <v>25</v>
      </c>
      <c r="I176" t="s">
        <v>19</v>
      </c>
    </row>
    <row r="177" spans="1:9" x14ac:dyDescent="0.45">
      <c r="A177" t="s">
        <v>4017</v>
      </c>
      <c r="B177" s="2">
        <v>46054</v>
      </c>
      <c r="C177" t="s">
        <v>49</v>
      </c>
      <c r="D177" t="s">
        <v>4018</v>
      </c>
      <c r="E177" t="s">
        <v>75</v>
      </c>
      <c r="F177">
        <v>12</v>
      </c>
      <c r="G177" t="s">
        <v>18</v>
      </c>
      <c r="H177" t="s">
        <v>14</v>
      </c>
      <c r="I177" t="s">
        <v>60</v>
      </c>
    </row>
    <row r="178" spans="1:9" x14ac:dyDescent="0.45">
      <c r="A178" t="s">
        <v>4019</v>
      </c>
      <c r="B178" s="2">
        <v>46051</v>
      </c>
      <c r="C178" t="s">
        <v>10</v>
      </c>
      <c r="D178" t="s">
        <v>4020</v>
      </c>
      <c r="E178" t="s">
        <v>34</v>
      </c>
      <c r="F178">
        <v>2</v>
      </c>
      <c r="G178" t="s">
        <v>35</v>
      </c>
      <c r="H178" t="s">
        <v>25</v>
      </c>
      <c r="I178" t="s">
        <v>60</v>
      </c>
    </row>
    <row r="179" spans="1:9" x14ac:dyDescent="0.45">
      <c r="A179" t="s">
        <v>4021</v>
      </c>
      <c r="B179" s="2">
        <v>46200</v>
      </c>
      <c r="C179" t="s">
        <v>28</v>
      </c>
      <c r="D179" t="s">
        <v>4022</v>
      </c>
      <c r="E179" t="s">
        <v>7974</v>
      </c>
      <c r="F179">
        <v>9</v>
      </c>
      <c r="G179" t="s">
        <v>68</v>
      </c>
      <c r="H179" t="s">
        <v>25</v>
      </c>
      <c r="I179" t="s">
        <v>19</v>
      </c>
    </row>
    <row r="180" spans="1:9" x14ac:dyDescent="0.45">
      <c r="A180" t="s">
        <v>4023</v>
      </c>
      <c r="B180" s="2">
        <v>46220</v>
      </c>
      <c r="C180" t="s">
        <v>16</v>
      </c>
      <c r="D180" t="s">
        <v>4024</v>
      </c>
      <c r="E180" t="s">
        <v>58</v>
      </c>
      <c r="F180">
        <v>11</v>
      </c>
      <c r="G180" t="s">
        <v>35</v>
      </c>
      <c r="H180" t="s">
        <v>25</v>
      </c>
      <c r="I180" t="s">
        <v>31</v>
      </c>
    </row>
    <row r="181" spans="1:9" x14ac:dyDescent="0.45">
      <c r="A181" t="s">
        <v>4025</v>
      </c>
      <c r="B181" s="2">
        <v>46057</v>
      </c>
      <c r="C181" t="s">
        <v>10</v>
      </c>
      <c r="D181" t="s">
        <v>4026</v>
      </c>
      <c r="E181" t="s">
        <v>58</v>
      </c>
      <c r="F181">
        <v>10</v>
      </c>
      <c r="G181" t="s">
        <v>13</v>
      </c>
      <c r="H181" t="s">
        <v>14</v>
      </c>
      <c r="I181" t="s">
        <v>26</v>
      </c>
    </row>
    <row r="182" spans="1:9" x14ac:dyDescent="0.45">
      <c r="A182" t="s">
        <v>4027</v>
      </c>
      <c r="B182" s="2">
        <v>46192</v>
      </c>
      <c r="C182" t="s">
        <v>16</v>
      </c>
      <c r="D182" t="s">
        <v>4028</v>
      </c>
      <c r="E182" t="s">
        <v>42</v>
      </c>
      <c r="F182">
        <v>6</v>
      </c>
      <c r="G182" t="s">
        <v>68</v>
      </c>
      <c r="H182" t="s">
        <v>25</v>
      </c>
      <c r="I182" t="s">
        <v>26</v>
      </c>
    </row>
    <row r="183" spans="1:9" x14ac:dyDescent="0.45">
      <c r="A183" t="s">
        <v>4029</v>
      </c>
      <c r="B183" s="2">
        <v>46141</v>
      </c>
      <c r="C183" t="s">
        <v>21</v>
      </c>
      <c r="D183" t="s">
        <v>4030</v>
      </c>
      <c r="E183" t="s">
        <v>58</v>
      </c>
      <c r="F183">
        <v>2</v>
      </c>
      <c r="G183" t="s">
        <v>55</v>
      </c>
      <c r="H183" t="s">
        <v>72</v>
      </c>
      <c r="I183" t="s">
        <v>60</v>
      </c>
    </row>
    <row r="184" spans="1:9" x14ac:dyDescent="0.45">
      <c r="A184" t="s">
        <v>4031</v>
      </c>
      <c r="B184" s="2">
        <v>46128</v>
      </c>
      <c r="C184" t="s">
        <v>28</v>
      </c>
      <c r="D184" t="s">
        <v>4032</v>
      </c>
      <c r="E184" t="s">
        <v>7974</v>
      </c>
      <c r="F184">
        <v>1</v>
      </c>
      <c r="G184" t="s">
        <v>43</v>
      </c>
      <c r="H184" t="s">
        <v>14</v>
      </c>
      <c r="I184" t="s">
        <v>39</v>
      </c>
    </row>
    <row r="185" spans="1:9" x14ac:dyDescent="0.45">
      <c r="A185" t="s">
        <v>4033</v>
      </c>
      <c r="B185" s="2">
        <v>46026</v>
      </c>
      <c r="C185" t="s">
        <v>21</v>
      </c>
      <c r="D185" t="s">
        <v>4034</v>
      </c>
      <c r="E185" t="s">
        <v>58</v>
      </c>
      <c r="F185">
        <v>8</v>
      </c>
      <c r="G185" t="s">
        <v>59</v>
      </c>
      <c r="H185" t="s">
        <v>14</v>
      </c>
      <c r="I185" t="s">
        <v>26</v>
      </c>
    </row>
    <row r="186" spans="1:9" x14ac:dyDescent="0.45">
      <c r="A186" t="s">
        <v>4035</v>
      </c>
      <c r="B186" s="2">
        <v>46028</v>
      </c>
      <c r="C186" t="s">
        <v>28</v>
      </c>
      <c r="D186" t="s">
        <v>4036</v>
      </c>
      <c r="E186" t="s">
        <v>7967</v>
      </c>
      <c r="F186">
        <v>3</v>
      </c>
      <c r="G186" t="s">
        <v>24</v>
      </c>
      <c r="H186" t="s">
        <v>25</v>
      </c>
      <c r="I186" t="s">
        <v>60</v>
      </c>
    </row>
    <row r="187" spans="1:9" x14ac:dyDescent="0.45">
      <c r="A187" t="s">
        <v>4037</v>
      </c>
      <c r="B187" s="2">
        <v>46156</v>
      </c>
      <c r="C187" t="s">
        <v>28</v>
      </c>
      <c r="D187" t="s">
        <v>4038</v>
      </c>
      <c r="E187" t="s">
        <v>7974</v>
      </c>
      <c r="F187">
        <v>4</v>
      </c>
      <c r="G187" t="s">
        <v>43</v>
      </c>
      <c r="H187" t="s">
        <v>14</v>
      </c>
      <c r="I187" t="s">
        <v>31</v>
      </c>
    </row>
    <row r="188" spans="1:9" x14ac:dyDescent="0.45">
      <c r="A188" t="s">
        <v>4039</v>
      </c>
      <c r="B188" s="2">
        <v>46038</v>
      </c>
      <c r="C188" t="s">
        <v>10</v>
      </c>
      <c r="D188" t="s">
        <v>4040</v>
      </c>
      <c r="E188" t="s">
        <v>46</v>
      </c>
      <c r="F188">
        <v>3</v>
      </c>
      <c r="G188" t="s">
        <v>59</v>
      </c>
      <c r="H188" t="s">
        <v>14</v>
      </c>
      <c r="I188" t="s">
        <v>60</v>
      </c>
    </row>
    <row r="189" spans="1:9" x14ac:dyDescent="0.45">
      <c r="A189" t="s">
        <v>4041</v>
      </c>
      <c r="B189" s="2">
        <v>46079</v>
      </c>
      <c r="C189" t="s">
        <v>99</v>
      </c>
      <c r="D189" t="s">
        <v>4042</v>
      </c>
      <c r="E189" t="s">
        <v>34</v>
      </c>
      <c r="F189">
        <v>8</v>
      </c>
      <c r="G189" t="s">
        <v>13</v>
      </c>
      <c r="H189" t="s">
        <v>14</v>
      </c>
      <c r="I189" t="s">
        <v>31</v>
      </c>
    </row>
    <row r="190" spans="1:9" x14ac:dyDescent="0.45">
      <c r="A190" t="s">
        <v>4043</v>
      </c>
      <c r="B190" s="2">
        <v>46080</v>
      </c>
      <c r="C190" t="s">
        <v>99</v>
      </c>
      <c r="D190" t="s">
        <v>4044</v>
      </c>
      <c r="E190" t="s">
        <v>38</v>
      </c>
      <c r="F190">
        <v>6</v>
      </c>
      <c r="G190" t="s">
        <v>13</v>
      </c>
      <c r="H190" t="s">
        <v>14</v>
      </c>
      <c r="I190" t="s">
        <v>60</v>
      </c>
    </row>
    <row r="191" spans="1:9" x14ac:dyDescent="0.45">
      <c r="A191" t="s">
        <v>4045</v>
      </c>
      <c r="B191" s="2">
        <v>46249</v>
      </c>
      <c r="C191" t="s">
        <v>28</v>
      </c>
      <c r="D191" t="s">
        <v>4046</v>
      </c>
      <c r="E191" t="s">
        <v>7974</v>
      </c>
      <c r="F191">
        <v>3</v>
      </c>
      <c r="G191" t="s">
        <v>43</v>
      </c>
      <c r="H191" t="s">
        <v>14</v>
      </c>
      <c r="I191" t="s">
        <v>47</v>
      </c>
    </row>
    <row r="192" spans="1:9" x14ac:dyDescent="0.45">
      <c r="A192" t="s">
        <v>4047</v>
      </c>
      <c r="B192" s="2">
        <v>46245</v>
      </c>
      <c r="C192" t="s">
        <v>52</v>
      </c>
      <c r="D192" t="s">
        <v>4048</v>
      </c>
      <c r="E192" t="s">
        <v>7967</v>
      </c>
      <c r="F192">
        <v>4</v>
      </c>
      <c r="G192" t="s">
        <v>43</v>
      </c>
      <c r="H192" t="s">
        <v>14</v>
      </c>
      <c r="I192" t="s">
        <v>39</v>
      </c>
    </row>
    <row r="193" spans="1:9" x14ac:dyDescent="0.45">
      <c r="A193" t="s">
        <v>4049</v>
      </c>
      <c r="B193" s="2">
        <v>46201</v>
      </c>
      <c r="C193" t="s">
        <v>66</v>
      </c>
      <c r="D193" t="s">
        <v>4050</v>
      </c>
      <c r="E193" t="s">
        <v>71</v>
      </c>
      <c r="F193">
        <v>10</v>
      </c>
      <c r="G193" t="s">
        <v>43</v>
      </c>
      <c r="H193" t="s">
        <v>14</v>
      </c>
      <c r="I193" t="s">
        <v>26</v>
      </c>
    </row>
    <row r="194" spans="1:9" x14ac:dyDescent="0.45">
      <c r="A194" t="s">
        <v>4051</v>
      </c>
      <c r="B194" s="2">
        <v>46029</v>
      </c>
      <c r="C194" t="s">
        <v>21</v>
      </c>
      <c r="D194" t="s">
        <v>4052</v>
      </c>
      <c r="E194" t="s">
        <v>7973</v>
      </c>
      <c r="F194">
        <v>8</v>
      </c>
      <c r="G194" t="s">
        <v>13</v>
      </c>
      <c r="H194" t="s">
        <v>14</v>
      </c>
      <c r="I194" t="s">
        <v>26</v>
      </c>
    </row>
    <row r="195" spans="1:9" x14ac:dyDescent="0.45">
      <c r="A195" t="s">
        <v>4053</v>
      </c>
      <c r="B195" s="2">
        <v>46102</v>
      </c>
      <c r="C195" t="s">
        <v>21</v>
      </c>
      <c r="D195" t="s">
        <v>4054</v>
      </c>
      <c r="E195" t="s">
        <v>75</v>
      </c>
      <c r="F195">
        <v>10</v>
      </c>
      <c r="G195" t="s">
        <v>68</v>
      </c>
      <c r="H195" t="s">
        <v>25</v>
      </c>
      <c r="I195" t="s">
        <v>60</v>
      </c>
    </row>
    <row r="196" spans="1:9" x14ac:dyDescent="0.45">
      <c r="A196" t="s">
        <v>4055</v>
      </c>
      <c r="B196" s="2">
        <v>46210</v>
      </c>
      <c r="C196" t="s">
        <v>52</v>
      </c>
      <c r="D196" t="s">
        <v>4056</v>
      </c>
      <c r="E196" t="s">
        <v>54</v>
      </c>
      <c r="F196">
        <v>9</v>
      </c>
      <c r="G196" t="s">
        <v>68</v>
      </c>
      <c r="H196" t="s">
        <v>25</v>
      </c>
      <c r="I196" t="s">
        <v>47</v>
      </c>
    </row>
    <row r="197" spans="1:9" x14ac:dyDescent="0.45">
      <c r="A197" t="s">
        <v>4057</v>
      </c>
      <c r="B197" s="2">
        <v>46077</v>
      </c>
      <c r="C197" t="s">
        <v>66</v>
      </c>
      <c r="D197" t="s">
        <v>4058</v>
      </c>
      <c r="E197" t="s">
        <v>38</v>
      </c>
      <c r="F197">
        <v>6</v>
      </c>
      <c r="G197" t="s">
        <v>24</v>
      </c>
      <c r="H197" t="s">
        <v>25</v>
      </c>
      <c r="I197" t="s">
        <v>60</v>
      </c>
    </row>
    <row r="198" spans="1:9" x14ac:dyDescent="0.45">
      <c r="A198" t="s">
        <v>4059</v>
      </c>
      <c r="B198" s="2">
        <v>46252</v>
      </c>
      <c r="C198" t="s">
        <v>52</v>
      </c>
      <c r="D198" t="s">
        <v>4060</v>
      </c>
      <c r="E198" t="s">
        <v>42</v>
      </c>
      <c r="F198">
        <v>2</v>
      </c>
      <c r="G198" t="s">
        <v>68</v>
      </c>
      <c r="H198" t="s">
        <v>25</v>
      </c>
      <c r="I198" t="s">
        <v>19</v>
      </c>
    </row>
    <row r="199" spans="1:9" x14ac:dyDescent="0.45">
      <c r="A199" t="s">
        <v>4061</v>
      </c>
      <c r="B199" s="2">
        <v>46207</v>
      </c>
      <c r="C199" t="s">
        <v>28</v>
      </c>
      <c r="D199" t="s">
        <v>4062</v>
      </c>
      <c r="E199" t="s">
        <v>38</v>
      </c>
      <c r="F199">
        <v>4</v>
      </c>
      <c r="G199" t="s">
        <v>13</v>
      </c>
      <c r="H199" t="s">
        <v>14</v>
      </c>
      <c r="I199" t="s">
        <v>7967</v>
      </c>
    </row>
    <row r="200" spans="1:9" x14ac:dyDescent="0.45">
      <c r="A200" t="s">
        <v>4063</v>
      </c>
      <c r="B200" s="2">
        <v>46120</v>
      </c>
      <c r="C200" t="s">
        <v>16</v>
      </c>
      <c r="D200" t="s">
        <v>4064</v>
      </c>
      <c r="E200" t="s">
        <v>34</v>
      </c>
      <c r="F200">
        <v>11</v>
      </c>
      <c r="G200" t="s">
        <v>43</v>
      </c>
      <c r="H200" t="s">
        <v>14</v>
      </c>
      <c r="I200" t="s">
        <v>19</v>
      </c>
    </row>
    <row r="201" spans="1:9" x14ac:dyDescent="0.45">
      <c r="A201" t="s">
        <v>4065</v>
      </c>
      <c r="B201" s="2">
        <v>46072</v>
      </c>
      <c r="C201" t="s">
        <v>99</v>
      </c>
      <c r="D201" t="s">
        <v>4066</v>
      </c>
      <c r="E201" t="s">
        <v>7974</v>
      </c>
      <c r="F201">
        <v>2</v>
      </c>
      <c r="G201" t="s">
        <v>35</v>
      </c>
      <c r="H201" t="s">
        <v>25</v>
      </c>
      <c r="I201" t="s">
        <v>39</v>
      </c>
    </row>
    <row r="202" spans="1:9" x14ac:dyDescent="0.45">
      <c r="A202" t="s">
        <v>4067</v>
      </c>
      <c r="B202" s="2">
        <v>46206</v>
      </c>
      <c r="C202" t="s">
        <v>66</v>
      </c>
      <c r="D202" t="s">
        <v>4068</v>
      </c>
      <c r="E202" t="s">
        <v>46</v>
      </c>
      <c r="F202">
        <v>7</v>
      </c>
      <c r="G202" t="s">
        <v>24</v>
      </c>
      <c r="H202" t="s">
        <v>25</v>
      </c>
      <c r="I202" t="s">
        <v>39</v>
      </c>
    </row>
    <row r="203" spans="1:9" x14ac:dyDescent="0.45">
      <c r="A203" t="s">
        <v>4069</v>
      </c>
      <c r="B203" s="2">
        <v>46023</v>
      </c>
      <c r="C203" t="s">
        <v>49</v>
      </c>
      <c r="D203" t="s">
        <v>4070</v>
      </c>
      <c r="E203" t="s">
        <v>7973</v>
      </c>
      <c r="F203">
        <v>6</v>
      </c>
      <c r="G203" t="s">
        <v>43</v>
      </c>
      <c r="H203" t="s">
        <v>14</v>
      </c>
      <c r="I203" t="s">
        <v>31</v>
      </c>
    </row>
    <row r="204" spans="1:9" x14ac:dyDescent="0.45">
      <c r="A204" t="s">
        <v>4071</v>
      </c>
      <c r="B204" s="2">
        <v>46081</v>
      </c>
      <c r="C204" t="s">
        <v>21</v>
      </c>
      <c r="D204" t="s">
        <v>4072</v>
      </c>
      <c r="E204" t="s">
        <v>7973</v>
      </c>
      <c r="F204">
        <v>7</v>
      </c>
      <c r="G204" t="s">
        <v>55</v>
      </c>
      <c r="H204" t="s">
        <v>72</v>
      </c>
      <c r="I204" t="s">
        <v>26</v>
      </c>
    </row>
    <row r="205" spans="1:9" x14ac:dyDescent="0.45">
      <c r="A205" t="s">
        <v>4073</v>
      </c>
      <c r="B205" s="2">
        <v>46213</v>
      </c>
      <c r="C205" t="s">
        <v>16</v>
      </c>
      <c r="D205" t="s">
        <v>4074</v>
      </c>
      <c r="E205" t="s">
        <v>38</v>
      </c>
      <c r="F205">
        <v>7</v>
      </c>
      <c r="G205" t="s">
        <v>18</v>
      </c>
      <c r="H205" t="s">
        <v>14</v>
      </c>
      <c r="I205" t="s">
        <v>31</v>
      </c>
    </row>
    <row r="206" spans="1:9" x14ac:dyDescent="0.45">
      <c r="A206" t="s">
        <v>4075</v>
      </c>
      <c r="B206" s="2">
        <v>46244</v>
      </c>
      <c r="C206" t="s">
        <v>52</v>
      </c>
      <c r="D206" t="s">
        <v>4076</v>
      </c>
      <c r="E206" t="s">
        <v>7973</v>
      </c>
      <c r="F206">
        <v>5</v>
      </c>
      <c r="G206" t="s">
        <v>59</v>
      </c>
      <c r="H206" t="s">
        <v>14</v>
      </c>
      <c r="I206" t="s">
        <v>47</v>
      </c>
    </row>
    <row r="207" spans="1:9" x14ac:dyDescent="0.45">
      <c r="A207" t="s">
        <v>4077</v>
      </c>
      <c r="B207" s="2">
        <v>46096</v>
      </c>
      <c r="C207" t="s">
        <v>49</v>
      </c>
      <c r="D207" t="s">
        <v>4078</v>
      </c>
      <c r="E207" t="s">
        <v>7967</v>
      </c>
      <c r="F207">
        <v>9</v>
      </c>
      <c r="G207" t="s">
        <v>35</v>
      </c>
      <c r="H207" t="s">
        <v>25</v>
      </c>
      <c r="I207" t="s">
        <v>47</v>
      </c>
    </row>
    <row r="208" spans="1:9" x14ac:dyDescent="0.45">
      <c r="A208" t="s">
        <v>4079</v>
      </c>
      <c r="B208" s="2">
        <v>46090</v>
      </c>
      <c r="C208" t="s">
        <v>10</v>
      </c>
      <c r="D208" t="s">
        <v>4080</v>
      </c>
      <c r="E208" t="s">
        <v>38</v>
      </c>
      <c r="F208">
        <v>10</v>
      </c>
      <c r="G208" t="s">
        <v>13</v>
      </c>
      <c r="H208" t="s">
        <v>14</v>
      </c>
      <c r="I208" t="s">
        <v>39</v>
      </c>
    </row>
    <row r="209" spans="1:9" x14ac:dyDescent="0.45">
      <c r="A209" t="s">
        <v>4081</v>
      </c>
      <c r="B209" s="2">
        <v>46153</v>
      </c>
      <c r="C209" t="s">
        <v>66</v>
      </c>
      <c r="D209" t="s">
        <v>4082</v>
      </c>
      <c r="E209" t="s">
        <v>58</v>
      </c>
      <c r="F209">
        <v>11</v>
      </c>
      <c r="G209" t="s">
        <v>35</v>
      </c>
      <c r="H209" t="s">
        <v>25</v>
      </c>
      <c r="I209" t="s">
        <v>26</v>
      </c>
    </row>
    <row r="210" spans="1:9" x14ac:dyDescent="0.45">
      <c r="A210" t="s">
        <v>4083</v>
      </c>
      <c r="B210" s="2">
        <v>46144</v>
      </c>
      <c r="C210" t="s">
        <v>10</v>
      </c>
      <c r="D210" t="s">
        <v>4084</v>
      </c>
      <c r="E210" t="s">
        <v>54</v>
      </c>
      <c r="F210">
        <v>10</v>
      </c>
      <c r="G210" t="s">
        <v>18</v>
      </c>
      <c r="H210" t="s">
        <v>14</v>
      </c>
      <c r="I210" t="s">
        <v>60</v>
      </c>
    </row>
    <row r="211" spans="1:9" x14ac:dyDescent="0.45">
      <c r="A211" t="s">
        <v>4085</v>
      </c>
      <c r="B211" s="2">
        <v>46119</v>
      </c>
      <c r="C211" t="s">
        <v>49</v>
      </c>
      <c r="D211" t="s">
        <v>4086</v>
      </c>
      <c r="E211" t="s">
        <v>58</v>
      </c>
      <c r="F211">
        <v>11</v>
      </c>
      <c r="G211" t="s">
        <v>24</v>
      </c>
      <c r="H211" t="s">
        <v>25</v>
      </c>
      <c r="I211" t="s">
        <v>26</v>
      </c>
    </row>
    <row r="212" spans="1:9" x14ac:dyDescent="0.45">
      <c r="A212" t="s">
        <v>4087</v>
      </c>
      <c r="B212" s="2">
        <v>46241</v>
      </c>
      <c r="C212" t="s">
        <v>16</v>
      </c>
      <c r="D212" t="s">
        <v>4088</v>
      </c>
      <c r="E212" t="s">
        <v>75</v>
      </c>
      <c r="F212">
        <v>10</v>
      </c>
      <c r="G212" t="s">
        <v>43</v>
      </c>
      <c r="H212" t="s">
        <v>14</v>
      </c>
      <c r="I212" t="s">
        <v>60</v>
      </c>
    </row>
    <row r="213" spans="1:9" x14ac:dyDescent="0.45">
      <c r="A213" t="s">
        <v>4089</v>
      </c>
      <c r="B213" s="2">
        <v>46264</v>
      </c>
      <c r="C213" t="s">
        <v>99</v>
      </c>
      <c r="D213" t="s">
        <v>4090</v>
      </c>
      <c r="E213" t="s">
        <v>75</v>
      </c>
      <c r="F213">
        <v>11</v>
      </c>
      <c r="G213" t="s">
        <v>35</v>
      </c>
      <c r="H213" t="s">
        <v>25</v>
      </c>
      <c r="I213" t="s">
        <v>47</v>
      </c>
    </row>
    <row r="214" spans="1:9" x14ac:dyDescent="0.45">
      <c r="A214" t="s">
        <v>4091</v>
      </c>
      <c r="B214" s="2">
        <v>46227</v>
      </c>
      <c r="C214" t="s">
        <v>28</v>
      </c>
      <c r="D214" t="s">
        <v>4092</v>
      </c>
      <c r="E214" t="s">
        <v>75</v>
      </c>
      <c r="F214">
        <v>7</v>
      </c>
      <c r="G214" t="s">
        <v>24</v>
      </c>
      <c r="H214" t="s">
        <v>25</v>
      </c>
      <c r="I214" t="s">
        <v>39</v>
      </c>
    </row>
    <row r="215" spans="1:9" x14ac:dyDescent="0.45">
      <c r="A215" t="s">
        <v>4093</v>
      </c>
      <c r="B215" s="2">
        <v>46230</v>
      </c>
      <c r="C215" t="s">
        <v>28</v>
      </c>
      <c r="D215" t="s">
        <v>4094</v>
      </c>
      <c r="E215" t="s">
        <v>23</v>
      </c>
      <c r="F215">
        <v>7</v>
      </c>
      <c r="G215" t="s">
        <v>59</v>
      </c>
      <c r="H215" t="s">
        <v>14</v>
      </c>
      <c r="I215" t="s">
        <v>60</v>
      </c>
    </row>
    <row r="216" spans="1:9" x14ac:dyDescent="0.45">
      <c r="A216" t="s">
        <v>4095</v>
      </c>
      <c r="B216" s="2">
        <v>46255</v>
      </c>
      <c r="C216" t="s">
        <v>16</v>
      </c>
      <c r="D216" t="s">
        <v>4096</v>
      </c>
      <c r="E216" t="s">
        <v>71</v>
      </c>
      <c r="F216">
        <v>5</v>
      </c>
      <c r="G216" t="s">
        <v>35</v>
      </c>
      <c r="H216" t="s">
        <v>25</v>
      </c>
      <c r="I216" t="s">
        <v>31</v>
      </c>
    </row>
    <row r="217" spans="1:9" x14ac:dyDescent="0.45">
      <c r="A217" t="s">
        <v>4097</v>
      </c>
      <c r="B217" s="2">
        <v>46056</v>
      </c>
      <c r="C217" t="s">
        <v>16</v>
      </c>
      <c r="D217" t="s">
        <v>4098</v>
      </c>
      <c r="E217" t="s">
        <v>23</v>
      </c>
      <c r="F217">
        <v>2</v>
      </c>
      <c r="G217" t="s">
        <v>55</v>
      </c>
      <c r="H217" t="s">
        <v>72</v>
      </c>
      <c r="I217" t="s">
        <v>39</v>
      </c>
    </row>
    <row r="218" spans="1:9" x14ac:dyDescent="0.45">
      <c r="A218" t="s">
        <v>4099</v>
      </c>
      <c r="B218" s="2">
        <v>46064</v>
      </c>
      <c r="C218" t="s">
        <v>28</v>
      </c>
      <c r="D218" t="s">
        <v>4100</v>
      </c>
      <c r="E218" t="s">
        <v>54</v>
      </c>
      <c r="F218">
        <v>12</v>
      </c>
      <c r="G218" t="s">
        <v>59</v>
      </c>
      <c r="H218" t="s">
        <v>14</v>
      </c>
      <c r="I218" t="s">
        <v>60</v>
      </c>
    </row>
    <row r="219" spans="1:9" x14ac:dyDescent="0.45">
      <c r="A219" t="s">
        <v>4101</v>
      </c>
      <c r="B219" s="2">
        <v>46188</v>
      </c>
      <c r="C219" t="s">
        <v>28</v>
      </c>
      <c r="D219" t="s">
        <v>4102</v>
      </c>
      <c r="E219" t="s">
        <v>71</v>
      </c>
      <c r="F219">
        <v>5</v>
      </c>
      <c r="G219" t="s">
        <v>55</v>
      </c>
      <c r="H219" t="s">
        <v>72</v>
      </c>
      <c r="I219" t="s">
        <v>60</v>
      </c>
    </row>
    <row r="220" spans="1:9" x14ac:dyDescent="0.45">
      <c r="A220" t="s">
        <v>4103</v>
      </c>
      <c r="B220" s="2">
        <v>46182</v>
      </c>
      <c r="C220" t="s">
        <v>66</v>
      </c>
      <c r="D220" t="s">
        <v>4104</v>
      </c>
      <c r="E220" t="s">
        <v>7974</v>
      </c>
      <c r="F220">
        <v>4</v>
      </c>
      <c r="G220" t="s">
        <v>35</v>
      </c>
      <c r="H220" t="s">
        <v>25</v>
      </c>
      <c r="I220" t="s">
        <v>19</v>
      </c>
    </row>
    <row r="221" spans="1:9" x14ac:dyDescent="0.45">
      <c r="A221" t="s">
        <v>4105</v>
      </c>
      <c r="B221" s="2">
        <v>46039</v>
      </c>
      <c r="C221" t="s">
        <v>52</v>
      </c>
      <c r="D221" t="s">
        <v>4106</v>
      </c>
      <c r="E221" t="s">
        <v>7974</v>
      </c>
      <c r="F221">
        <v>1</v>
      </c>
      <c r="G221" t="s">
        <v>43</v>
      </c>
      <c r="H221" t="s">
        <v>14</v>
      </c>
      <c r="I221" t="s">
        <v>39</v>
      </c>
    </row>
    <row r="222" spans="1:9" x14ac:dyDescent="0.45">
      <c r="A222" t="s">
        <v>4107</v>
      </c>
      <c r="B222" s="2">
        <v>46236</v>
      </c>
      <c r="C222" t="s">
        <v>16</v>
      </c>
      <c r="D222" t="s">
        <v>4108</v>
      </c>
      <c r="E222" t="s">
        <v>58</v>
      </c>
      <c r="F222">
        <v>6</v>
      </c>
      <c r="G222" t="s">
        <v>68</v>
      </c>
      <c r="H222" t="s">
        <v>25</v>
      </c>
      <c r="I222" t="s">
        <v>47</v>
      </c>
    </row>
    <row r="223" spans="1:9" x14ac:dyDescent="0.45">
      <c r="A223" t="s">
        <v>4109</v>
      </c>
      <c r="B223" s="2">
        <v>46252</v>
      </c>
      <c r="C223" t="s">
        <v>10</v>
      </c>
      <c r="D223" t="s">
        <v>4110</v>
      </c>
      <c r="E223" t="s">
        <v>54</v>
      </c>
      <c r="F223">
        <v>12</v>
      </c>
      <c r="G223" t="s">
        <v>68</v>
      </c>
      <c r="H223" t="s">
        <v>25</v>
      </c>
      <c r="I223" t="s">
        <v>60</v>
      </c>
    </row>
    <row r="224" spans="1:9" x14ac:dyDescent="0.45">
      <c r="A224" t="s">
        <v>4111</v>
      </c>
      <c r="B224" s="2">
        <v>46106</v>
      </c>
      <c r="C224" t="s">
        <v>16</v>
      </c>
      <c r="D224" t="s">
        <v>4112</v>
      </c>
      <c r="E224" t="s">
        <v>75</v>
      </c>
      <c r="F224">
        <v>6</v>
      </c>
      <c r="G224" t="s">
        <v>55</v>
      </c>
      <c r="H224" t="s">
        <v>72</v>
      </c>
      <c r="I224" t="s">
        <v>26</v>
      </c>
    </row>
    <row r="225" spans="1:9" x14ac:dyDescent="0.45">
      <c r="A225" t="s">
        <v>4113</v>
      </c>
      <c r="B225" s="2">
        <v>46259</v>
      </c>
      <c r="C225" t="s">
        <v>66</v>
      </c>
      <c r="D225" t="s">
        <v>4114</v>
      </c>
      <c r="E225" t="s">
        <v>54</v>
      </c>
      <c r="F225">
        <v>2</v>
      </c>
      <c r="G225" t="s">
        <v>18</v>
      </c>
      <c r="H225" t="s">
        <v>14</v>
      </c>
      <c r="I225" t="s">
        <v>26</v>
      </c>
    </row>
    <row r="226" spans="1:9" x14ac:dyDescent="0.45">
      <c r="A226" t="s">
        <v>4115</v>
      </c>
      <c r="B226" s="2">
        <v>46125</v>
      </c>
      <c r="C226" t="s">
        <v>66</v>
      </c>
      <c r="D226" t="s">
        <v>4116</v>
      </c>
      <c r="E226" t="s">
        <v>71</v>
      </c>
      <c r="F226">
        <v>6</v>
      </c>
      <c r="G226" t="s">
        <v>35</v>
      </c>
      <c r="H226" t="s">
        <v>25</v>
      </c>
      <c r="I226" t="s">
        <v>39</v>
      </c>
    </row>
    <row r="227" spans="1:9" x14ac:dyDescent="0.45">
      <c r="A227" t="s">
        <v>4117</v>
      </c>
      <c r="B227" s="2">
        <v>46186</v>
      </c>
      <c r="C227" t="s">
        <v>16</v>
      </c>
      <c r="D227" t="s">
        <v>4118</v>
      </c>
      <c r="E227" t="s">
        <v>46</v>
      </c>
      <c r="F227">
        <v>6</v>
      </c>
      <c r="G227" t="s">
        <v>35</v>
      </c>
      <c r="H227" t="s">
        <v>25</v>
      </c>
      <c r="I227" t="s">
        <v>39</v>
      </c>
    </row>
    <row r="228" spans="1:9" x14ac:dyDescent="0.45">
      <c r="A228" t="s">
        <v>4119</v>
      </c>
      <c r="B228" s="2">
        <v>46142</v>
      </c>
      <c r="C228" t="s">
        <v>49</v>
      </c>
      <c r="D228" t="s">
        <v>4120</v>
      </c>
      <c r="E228" t="s">
        <v>54</v>
      </c>
      <c r="F228">
        <v>12</v>
      </c>
      <c r="G228" t="s">
        <v>43</v>
      </c>
      <c r="H228" t="s">
        <v>14</v>
      </c>
      <c r="I228" t="s">
        <v>31</v>
      </c>
    </row>
    <row r="229" spans="1:9" x14ac:dyDescent="0.45">
      <c r="A229" t="s">
        <v>4121</v>
      </c>
      <c r="B229" s="2">
        <v>46107</v>
      </c>
      <c r="C229" t="s">
        <v>52</v>
      </c>
      <c r="D229" t="s">
        <v>4122</v>
      </c>
      <c r="E229" t="s">
        <v>38</v>
      </c>
      <c r="F229">
        <v>12</v>
      </c>
      <c r="G229" t="s">
        <v>24</v>
      </c>
      <c r="H229" t="s">
        <v>25</v>
      </c>
      <c r="I229" t="s">
        <v>60</v>
      </c>
    </row>
    <row r="230" spans="1:9" x14ac:dyDescent="0.45">
      <c r="A230" t="s">
        <v>4123</v>
      </c>
      <c r="B230" s="2">
        <v>46120</v>
      </c>
      <c r="C230" t="s">
        <v>66</v>
      </c>
      <c r="D230" t="s">
        <v>4124</v>
      </c>
      <c r="E230" t="s">
        <v>7973</v>
      </c>
      <c r="F230">
        <v>2</v>
      </c>
      <c r="G230" t="s">
        <v>13</v>
      </c>
      <c r="H230" t="s">
        <v>14</v>
      </c>
      <c r="I230" t="s">
        <v>60</v>
      </c>
    </row>
    <row r="231" spans="1:9" x14ac:dyDescent="0.45">
      <c r="A231" t="s">
        <v>4125</v>
      </c>
      <c r="B231" s="2">
        <v>46082</v>
      </c>
      <c r="C231" t="s">
        <v>49</v>
      </c>
      <c r="D231" t="s">
        <v>4126</v>
      </c>
      <c r="E231" t="s">
        <v>75</v>
      </c>
      <c r="F231">
        <v>12</v>
      </c>
      <c r="G231" t="s">
        <v>55</v>
      </c>
      <c r="H231" t="s">
        <v>72</v>
      </c>
      <c r="I231" t="s">
        <v>26</v>
      </c>
    </row>
    <row r="232" spans="1:9" x14ac:dyDescent="0.45">
      <c r="A232" t="s">
        <v>4127</v>
      </c>
      <c r="B232" s="2">
        <v>46042</v>
      </c>
      <c r="C232" t="s">
        <v>52</v>
      </c>
      <c r="D232" t="s">
        <v>4128</v>
      </c>
      <c r="E232" t="s">
        <v>38</v>
      </c>
      <c r="F232">
        <v>3</v>
      </c>
      <c r="G232" t="s">
        <v>13</v>
      </c>
      <c r="H232" t="s">
        <v>14</v>
      </c>
      <c r="I232" t="s">
        <v>31</v>
      </c>
    </row>
    <row r="233" spans="1:9" x14ac:dyDescent="0.45">
      <c r="A233" t="s">
        <v>4129</v>
      </c>
      <c r="B233" s="2">
        <v>46038</v>
      </c>
      <c r="C233" t="s">
        <v>49</v>
      </c>
      <c r="D233" t="s">
        <v>4130</v>
      </c>
      <c r="E233" t="s">
        <v>7974</v>
      </c>
      <c r="F233">
        <v>2</v>
      </c>
      <c r="G233" t="s">
        <v>43</v>
      </c>
      <c r="H233" t="s">
        <v>14</v>
      </c>
      <c r="I233" t="s">
        <v>19</v>
      </c>
    </row>
    <row r="234" spans="1:9" x14ac:dyDescent="0.45">
      <c r="A234" t="s">
        <v>4131</v>
      </c>
      <c r="B234" s="2">
        <v>46115</v>
      </c>
      <c r="C234" t="s">
        <v>28</v>
      </c>
      <c r="D234" t="s">
        <v>4132</v>
      </c>
      <c r="E234" t="s">
        <v>23</v>
      </c>
      <c r="F234">
        <v>6</v>
      </c>
      <c r="G234" t="s">
        <v>43</v>
      </c>
      <c r="H234" t="s">
        <v>14</v>
      </c>
      <c r="I234" t="s">
        <v>19</v>
      </c>
    </row>
    <row r="235" spans="1:9" x14ac:dyDescent="0.45">
      <c r="A235" t="s">
        <v>4133</v>
      </c>
      <c r="B235" s="2">
        <v>46194</v>
      </c>
      <c r="C235" t="s">
        <v>21</v>
      </c>
      <c r="D235" t="s">
        <v>4134</v>
      </c>
      <c r="E235" t="s">
        <v>7973</v>
      </c>
      <c r="F235">
        <v>8</v>
      </c>
      <c r="G235" t="s">
        <v>24</v>
      </c>
      <c r="H235" t="s">
        <v>25</v>
      </c>
      <c r="I235" t="s">
        <v>26</v>
      </c>
    </row>
    <row r="236" spans="1:9" x14ac:dyDescent="0.45">
      <c r="A236" t="s">
        <v>4135</v>
      </c>
      <c r="B236" s="2">
        <v>46123</v>
      </c>
      <c r="C236" t="s">
        <v>16</v>
      </c>
      <c r="D236" t="s">
        <v>4136</v>
      </c>
      <c r="E236" t="s">
        <v>58</v>
      </c>
      <c r="F236">
        <v>7</v>
      </c>
      <c r="G236" t="s">
        <v>68</v>
      </c>
      <c r="H236" t="s">
        <v>25</v>
      </c>
      <c r="I236" t="s">
        <v>60</v>
      </c>
    </row>
    <row r="237" spans="1:9" x14ac:dyDescent="0.45">
      <c r="A237" t="s">
        <v>4137</v>
      </c>
      <c r="B237" s="2">
        <v>46192</v>
      </c>
      <c r="C237" t="s">
        <v>52</v>
      </c>
      <c r="D237" t="s">
        <v>4138</v>
      </c>
      <c r="E237" t="s">
        <v>7974</v>
      </c>
      <c r="F237">
        <v>6</v>
      </c>
      <c r="G237" t="s">
        <v>43</v>
      </c>
      <c r="H237" t="s">
        <v>14</v>
      </c>
      <c r="I237" t="s">
        <v>47</v>
      </c>
    </row>
    <row r="238" spans="1:9" x14ac:dyDescent="0.45">
      <c r="A238" t="s">
        <v>4139</v>
      </c>
      <c r="B238" s="2">
        <v>46105</v>
      </c>
      <c r="C238" t="s">
        <v>16</v>
      </c>
      <c r="D238" t="s">
        <v>4140</v>
      </c>
      <c r="E238" t="s">
        <v>58</v>
      </c>
      <c r="F238">
        <v>3</v>
      </c>
      <c r="G238" t="s">
        <v>18</v>
      </c>
      <c r="H238" t="s">
        <v>14</v>
      </c>
      <c r="I238" t="s">
        <v>26</v>
      </c>
    </row>
    <row r="239" spans="1:9" x14ac:dyDescent="0.45">
      <c r="A239" t="s">
        <v>4141</v>
      </c>
      <c r="B239" s="2">
        <v>46120</v>
      </c>
      <c r="C239" t="s">
        <v>21</v>
      </c>
      <c r="D239" t="s">
        <v>4142</v>
      </c>
      <c r="E239" t="s">
        <v>34</v>
      </c>
      <c r="F239">
        <v>6</v>
      </c>
      <c r="G239" t="s">
        <v>18</v>
      </c>
      <c r="H239" t="s">
        <v>14</v>
      </c>
      <c r="I239" t="s">
        <v>31</v>
      </c>
    </row>
    <row r="240" spans="1:9" x14ac:dyDescent="0.45">
      <c r="A240" t="s">
        <v>4143</v>
      </c>
      <c r="B240" s="2">
        <v>46152</v>
      </c>
      <c r="C240" t="s">
        <v>16</v>
      </c>
      <c r="D240" t="s">
        <v>4144</v>
      </c>
      <c r="E240" t="s">
        <v>42</v>
      </c>
      <c r="F240">
        <v>1</v>
      </c>
      <c r="G240" t="s">
        <v>24</v>
      </c>
      <c r="H240" t="s">
        <v>25</v>
      </c>
      <c r="I240" t="s">
        <v>39</v>
      </c>
    </row>
    <row r="241" spans="1:9" x14ac:dyDescent="0.45">
      <c r="A241" t="s">
        <v>4145</v>
      </c>
      <c r="B241" s="2">
        <v>46099</v>
      </c>
      <c r="C241" t="s">
        <v>52</v>
      </c>
      <c r="D241" t="s">
        <v>4146</v>
      </c>
      <c r="E241" t="s">
        <v>23</v>
      </c>
      <c r="F241">
        <v>11</v>
      </c>
      <c r="G241" t="s">
        <v>55</v>
      </c>
      <c r="H241" t="s">
        <v>72</v>
      </c>
      <c r="I241" t="s">
        <v>31</v>
      </c>
    </row>
    <row r="242" spans="1:9" x14ac:dyDescent="0.45">
      <c r="A242" t="s">
        <v>4147</v>
      </c>
      <c r="B242" s="2">
        <v>46144</v>
      </c>
      <c r="C242" t="s">
        <v>52</v>
      </c>
      <c r="D242" t="s">
        <v>4148</v>
      </c>
      <c r="E242" t="s">
        <v>75</v>
      </c>
      <c r="F242">
        <v>1</v>
      </c>
      <c r="G242" t="s">
        <v>55</v>
      </c>
      <c r="H242" t="s">
        <v>72</v>
      </c>
      <c r="I242" t="s">
        <v>26</v>
      </c>
    </row>
    <row r="243" spans="1:9" x14ac:dyDescent="0.45">
      <c r="A243" t="s">
        <v>4149</v>
      </c>
      <c r="B243" s="2">
        <v>46183</v>
      </c>
      <c r="C243" t="s">
        <v>16</v>
      </c>
      <c r="D243" t="s">
        <v>4150</v>
      </c>
      <c r="E243" t="s">
        <v>54</v>
      </c>
      <c r="F243">
        <v>1</v>
      </c>
      <c r="G243" t="s">
        <v>35</v>
      </c>
      <c r="H243" t="s">
        <v>25</v>
      </c>
      <c r="I243" t="s">
        <v>47</v>
      </c>
    </row>
    <row r="244" spans="1:9" x14ac:dyDescent="0.45">
      <c r="A244" t="s">
        <v>4151</v>
      </c>
      <c r="B244" s="2">
        <v>46031</v>
      </c>
      <c r="C244" t="s">
        <v>66</v>
      </c>
      <c r="D244" t="s">
        <v>4152</v>
      </c>
      <c r="E244" t="s">
        <v>42</v>
      </c>
      <c r="F244">
        <v>3</v>
      </c>
      <c r="G244" t="s">
        <v>24</v>
      </c>
      <c r="H244" t="s">
        <v>25</v>
      </c>
      <c r="I244" t="s">
        <v>60</v>
      </c>
    </row>
    <row r="245" spans="1:9" x14ac:dyDescent="0.45">
      <c r="A245" t="s">
        <v>4153</v>
      </c>
      <c r="B245" s="2">
        <v>46225</v>
      </c>
      <c r="C245" t="s">
        <v>52</v>
      </c>
      <c r="D245" t="s">
        <v>4154</v>
      </c>
      <c r="E245" t="s">
        <v>34</v>
      </c>
      <c r="F245">
        <v>7</v>
      </c>
      <c r="G245" t="s">
        <v>13</v>
      </c>
      <c r="H245" t="s">
        <v>14</v>
      </c>
      <c r="I245" t="s">
        <v>31</v>
      </c>
    </row>
    <row r="246" spans="1:9" x14ac:dyDescent="0.45">
      <c r="A246" t="s">
        <v>4155</v>
      </c>
      <c r="B246" s="2">
        <v>46028</v>
      </c>
      <c r="C246" t="s">
        <v>52</v>
      </c>
      <c r="D246" t="s">
        <v>4156</v>
      </c>
      <c r="E246" t="s">
        <v>23</v>
      </c>
      <c r="F246">
        <v>2</v>
      </c>
      <c r="G246" t="s">
        <v>18</v>
      </c>
      <c r="H246" t="s">
        <v>14</v>
      </c>
      <c r="I246" t="s">
        <v>60</v>
      </c>
    </row>
    <row r="247" spans="1:9" x14ac:dyDescent="0.45">
      <c r="A247" t="s">
        <v>4157</v>
      </c>
      <c r="B247" s="2">
        <v>46257</v>
      </c>
      <c r="C247" t="s">
        <v>28</v>
      </c>
      <c r="D247" t="s">
        <v>4158</v>
      </c>
      <c r="E247" t="s">
        <v>34</v>
      </c>
      <c r="F247">
        <v>8</v>
      </c>
      <c r="G247" t="s">
        <v>24</v>
      </c>
      <c r="H247" t="s">
        <v>25</v>
      </c>
      <c r="I247" t="s">
        <v>60</v>
      </c>
    </row>
    <row r="248" spans="1:9" x14ac:dyDescent="0.45">
      <c r="A248" t="s">
        <v>4159</v>
      </c>
      <c r="B248" s="2">
        <v>46063</v>
      </c>
      <c r="C248" t="s">
        <v>21</v>
      </c>
      <c r="D248" t="s">
        <v>4160</v>
      </c>
      <c r="E248" t="s">
        <v>46</v>
      </c>
      <c r="F248">
        <v>2</v>
      </c>
      <c r="G248" t="s">
        <v>59</v>
      </c>
      <c r="H248" t="s">
        <v>14</v>
      </c>
      <c r="I248" t="s">
        <v>19</v>
      </c>
    </row>
    <row r="249" spans="1:9" x14ac:dyDescent="0.45">
      <c r="A249" t="s">
        <v>4161</v>
      </c>
      <c r="B249" s="2">
        <v>46266</v>
      </c>
      <c r="C249" t="s">
        <v>49</v>
      </c>
      <c r="D249" t="s">
        <v>4162</v>
      </c>
      <c r="E249" t="s">
        <v>46</v>
      </c>
      <c r="F249">
        <v>5</v>
      </c>
      <c r="G249" t="s">
        <v>68</v>
      </c>
      <c r="H249" t="s">
        <v>25</v>
      </c>
      <c r="I249" t="s">
        <v>60</v>
      </c>
    </row>
    <row r="250" spans="1:9" x14ac:dyDescent="0.45">
      <c r="A250" t="s">
        <v>4163</v>
      </c>
      <c r="B250" s="2">
        <v>46184</v>
      </c>
      <c r="C250" t="s">
        <v>66</v>
      </c>
      <c r="D250" t="s">
        <v>4164</v>
      </c>
      <c r="E250" t="s">
        <v>58</v>
      </c>
      <c r="F250">
        <v>1</v>
      </c>
      <c r="G250" t="s">
        <v>59</v>
      </c>
      <c r="H250" t="s">
        <v>14</v>
      </c>
      <c r="I250" t="s">
        <v>39</v>
      </c>
    </row>
    <row r="251" spans="1:9" x14ac:dyDescent="0.45">
      <c r="A251" t="s">
        <v>4165</v>
      </c>
      <c r="B251" s="2">
        <v>46194</v>
      </c>
      <c r="C251" t="s">
        <v>66</v>
      </c>
      <c r="D251" t="s">
        <v>4166</v>
      </c>
      <c r="E251" t="s">
        <v>38</v>
      </c>
      <c r="F251">
        <v>5</v>
      </c>
      <c r="G251" t="s">
        <v>24</v>
      </c>
      <c r="H251" t="s">
        <v>25</v>
      </c>
      <c r="I251" t="s">
        <v>26</v>
      </c>
    </row>
    <row r="252" spans="1:9" x14ac:dyDescent="0.45">
      <c r="A252" t="s">
        <v>4167</v>
      </c>
      <c r="B252" s="2">
        <v>46076</v>
      </c>
      <c r="C252" t="s">
        <v>10</v>
      </c>
      <c r="D252" t="s">
        <v>4168</v>
      </c>
      <c r="E252" t="s">
        <v>75</v>
      </c>
      <c r="F252">
        <v>1</v>
      </c>
      <c r="G252" t="s">
        <v>68</v>
      </c>
      <c r="H252" t="s">
        <v>25</v>
      </c>
      <c r="I252" t="s">
        <v>39</v>
      </c>
    </row>
    <row r="253" spans="1:9" x14ac:dyDescent="0.45">
      <c r="A253" t="s">
        <v>4169</v>
      </c>
      <c r="B253" s="2">
        <v>46164</v>
      </c>
      <c r="C253" t="s">
        <v>49</v>
      </c>
      <c r="D253" t="s">
        <v>4170</v>
      </c>
      <c r="E253" t="s">
        <v>54</v>
      </c>
      <c r="F253">
        <v>3</v>
      </c>
      <c r="G253" t="s">
        <v>55</v>
      </c>
      <c r="H253" t="s">
        <v>72</v>
      </c>
      <c r="I253" t="s">
        <v>60</v>
      </c>
    </row>
    <row r="254" spans="1:9" x14ac:dyDescent="0.45">
      <c r="A254" t="s">
        <v>4171</v>
      </c>
      <c r="B254" s="2">
        <v>46250</v>
      </c>
      <c r="C254" t="s">
        <v>52</v>
      </c>
      <c r="D254" t="s">
        <v>4172</v>
      </c>
      <c r="E254" t="s">
        <v>38</v>
      </c>
      <c r="F254">
        <v>11</v>
      </c>
      <c r="G254" t="s">
        <v>55</v>
      </c>
      <c r="H254" t="s">
        <v>72</v>
      </c>
      <c r="I254" t="s">
        <v>47</v>
      </c>
    </row>
    <row r="255" spans="1:9" x14ac:dyDescent="0.45">
      <c r="A255" t="s">
        <v>4173</v>
      </c>
      <c r="B255" s="2">
        <v>46174</v>
      </c>
      <c r="C255" t="s">
        <v>21</v>
      </c>
      <c r="D255" t="s">
        <v>4174</v>
      </c>
      <c r="E255" t="s">
        <v>58</v>
      </c>
      <c r="F255">
        <v>8</v>
      </c>
      <c r="G255" t="s">
        <v>24</v>
      </c>
      <c r="H255" t="s">
        <v>25</v>
      </c>
      <c r="I255" t="s">
        <v>26</v>
      </c>
    </row>
    <row r="256" spans="1:9" x14ac:dyDescent="0.45">
      <c r="A256" t="s">
        <v>4175</v>
      </c>
      <c r="B256" s="2">
        <v>46084</v>
      </c>
      <c r="C256" t="s">
        <v>99</v>
      </c>
      <c r="D256" t="s">
        <v>4176</v>
      </c>
      <c r="E256" t="s">
        <v>58</v>
      </c>
      <c r="F256">
        <v>2</v>
      </c>
      <c r="G256" t="s">
        <v>24</v>
      </c>
      <c r="H256" t="s">
        <v>25</v>
      </c>
      <c r="I256" t="s">
        <v>39</v>
      </c>
    </row>
    <row r="257" spans="1:9" x14ac:dyDescent="0.45">
      <c r="A257" t="s">
        <v>4177</v>
      </c>
      <c r="B257" s="2">
        <v>46026</v>
      </c>
      <c r="C257" t="s">
        <v>16</v>
      </c>
      <c r="D257" t="s">
        <v>4178</v>
      </c>
      <c r="E257" t="s">
        <v>30</v>
      </c>
      <c r="F257">
        <v>9</v>
      </c>
      <c r="G257" t="s">
        <v>24</v>
      </c>
      <c r="H257" t="s">
        <v>25</v>
      </c>
      <c r="I257" t="s">
        <v>47</v>
      </c>
    </row>
    <row r="258" spans="1:9" x14ac:dyDescent="0.45">
      <c r="A258" t="s">
        <v>4179</v>
      </c>
      <c r="B258" s="2">
        <v>46228</v>
      </c>
      <c r="C258" t="s">
        <v>52</v>
      </c>
      <c r="D258" t="s">
        <v>4180</v>
      </c>
      <c r="E258" t="s">
        <v>42</v>
      </c>
      <c r="F258">
        <v>1</v>
      </c>
      <c r="G258" t="s">
        <v>35</v>
      </c>
      <c r="H258" t="s">
        <v>25</v>
      </c>
      <c r="I258" t="s">
        <v>47</v>
      </c>
    </row>
    <row r="259" spans="1:9" x14ac:dyDescent="0.45">
      <c r="A259" t="s">
        <v>4181</v>
      </c>
      <c r="B259" s="2">
        <v>46131</v>
      </c>
      <c r="C259" t="s">
        <v>16</v>
      </c>
      <c r="D259" t="s">
        <v>4182</v>
      </c>
      <c r="E259" t="s">
        <v>75</v>
      </c>
      <c r="F259">
        <v>10</v>
      </c>
      <c r="G259" t="s">
        <v>35</v>
      </c>
      <c r="H259" t="s">
        <v>25</v>
      </c>
      <c r="I259" t="s">
        <v>31</v>
      </c>
    </row>
    <row r="260" spans="1:9" x14ac:dyDescent="0.45">
      <c r="A260" t="s">
        <v>4183</v>
      </c>
      <c r="B260" s="2">
        <v>46128</v>
      </c>
      <c r="C260" t="s">
        <v>10</v>
      </c>
      <c r="D260" t="s">
        <v>4184</v>
      </c>
      <c r="E260" t="s">
        <v>42</v>
      </c>
      <c r="F260">
        <v>6</v>
      </c>
      <c r="G260" t="s">
        <v>55</v>
      </c>
      <c r="H260" t="s">
        <v>72</v>
      </c>
      <c r="I260" t="s">
        <v>31</v>
      </c>
    </row>
    <row r="261" spans="1:9" x14ac:dyDescent="0.45">
      <c r="A261" t="s">
        <v>4185</v>
      </c>
      <c r="B261" s="2">
        <v>46057</v>
      </c>
      <c r="C261" t="s">
        <v>28</v>
      </c>
      <c r="D261" t="s">
        <v>4186</v>
      </c>
      <c r="E261" t="s">
        <v>42</v>
      </c>
      <c r="F261">
        <v>7</v>
      </c>
      <c r="G261" t="s">
        <v>55</v>
      </c>
      <c r="H261" t="s">
        <v>72</v>
      </c>
      <c r="I261" t="s">
        <v>26</v>
      </c>
    </row>
    <row r="262" spans="1:9" x14ac:dyDescent="0.45">
      <c r="A262" t="s">
        <v>4187</v>
      </c>
      <c r="B262" s="2">
        <v>46140</v>
      </c>
      <c r="C262" t="s">
        <v>66</v>
      </c>
      <c r="D262" t="s">
        <v>4188</v>
      </c>
      <c r="E262" t="s">
        <v>7967</v>
      </c>
      <c r="F262">
        <v>4</v>
      </c>
      <c r="G262" t="s">
        <v>43</v>
      </c>
      <c r="H262" t="s">
        <v>14</v>
      </c>
      <c r="I262" t="s">
        <v>26</v>
      </c>
    </row>
    <row r="263" spans="1:9" x14ac:dyDescent="0.45">
      <c r="A263" t="s">
        <v>4189</v>
      </c>
      <c r="B263" s="2">
        <v>46159</v>
      </c>
      <c r="C263" t="s">
        <v>52</v>
      </c>
      <c r="D263" t="s">
        <v>4190</v>
      </c>
      <c r="E263" t="s">
        <v>23</v>
      </c>
      <c r="F263">
        <v>5</v>
      </c>
      <c r="G263" t="s">
        <v>43</v>
      </c>
      <c r="H263" t="s">
        <v>14</v>
      </c>
      <c r="I263" t="s">
        <v>26</v>
      </c>
    </row>
    <row r="264" spans="1:9" x14ac:dyDescent="0.45">
      <c r="A264" t="s">
        <v>4191</v>
      </c>
      <c r="B264" s="2">
        <v>46249</v>
      </c>
      <c r="C264" t="s">
        <v>28</v>
      </c>
      <c r="D264" t="s">
        <v>4192</v>
      </c>
      <c r="E264" t="s">
        <v>42</v>
      </c>
      <c r="F264">
        <v>10</v>
      </c>
      <c r="G264" t="s">
        <v>43</v>
      </c>
      <c r="H264" t="s">
        <v>14</v>
      </c>
      <c r="I264" t="s">
        <v>19</v>
      </c>
    </row>
    <row r="265" spans="1:9" x14ac:dyDescent="0.45">
      <c r="A265" t="s">
        <v>4193</v>
      </c>
      <c r="B265" s="2">
        <v>46240</v>
      </c>
      <c r="C265" t="s">
        <v>99</v>
      </c>
      <c r="D265" t="s">
        <v>4194</v>
      </c>
      <c r="E265" t="s">
        <v>42</v>
      </c>
      <c r="F265">
        <v>10</v>
      </c>
      <c r="G265" t="s">
        <v>59</v>
      </c>
      <c r="H265" t="s">
        <v>14</v>
      </c>
      <c r="I265" t="s">
        <v>60</v>
      </c>
    </row>
    <row r="266" spans="1:9" x14ac:dyDescent="0.45">
      <c r="A266" t="s">
        <v>4195</v>
      </c>
      <c r="B266" s="2">
        <v>46134</v>
      </c>
      <c r="C266" t="s">
        <v>49</v>
      </c>
      <c r="D266" t="s">
        <v>4196</v>
      </c>
      <c r="E266" t="s">
        <v>310</v>
      </c>
      <c r="F266">
        <v>10</v>
      </c>
      <c r="G266" t="s">
        <v>59</v>
      </c>
      <c r="H266" t="s">
        <v>14</v>
      </c>
      <c r="I266" t="s">
        <v>60</v>
      </c>
    </row>
    <row r="267" spans="1:9" x14ac:dyDescent="0.45">
      <c r="A267" t="s">
        <v>4197</v>
      </c>
      <c r="B267" s="2">
        <v>46037</v>
      </c>
      <c r="C267" t="s">
        <v>49</v>
      </c>
      <c r="D267" t="s">
        <v>4198</v>
      </c>
      <c r="E267" t="s">
        <v>30</v>
      </c>
      <c r="F267">
        <v>12</v>
      </c>
      <c r="G267" t="s">
        <v>55</v>
      </c>
      <c r="H267" t="s">
        <v>72</v>
      </c>
      <c r="I267" t="s">
        <v>60</v>
      </c>
    </row>
    <row r="268" spans="1:9" x14ac:dyDescent="0.45">
      <c r="A268" t="s">
        <v>4199</v>
      </c>
      <c r="B268" s="2">
        <v>46155</v>
      </c>
      <c r="C268" t="s">
        <v>21</v>
      </c>
      <c r="D268" t="s">
        <v>4200</v>
      </c>
      <c r="E268" t="s">
        <v>7973</v>
      </c>
      <c r="F268">
        <v>1</v>
      </c>
      <c r="G268" t="s">
        <v>68</v>
      </c>
      <c r="H268" t="s">
        <v>25</v>
      </c>
      <c r="I268" t="s">
        <v>19</v>
      </c>
    </row>
    <row r="269" spans="1:9" x14ac:dyDescent="0.45">
      <c r="A269" t="s">
        <v>4201</v>
      </c>
      <c r="B269" s="2">
        <v>46026</v>
      </c>
      <c r="C269" t="s">
        <v>10</v>
      </c>
      <c r="D269" t="s">
        <v>4202</v>
      </c>
      <c r="E269" t="s">
        <v>42</v>
      </c>
      <c r="F269">
        <v>1</v>
      </c>
      <c r="G269" t="s">
        <v>24</v>
      </c>
      <c r="H269" t="s">
        <v>25</v>
      </c>
      <c r="I269" t="s">
        <v>31</v>
      </c>
    </row>
    <row r="270" spans="1:9" x14ac:dyDescent="0.45">
      <c r="A270" t="s">
        <v>4203</v>
      </c>
      <c r="B270" s="2">
        <v>46028</v>
      </c>
      <c r="C270" t="s">
        <v>99</v>
      </c>
      <c r="D270" t="s">
        <v>4204</v>
      </c>
      <c r="E270" t="s">
        <v>58</v>
      </c>
      <c r="F270">
        <v>10</v>
      </c>
      <c r="G270" t="s">
        <v>13</v>
      </c>
      <c r="H270" t="s">
        <v>14</v>
      </c>
      <c r="I270" t="s">
        <v>26</v>
      </c>
    </row>
    <row r="271" spans="1:9" x14ac:dyDescent="0.45">
      <c r="A271" t="s">
        <v>4205</v>
      </c>
      <c r="B271" s="2">
        <v>46052</v>
      </c>
      <c r="C271" t="s">
        <v>66</v>
      </c>
      <c r="D271" t="s">
        <v>4206</v>
      </c>
      <c r="E271" t="s">
        <v>46</v>
      </c>
      <c r="F271">
        <v>12</v>
      </c>
      <c r="G271" t="s">
        <v>13</v>
      </c>
      <c r="H271" t="s">
        <v>14</v>
      </c>
      <c r="I271" t="s">
        <v>26</v>
      </c>
    </row>
    <row r="272" spans="1:9" x14ac:dyDescent="0.45">
      <c r="A272" t="s">
        <v>4207</v>
      </c>
      <c r="B272" s="2">
        <v>46141</v>
      </c>
      <c r="C272" t="s">
        <v>66</v>
      </c>
      <c r="D272" t="s">
        <v>4208</v>
      </c>
      <c r="E272" t="s">
        <v>71</v>
      </c>
      <c r="F272">
        <v>1</v>
      </c>
      <c r="G272" t="s">
        <v>55</v>
      </c>
      <c r="H272" t="s">
        <v>72</v>
      </c>
      <c r="I272" t="s">
        <v>60</v>
      </c>
    </row>
    <row r="273" spans="1:9" x14ac:dyDescent="0.45">
      <c r="A273" t="s">
        <v>4209</v>
      </c>
      <c r="B273" s="2">
        <v>46092</v>
      </c>
      <c r="C273" t="s">
        <v>28</v>
      </c>
      <c r="D273" t="s">
        <v>4210</v>
      </c>
      <c r="E273" t="s">
        <v>38</v>
      </c>
      <c r="F273">
        <v>10</v>
      </c>
      <c r="G273" t="s">
        <v>55</v>
      </c>
      <c r="H273" t="s">
        <v>72</v>
      </c>
      <c r="I273" t="s">
        <v>31</v>
      </c>
    </row>
    <row r="274" spans="1:9" x14ac:dyDescent="0.45">
      <c r="A274" t="s">
        <v>4211</v>
      </c>
      <c r="B274" s="2">
        <v>46264</v>
      </c>
      <c r="C274" t="s">
        <v>28</v>
      </c>
      <c r="D274" t="s">
        <v>4212</v>
      </c>
      <c r="E274" t="s">
        <v>30</v>
      </c>
      <c r="F274">
        <v>2</v>
      </c>
      <c r="G274" t="s">
        <v>13</v>
      </c>
      <c r="H274" t="s">
        <v>14</v>
      </c>
      <c r="I274" t="s">
        <v>60</v>
      </c>
    </row>
    <row r="275" spans="1:9" x14ac:dyDescent="0.45">
      <c r="A275" t="s">
        <v>4213</v>
      </c>
      <c r="B275" s="2">
        <v>46091</v>
      </c>
      <c r="C275" t="s">
        <v>66</v>
      </c>
      <c r="D275" t="s">
        <v>4214</v>
      </c>
      <c r="E275" t="s">
        <v>54</v>
      </c>
      <c r="F275">
        <v>2</v>
      </c>
      <c r="G275" t="s">
        <v>68</v>
      </c>
      <c r="H275" t="s">
        <v>25</v>
      </c>
      <c r="I275" t="s">
        <v>39</v>
      </c>
    </row>
    <row r="276" spans="1:9" x14ac:dyDescent="0.45">
      <c r="A276" t="s">
        <v>4215</v>
      </c>
      <c r="B276" s="2">
        <v>46255</v>
      </c>
      <c r="C276" t="s">
        <v>28</v>
      </c>
      <c r="D276" t="s">
        <v>4216</v>
      </c>
      <c r="E276" t="s">
        <v>1370</v>
      </c>
      <c r="F276">
        <v>9</v>
      </c>
      <c r="G276" t="s">
        <v>24</v>
      </c>
      <c r="H276" t="s">
        <v>25</v>
      </c>
      <c r="I276" t="s">
        <v>47</v>
      </c>
    </row>
    <row r="277" spans="1:9" x14ac:dyDescent="0.45">
      <c r="A277" t="s">
        <v>4217</v>
      </c>
      <c r="B277" s="2">
        <v>46084</v>
      </c>
      <c r="C277" t="s">
        <v>21</v>
      </c>
      <c r="D277" t="s">
        <v>4218</v>
      </c>
      <c r="E277" t="s">
        <v>42</v>
      </c>
      <c r="F277">
        <v>7</v>
      </c>
      <c r="G277" t="s">
        <v>13</v>
      </c>
      <c r="H277" t="s">
        <v>14</v>
      </c>
      <c r="I277" t="s">
        <v>31</v>
      </c>
    </row>
    <row r="278" spans="1:9" x14ac:dyDescent="0.45">
      <c r="A278" t="s">
        <v>4219</v>
      </c>
      <c r="B278" s="2">
        <v>46036</v>
      </c>
      <c r="C278" t="s">
        <v>66</v>
      </c>
      <c r="D278" t="s">
        <v>4220</v>
      </c>
      <c r="E278" t="s">
        <v>34</v>
      </c>
      <c r="F278">
        <v>10</v>
      </c>
      <c r="G278" t="s">
        <v>35</v>
      </c>
      <c r="H278" t="s">
        <v>25</v>
      </c>
      <c r="I278" t="s">
        <v>31</v>
      </c>
    </row>
    <row r="279" spans="1:9" x14ac:dyDescent="0.45">
      <c r="A279" t="s">
        <v>4221</v>
      </c>
      <c r="B279" s="2">
        <v>46169</v>
      </c>
      <c r="C279" t="s">
        <v>66</v>
      </c>
      <c r="D279" t="s">
        <v>4222</v>
      </c>
      <c r="E279" t="s">
        <v>75</v>
      </c>
      <c r="F279">
        <v>1</v>
      </c>
      <c r="G279" t="s">
        <v>13</v>
      </c>
      <c r="H279" t="s">
        <v>14</v>
      </c>
      <c r="I279" t="s">
        <v>60</v>
      </c>
    </row>
    <row r="280" spans="1:9" x14ac:dyDescent="0.45">
      <c r="A280" t="s">
        <v>4223</v>
      </c>
      <c r="B280" s="2">
        <v>46029</v>
      </c>
      <c r="C280" t="s">
        <v>21</v>
      </c>
      <c r="D280" t="s">
        <v>4224</v>
      </c>
      <c r="E280" t="s">
        <v>7973</v>
      </c>
      <c r="F280">
        <v>1</v>
      </c>
      <c r="G280" t="s">
        <v>59</v>
      </c>
      <c r="H280" t="s">
        <v>14</v>
      </c>
      <c r="I280" t="s">
        <v>39</v>
      </c>
    </row>
    <row r="281" spans="1:9" x14ac:dyDescent="0.45">
      <c r="A281" t="s">
        <v>4225</v>
      </c>
      <c r="B281" s="2">
        <v>46250</v>
      </c>
      <c r="C281" t="s">
        <v>16</v>
      </c>
      <c r="D281" t="s">
        <v>4226</v>
      </c>
      <c r="E281" t="s">
        <v>46</v>
      </c>
      <c r="F281">
        <v>3</v>
      </c>
      <c r="G281" t="s">
        <v>68</v>
      </c>
      <c r="H281" t="s">
        <v>25</v>
      </c>
      <c r="I281" t="s">
        <v>19</v>
      </c>
    </row>
    <row r="282" spans="1:9" x14ac:dyDescent="0.45">
      <c r="A282" t="s">
        <v>4227</v>
      </c>
      <c r="B282" s="2">
        <v>46226</v>
      </c>
      <c r="C282" t="s">
        <v>10</v>
      </c>
      <c r="D282" t="s">
        <v>4228</v>
      </c>
      <c r="E282" t="s">
        <v>23</v>
      </c>
      <c r="F282">
        <v>8</v>
      </c>
      <c r="G282" t="s">
        <v>13</v>
      </c>
      <c r="H282" t="s">
        <v>14</v>
      </c>
      <c r="I282" t="s">
        <v>39</v>
      </c>
    </row>
    <row r="283" spans="1:9" x14ac:dyDescent="0.45">
      <c r="A283" t="s">
        <v>4229</v>
      </c>
      <c r="B283" s="2">
        <v>46078</v>
      </c>
      <c r="C283" t="s">
        <v>28</v>
      </c>
      <c r="D283" t="s">
        <v>4230</v>
      </c>
      <c r="E283" t="s">
        <v>75</v>
      </c>
      <c r="F283">
        <v>9</v>
      </c>
      <c r="G283" t="s">
        <v>35</v>
      </c>
      <c r="H283" t="s">
        <v>25</v>
      </c>
      <c r="I283" t="s">
        <v>26</v>
      </c>
    </row>
    <row r="284" spans="1:9" x14ac:dyDescent="0.45">
      <c r="A284" t="s">
        <v>4231</v>
      </c>
      <c r="B284" s="2">
        <v>46136</v>
      </c>
      <c r="C284" t="s">
        <v>66</v>
      </c>
      <c r="D284" t="s">
        <v>4232</v>
      </c>
      <c r="E284" t="s">
        <v>46</v>
      </c>
      <c r="F284">
        <v>8</v>
      </c>
      <c r="G284" t="s">
        <v>13</v>
      </c>
      <c r="H284" t="s">
        <v>14</v>
      </c>
      <c r="I284" t="s">
        <v>39</v>
      </c>
    </row>
    <row r="285" spans="1:9" x14ac:dyDescent="0.45">
      <c r="A285" t="s">
        <v>4233</v>
      </c>
      <c r="B285" s="2">
        <v>46236</v>
      </c>
      <c r="C285" t="s">
        <v>49</v>
      </c>
      <c r="D285" t="s">
        <v>4234</v>
      </c>
      <c r="E285" t="s">
        <v>7973</v>
      </c>
      <c r="F285">
        <v>1</v>
      </c>
      <c r="G285" t="s">
        <v>18</v>
      </c>
      <c r="H285" t="s">
        <v>14</v>
      </c>
      <c r="I285" t="s">
        <v>26</v>
      </c>
    </row>
    <row r="286" spans="1:9" x14ac:dyDescent="0.45">
      <c r="A286" t="s">
        <v>4235</v>
      </c>
      <c r="B286" s="2">
        <v>46247</v>
      </c>
      <c r="C286" t="s">
        <v>16</v>
      </c>
      <c r="D286" t="s">
        <v>4236</v>
      </c>
      <c r="E286" t="s">
        <v>30</v>
      </c>
      <c r="F286">
        <v>9</v>
      </c>
      <c r="G286" t="s">
        <v>43</v>
      </c>
      <c r="H286" t="s">
        <v>14</v>
      </c>
      <c r="I286" t="s">
        <v>39</v>
      </c>
    </row>
    <row r="287" spans="1:9" x14ac:dyDescent="0.45">
      <c r="A287" t="s">
        <v>4237</v>
      </c>
      <c r="B287" s="2">
        <v>46170</v>
      </c>
      <c r="C287" t="s">
        <v>10</v>
      </c>
      <c r="D287" t="s">
        <v>4238</v>
      </c>
      <c r="E287" t="s">
        <v>54</v>
      </c>
      <c r="F287">
        <v>2</v>
      </c>
      <c r="G287" t="s">
        <v>55</v>
      </c>
      <c r="H287" t="s">
        <v>72</v>
      </c>
      <c r="I287" t="s">
        <v>39</v>
      </c>
    </row>
    <row r="288" spans="1:9" x14ac:dyDescent="0.45">
      <c r="A288" t="s">
        <v>4239</v>
      </c>
      <c r="B288" s="2">
        <v>46069</v>
      </c>
      <c r="C288" t="s">
        <v>52</v>
      </c>
      <c r="D288" t="s">
        <v>4240</v>
      </c>
      <c r="E288" t="s">
        <v>58</v>
      </c>
      <c r="F288">
        <v>2</v>
      </c>
      <c r="G288" t="s">
        <v>68</v>
      </c>
      <c r="H288" t="s">
        <v>25</v>
      </c>
      <c r="I288" t="s">
        <v>26</v>
      </c>
    </row>
    <row r="289" spans="1:9" x14ac:dyDescent="0.45">
      <c r="A289" t="s">
        <v>4241</v>
      </c>
      <c r="B289" s="2">
        <v>46044</v>
      </c>
      <c r="C289" t="s">
        <v>49</v>
      </c>
      <c r="D289" t="s">
        <v>4242</v>
      </c>
      <c r="E289" t="s">
        <v>75</v>
      </c>
      <c r="F289">
        <v>10</v>
      </c>
      <c r="G289" t="s">
        <v>43</v>
      </c>
      <c r="H289" t="s">
        <v>14</v>
      </c>
      <c r="I289" t="s">
        <v>60</v>
      </c>
    </row>
    <row r="290" spans="1:9" x14ac:dyDescent="0.45">
      <c r="A290" t="s">
        <v>4243</v>
      </c>
      <c r="B290" s="2">
        <v>46237</v>
      </c>
      <c r="C290" t="s">
        <v>49</v>
      </c>
      <c r="D290" t="s">
        <v>4244</v>
      </c>
      <c r="E290" t="s">
        <v>7967</v>
      </c>
      <c r="F290">
        <v>10</v>
      </c>
      <c r="G290" t="s">
        <v>59</v>
      </c>
      <c r="H290" t="s">
        <v>14</v>
      </c>
      <c r="I290" t="s">
        <v>31</v>
      </c>
    </row>
    <row r="291" spans="1:9" x14ac:dyDescent="0.45">
      <c r="A291" t="s">
        <v>4245</v>
      </c>
      <c r="B291" s="2">
        <v>46241</v>
      </c>
      <c r="C291" t="s">
        <v>28</v>
      </c>
      <c r="D291" t="s">
        <v>4246</v>
      </c>
      <c r="E291" t="s">
        <v>7973</v>
      </c>
      <c r="F291">
        <v>9</v>
      </c>
      <c r="G291" t="s">
        <v>68</v>
      </c>
      <c r="H291" t="s">
        <v>25</v>
      </c>
      <c r="I291" t="s">
        <v>47</v>
      </c>
    </row>
    <row r="292" spans="1:9" x14ac:dyDescent="0.45">
      <c r="A292" t="s">
        <v>4247</v>
      </c>
      <c r="B292" s="2">
        <v>46204</v>
      </c>
      <c r="C292" t="s">
        <v>16</v>
      </c>
      <c r="D292" t="s">
        <v>4248</v>
      </c>
      <c r="E292" t="s">
        <v>23</v>
      </c>
      <c r="F292">
        <v>11</v>
      </c>
      <c r="G292" t="s">
        <v>18</v>
      </c>
      <c r="H292" t="s">
        <v>14</v>
      </c>
      <c r="I292" t="s">
        <v>31</v>
      </c>
    </row>
    <row r="293" spans="1:9" x14ac:dyDescent="0.45">
      <c r="A293" t="s">
        <v>4249</v>
      </c>
      <c r="B293" s="2">
        <v>46073</v>
      </c>
      <c r="C293" t="s">
        <v>49</v>
      </c>
      <c r="D293" t="s">
        <v>4250</v>
      </c>
      <c r="E293" t="s">
        <v>34</v>
      </c>
      <c r="F293">
        <v>9</v>
      </c>
      <c r="G293" t="s">
        <v>13</v>
      </c>
      <c r="H293" t="s">
        <v>14</v>
      </c>
      <c r="I293" t="s">
        <v>31</v>
      </c>
    </row>
    <row r="294" spans="1:9" x14ac:dyDescent="0.45">
      <c r="A294" t="s">
        <v>4251</v>
      </c>
      <c r="B294" s="2">
        <v>46076</v>
      </c>
      <c r="C294" t="s">
        <v>49</v>
      </c>
      <c r="D294" t="s">
        <v>4252</v>
      </c>
      <c r="E294" t="s">
        <v>46</v>
      </c>
      <c r="F294">
        <v>2</v>
      </c>
      <c r="G294" t="s">
        <v>18</v>
      </c>
      <c r="H294" t="s">
        <v>14</v>
      </c>
      <c r="I294" t="s">
        <v>19</v>
      </c>
    </row>
    <row r="295" spans="1:9" x14ac:dyDescent="0.45">
      <c r="A295" t="s">
        <v>4253</v>
      </c>
      <c r="B295" s="2">
        <v>46167</v>
      </c>
      <c r="C295" t="s">
        <v>99</v>
      </c>
      <c r="D295" t="s">
        <v>4254</v>
      </c>
      <c r="E295" t="s">
        <v>58</v>
      </c>
      <c r="F295">
        <v>9</v>
      </c>
      <c r="G295" t="s">
        <v>35</v>
      </c>
      <c r="H295" t="s">
        <v>25</v>
      </c>
      <c r="I295" t="s">
        <v>39</v>
      </c>
    </row>
    <row r="296" spans="1:9" x14ac:dyDescent="0.45">
      <c r="A296" t="s">
        <v>4255</v>
      </c>
      <c r="B296" s="2">
        <v>46034</v>
      </c>
      <c r="C296" t="s">
        <v>16</v>
      </c>
      <c r="D296" t="s">
        <v>4256</v>
      </c>
      <c r="E296" t="s">
        <v>163</v>
      </c>
      <c r="F296">
        <v>5</v>
      </c>
      <c r="G296" t="s">
        <v>13</v>
      </c>
      <c r="H296" t="s">
        <v>14</v>
      </c>
      <c r="I296" t="s">
        <v>19</v>
      </c>
    </row>
    <row r="297" spans="1:9" x14ac:dyDescent="0.45">
      <c r="A297" t="s">
        <v>4257</v>
      </c>
      <c r="B297" s="2">
        <v>46210</v>
      </c>
      <c r="C297" t="s">
        <v>66</v>
      </c>
      <c r="D297" t="s">
        <v>4258</v>
      </c>
      <c r="E297" t="s">
        <v>7973</v>
      </c>
      <c r="F297">
        <v>5</v>
      </c>
      <c r="G297" t="s">
        <v>35</v>
      </c>
      <c r="H297" t="s">
        <v>25</v>
      </c>
      <c r="I297" t="s">
        <v>19</v>
      </c>
    </row>
    <row r="298" spans="1:9" x14ac:dyDescent="0.45">
      <c r="A298" t="s">
        <v>4259</v>
      </c>
      <c r="B298" s="2">
        <v>46100</v>
      </c>
      <c r="C298" t="s">
        <v>16</v>
      </c>
      <c r="D298" t="s">
        <v>4260</v>
      </c>
      <c r="E298" t="s">
        <v>34</v>
      </c>
      <c r="F298">
        <v>12</v>
      </c>
      <c r="G298" t="s">
        <v>18</v>
      </c>
      <c r="H298" t="s">
        <v>14</v>
      </c>
      <c r="I298" t="s">
        <v>31</v>
      </c>
    </row>
    <row r="299" spans="1:9" x14ac:dyDescent="0.45">
      <c r="A299" t="s">
        <v>4261</v>
      </c>
      <c r="B299" s="2">
        <v>46190</v>
      </c>
      <c r="C299" t="s">
        <v>28</v>
      </c>
      <c r="D299" t="s">
        <v>4262</v>
      </c>
      <c r="E299" t="s">
        <v>23</v>
      </c>
      <c r="F299">
        <v>3</v>
      </c>
      <c r="G299" t="s">
        <v>55</v>
      </c>
      <c r="H299" t="s">
        <v>72</v>
      </c>
      <c r="I299" t="s">
        <v>39</v>
      </c>
    </row>
    <row r="300" spans="1:9" x14ac:dyDescent="0.45">
      <c r="A300" t="s">
        <v>4263</v>
      </c>
      <c r="B300" s="2">
        <v>46207</v>
      </c>
      <c r="C300" t="s">
        <v>10</v>
      </c>
      <c r="D300" t="s">
        <v>4264</v>
      </c>
      <c r="E300" t="s">
        <v>23</v>
      </c>
      <c r="F300">
        <v>9</v>
      </c>
      <c r="G300" t="s">
        <v>18</v>
      </c>
      <c r="H300" t="s">
        <v>14</v>
      </c>
      <c r="I300" t="s">
        <v>47</v>
      </c>
    </row>
    <row r="301" spans="1:9" x14ac:dyDescent="0.45">
      <c r="A301" t="s">
        <v>4265</v>
      </c>
      <c r="B301" s="2">
        <v>46196</v>
      </c>
      <c r="C301" t="s">
        <v>16</v>
      </c>
      <c r="D301" t="s">
        <v>4266</v>
      </c>
      <c r="E301" t="s">
        <v>7974</v>
      </c>
      <c r="F301">
        <v>7</v>
      </c>
      <c r="G301" t="s">
        <v>35</v>
      </c>
      <c r="H301" t="s">
        <v>25</v>
      </c>
      <c r="I301" t="s">
        <v>39</v>
      </c>
    </row>
    <row r="302" spans="1:9" x14ac:dyDescent="0.45">
      <c r="A302" t="s">
        <v>4267</v>
      </c>
      <c r="B302" s="2">
        <v>46053</v>
      </c>
      <c r="C302" t="s">
        <v>66</v>
      </c>
      <c r="D302" t="s">
        <v>4268</v>
      </c>
      <c r="E302" t="s">
        <v>30</v>
      </c>
      <c r="F302">
        <v>2</v>
      </c>
      <c r="G302" t="s">
        <v>35</v>
      </c>
      <c r="H302" t="s">
        <v>25</v>
      </c>
      <c r="I302" t="s">
        <v>26</v>
      </c>
    </row>
    <row r="303" spans="1:9" x14ac:dyDescent="0.45">
      <c r="A303" t="s">
        <v>4269</v>
      </c>
      <c r="B303" s="2">
        <v>46111</v>
      </c>
      <c r="C303" t="s">
        <v>52</v>
      </c>
      <c r="D303" t="s">
        <v>4270</v>
      </c>
      <c r="E303" t="s">
        <v>75</v>
      </c>
      <c r="F303">
        <v>5</v>
      </c>
      <c r="G303" t="s">
        <v>13</v>
      </c>
      <c r="H303" t="s">
        <v>14</v>
      </c>
      <c r="I303" t="s">
        <v>60</v>
      </c>
    </row>
    <row r="304" spans="1:9" x14ac:dyDescent="0.45">
      <c r="A304" t="s">
        <v>4271</v>
      </c>
      <c r="B304" s="2">
        <v>46092</v>
      </c>
      <c r="C304" t="s">
        <v>52</v>
      </c>
      <c r="D304" t="s">
        <v>4272</v>
      </c>
      <c r="E304" t="s">
        <v>71</v>
      </c>
      <c r="F304">
        <v>8</v>
      </c>
      <c r="G304" t="s">
        <v>68</v>
      </c>
      <c r="H304" t="s">
        <v>25</v>
      </c>
      <c r="I304" t="s">
        <v>39</v>
      </c>
    </row>
    <row r="305" spans="1:9" x14ac:dyDescent="0.45">
      <c r="A305" t="s">
        <v>4273</v>
      </c>
      <c r="B305" s="2">
        <v>46133</v>
      </c>
      <c r="C305" t="s">
        <v>49</v>
      </c>
      <c r="D305" t="s">
        <v>4274</v>
      </c>
      <c r="E305" t="s">
        <v>54</v>
      </c>
      <c r="F305">
        <v>9</v>
      </c>
      <c r="G305" t="s">
        <v>13</v>
      </c>
      <c r="H305" t="s">
        <v>14</v>
      </c>
      <c r="I305" t="s">
        <v>60</v>
      </c>
    </row>
    <row r="306" spans="1:9" x14ac:dyDescent="0.45">
      <c r="A306" t="s">
        <v>4275</v>
      </c>
      <c r="B306" s="2">
        <v>46055</v>
      </c>
      <c r="C306" t="s">
        <v>10</v>
      </c>
      <c r="D306" t="s">
        <v>4276</v>
      </c>
      <c r="E306" t="s">
        <v>71</v>
      </c>
      <c r="F306">
        <v>4</v>
      </c>
      <c r="G306" t="s">
        <v>59</v>
      </c>
      <c r="H306" t="s">
        <v>14</v>
      </c>
      <c r="I306" t="s">
        <v>60</v>
      </c>
    </row>
    <row r="307" spans="1:9" x14ac:dyDescent="0.45">
      <c r="A307" t="s">
        <v>4277</v>
      </c>
      <c r="B307" s="2">
        <v>46064</v>
      </c>
      <c r="C307" t="s">
        <v>49</v>
      </c>
      <c r="D307" t="s">
        <v>4278</v>
      </c>
      <c r="E307" t="s">
        <v>71</v>
      </c>
      <c r="F307">
        <v>4</v>
      </c>
      <c r="G307" t="s">
        <v>43</v>
      </c>
      <c r="H307" t="s">
        <v>14</v>
      </c>
      <c r="I307" t="s">
        <v>60</v>
      </c>
    </row>
    <row r="308" spans="1:9" x14ac:dyDescent="0.45">
      <c r="A308" t="s">
        <v>4279</v>
      </c>
      <c r="B308" s="2">
        <v>46266</v>
      </c>
      <c r="C308" t="s">
        <v>49</v>
      </c>
      <c r="D308" t="s">
        <v>4280</v>
      </c>
      <c r="E308" t="s">
        <v>30</v>
      </c>
      <c r="F308">
        <v>5</v>
      </c>
      <c r="G308" t="s">
        <v>35</v>
      </c>
      <c r="H308" t="s">
        <v>25</v>
      </c>
      <c r="I308" t="s">
        <v>39</v>
      </c>
    </row>
    <row r="309" spans="1:9" x14ac:dyDescent="0.45">
      <c r="A309" t="s">
        <v>4281</v>
      </c>
      <c r="B309" s="2">
        <v>46087</v>
      </c>
      <c r="C309" t="s">
        <v>16</v>
      </c>
      <c r="D309" t="s">
        <v>4282</v>
      </c>
      <c r="E309" t="s">
        <v>42</v>
      </c>
      <c r="F309">
        <v>7</v>
      </c>
      <c r="G309" t="s">
        <v>24</v>
      </c>
      <c r="H309" t="s">
        <v>25</v>
      </c>
      <c r="I309" t="s">
        <v>19</v>
      </c>
    </row>
    <row r="310" spans="1:9" x14ac:dyDescent="0.45">
      <c r="A310" t="s">
        <v>4283</v>
      </c>
      <c r="B310" s="2">
        <v>46237</v>
      </c>
      <c r="C310" t="s">
        <v>16</v>
      </c>
      <c r="D310" t="s">
        <v>4284</v>
      </c>
      <c r="E310" t="s">
        <v>34</v>
      </c>
      <c r="F310">
        <v>5</v>
      </c>
      <c r="G310" t="s">
        <v>18</v>
      </c>
      <c r="H310" t="s">
        <v>14</v>
      </c>
      <c r="I310" t="s">
        <v>39</v>
      </c>
    </row>
    <row r="311" spans="1:9" x14ac:dyDescent="0.45">
      <c r="A311" t="s">
        <v>4285</v>
      </c>
      <c r="B311" s="2">
        <v>46086</v>
      </c>
      <c r="C311" t="s">
        <v>52</v>
      </c>
      <c r="D311" t="s">
        <v>4286</v>
      </c>
      <c r="E311" t="s">
        <v>23</v>
      </c>
      <c r="F311">
        <v>11</v>
      </c>
      <c r="G311" t="s">
        <v>43</v>
      </c>
      <c r="H311" t="s">
        <v>14</v>
      </c>
      <c r="I311" t="s">
        <v>39</v>
      </c>
    </row>
    <row r="312" spans="1:9" x14ac:dyDescent="0.45">
      <c r="A312" t="s">
        <v>4287</v>
      </c>
      <c r="B312" s="2">
        <v>46023</v>
      </c>
      <c r="C312" t="s">
        <v>66</v>
      </c>
      <c r="D312" t="s">
        <v>4288</v>
      </c>
      <c r="E312" t="s">
        <v>75</v>
      </c>
      <c r="F312">
        <v>7</v>
      </c>
      <c r="G312" t="s">
        <v>18</v>
      </c>
      <c r="H312" t="s">
        <v>14</v>
      </c>
      <c r="I312" t="s">
        <v>47</v>
      </c>
    </row>
    <row r="313" spans="1:9" x14ac:dyDescent="0.45">
      <c r="A313" t="s">
        <v>4289</v>
      </c>
      <c r="B313" s="2">
        <v>46034</v>
      </c>
      <c r="C313" t="s">
        <v>10</v>
      </c>
      <c r="D313" t="s">
        <v>4290</v>
      </c>
      <c r="E313" t="s">
        <v>7973</v>
      </c>
      <c r="F313">
        <v>2</v>
      </c>
      <c r="G313" t="s">
        <v>13</v>
      </c>
      <c r="H313" t="s">
        <v>14</v>
      </c>
      <c r="I313" t="s">
        <v>60</v>
      </c>
    </row>
    <row r="314" spans="1:9" x14ac:dyDescent="0.45">
      <c r="A314" t="s">
        <v>4291</v>
      </c>
      <c r="B314" s="2">
        <v>46031</v>
      </c>
      <c r="C314" t="s">
        <v>66</v>
      </c>
      <c r="D314" t="s">
        <v>4292</v>
      </c>
      <c r="E314" t="s">
        <v>75</v>
      </c>
      <c r="F314">
        <v>6</v>
      </c>
      <c r="G314" t="s">
        <v>24</v>
      </c>
      <c r="H314" t="s">
        <v>25</v>
      </c>
      <c r="I314" t="s">
        <v>31</v>
      </c>
    </row>
    <row r="315" spans="1:9" x14ac:dyDescent="0.45">
      <c r="A315" t="s">
        <v>4293</v>
      </c>
      <c r="B315" s="2">
        <v>46255</v>
      </c>
      <c r="C315" t="s">
        <v>28</v>
      </c>
      <c r="D315" t="s">
        <v>4294</v>
      </c>
      <c r="E315" t="s">
        <v>7973</v>
      </c>
      <c r="F315">
        <v>8</v>
      </c>
      <c r="G315" t="s">
        <v>35</v>
      </c>
      <c r="H315" t="s">
        <v>25</v>
      </c>
      <c r="I315" t="s">
        <v>60</v>
      </c>
    </row>
    <row r="316" spans="1:9" x14ac:dyDescent="0.45">
      <c r="A316" t="s">
        <v>4295</v>
      </c>
      <c r="B316" s="2">
        <v>46025</v>
      </c>
      <c r="C316" t="s">
        <v>21</v>
      </c>
      <c r="D316" t="s">
        <v>4296</v>
      </c>
      <c r="E316" t="s">
        <v>30</v>
      </c>
      <c r="F316">
        <v>8</v>
      </c>
      <c r="G316" t="s">
        <v>35</v>
      </c>
      <c r="H316" t="s">
        <v>25</v>
      </c>
      <c r="I316" t="s">
        <v>31</v>
      </c>
    </row>
    <row r="317" spans="1:9" x14ac:dyDescent="0.45">
      <c r="A317" t="s">
        <v>4297</v>
      </c>
      <c r="B317" s="2">
        <v>46179</v>
      </c>
      <c r="C317" t="s">
        <v>10</v>
      </c>
      <c r="D317" t="s">
        <v>4298</v>
      </c>
      <c r="E317" t="s">
        <v>46</v>
      </c>
      <c r="F317">
        <v>1</v>
      </c>
      <c r="G317" t="s">
        <v>18</v>
      </c>
      <c r="H317" t="s">
        <v>14</v>
      </c>
      <c r="I317" t="s">
        <v>26</v>
      </c>
    </row>
    <row r="318" spans="1:9" x14ac:dyDescent="0.45">
      <c r="A318" t="s">
        <v>4299</v>
      </c>
      <c r="B318" s="2">
        <v>46169</v>
      </c>
      <c r="C318" t="s">
        <v>21</v>
      </c>
      <c r="D318" t="s">
        <v>4300</v>
      </c>
      <c r="E318" t="s">
        <v>58</v>
      </c>
      <c r="F318">
        <v>12</v>
      </c>
      <c r="G318" t="s">
        <v>55</v>
      </c>
      <c r="H318" t="s">
        <v>72</v>
      </c>
      <c r="I318" t="s">
        <v>19</v>
      </c>
    </row>
    <row r="319" spans="1:9" x14ac:dyDescent="0.45">
      <c r="A319" t="s">
        <v>4301</v>
      </c>
      <c r="B319" s="2">
        <v>46261</v>
      </c>
      <c r="C319" t="s">
        <v>66</v>
      </c>
      <c r="D319" t="s">
        <v>4302</v>
      </c>
      <c r="E319" t="s">
        <v>23</v>
      </c>
      <c r="F319">
        <v>1</v>
      </c>
      <c r="G319" t="s">
        <v>55</v>
      </c>
      <c r="H319" t="s">
        <v>72</v>
      </c>
      <c r="I319" t="s">
        <v>60</v>
      </c>
    </row>
    <row r="320" spans="1:9" x14ac:dyDescent="0.45">
      <c r="A320" t="s">
        <v>4303</v>
      </c>
      <c r="B320" s="2">
        <v>46178</v>
      </c>
      <c r="C320" t="s">
        <v>28</v>
      </c>
      <c r="D320" t="s">
        <v>4304</v>
      </c>
      <c r="E320" t="s">
        <v>30</v>
      </c>
      <c r="F320">
        <v>9</v>
      </c>
      <c r="G320" t="s">
        <v>24</v>
      </c>
      <c r="H320" t="s">
        <v>25</v>
      </c>
      <c r="I320" t="s">
        <v>26</v>
      </c>
    </row>
    <row r="321" spans="1:9" x14ac:dyDescent="0.45">
      <c r="A321" t="s">
        <v>4305</v>
      </c>
      <c r="B321" s="2">
        <v>46210</v>
      </c>
      <c r="C321" t="s">
        <v>49</v>
      </c>
      <c r="D321" t="s">
        <v>4306</v>
      </c>
      <c r="E321" t="s">
        <v>58</v>
      </c>
      <c r="F321">
        <v>7</v>
      </c>
      <c r="G321" t="s">
        <v>24</v>
      </c>
      <c r="H321" t="s">
        <v>25</v>
      </c>
      <c r="I321" t="s">
        <v>60</v>
      </c>
    </row>
    <row r="322" spans="1:9" x14ac:dyDescent="0.45">
      <c r="A322" t="s">
        <v>4307</v>
      </c>
      <c r="B322" s="2">
        <v>46074</v>
      </c>
      <c r="C322" t="s">
        <v>52</v>
      </c>
      <c r="D322" t="s">
        <v>4308</v>
      </c>
      <c r="E322" t="s">
        <v>54</v>
      </c>
      <c r="F322">
        <v>6</v>
      </c>
      <c r="G322" t="s">
        <v>55</v>
      </c>
      <c r="H322" t="s">
        <v>72</v>
      </c>
      <c r="I322" t="s">
        <v>26</v>
      </c>
    </row>
    <row r="323" spans="1:9" x14ac:dyDescent="0.45">
      <c r="A323" t="s">
        <v>4309</v>
      </c>
      <c r="B323" s="2">
        <v>46190</v>
      </c>
      <c r="C323" t="s">
        <v>49</v>
      </c>
      <c r="D323" t="s">
        <v>4310</v>
      </c>
      <c r="E323" t="s">
        <v>38</v>
      </c>
      <c r="F323">
        <v>12</v>
      </c>
      <c r="G323" t="s">
        <v>35</v>
      </c>
      <c r="H323" t="s">
        <v>25</v>
      </c>
      <c r="I323" t="s">
        <v>26</v>
      </c>
    </row>
    <row r="324" spans="1:9" x14ac:dyDescent="0.45">
      <c r="A324" t="s">
        <v>4311</v>
      </c>
      <c r="B324" s="2">
        <v>46170</v>
      </c>
      <c r="C324" t="s">
        <v>10</v>
      </c>
      <c r="D324" t="s">
        <v>4312</v>
      </c>
      <c r="E324" t="s">
        <v>54</v>
      </c>
      <c r="F324">
        <v>1</v>
      </c>
      <c r="G324" t="s">
        <v>18</v>
      </c>
      <c r="H324" t="s">
        <v>14</v>
      </c>
      <c r="I324" t="s">
        <v>60</v>
      </c>
    </row>
    <row r="325" spans="1:9" x14ac:dyDescent="0.45">
      <c r="A325" t="s">
        <v>4313</v>
      </c>
      <c r="B325" s="2">
        <v>46142</v>
      </c>
      <c r="C325" t="s">
        <v>16</v>
      </c>
      <c r="D325" t="s">
        <v>4314</v>
      </c>
      <c r="E325" t="s">
        <v>449</v>
      </c>
      <c r="F325">
        <v>9</v>
      </c>
      <c r="G325" t="s">
        <v>59</v>
      </c>
      <c r="H325" t="s">
        <v>14</v>
      </c>
      <c r="I325" t="s">
        <v>47</v>
      </c>
    </row>
    <row r="326" spans="1:9" x14ac:dyDescent="0.45">
      <c r="A326" t="s">
        <v>4315</v>
      </c>
      <c r="B326" s="2">
        <v>46062</v>
      </c>
      <c r="C326" t="s">
        <v>52</v>
      </c>
      <c r="D326" t="s">
        <v>4316</v>
      </c>
      <c r="E326" t="s">
        <v>58</v>
      </c>
      <c r="F326">
        <v>10</v>
      </c>
      <c r="G326" t="s">
        <v>55</v>
      </c>
      <c r="H326" t="s">
        <v>72</v>
      </c>
      <c r="I326" t="s">
        <v>31</v>
      </c>
    </row>
    <row r="327" spans="1:9" x14ac:dyDescent="0.45">
      <c r="A327" t="s">
        <v>4317</v>
      </c>
      <c r="B327" s="2">
        <v>46047</v>
      </c>
      <c r="C327" t="s">
        <v>16</v>
      </c>
      <c r="D327" t="s">
        <v>4318</v>
      </c>
      <c r="E327" t="s">
        <v>38</v>
      </c>
      <c r="F327">
        <v>1</v>
      </c>
      <c r="G327" t="s">
        <v>13</v>
      </c>
      <c r="H327" t="s">
        <v>14</v>
      </c>
      <c r="I327" t="s">
        <v>60</v>
      </c>
    </row>
    <row r="328" spans="1:9" x14ac:dyDescent="0.45">
      <c r="A328" t="s">
        <v>4319</v>
      </c>
      <c r="B328" s="2">
        <v>46108</v>
      </c>
      <c r="C328" t="s">
        <v>28</v>
      </c>
      <c r="D328" t="s">
        <v>4320</v>
      </c>
      <c r="E328" t="s">
        <v>58</v>
      </c>
      <c r="F328">
        <v>4</v>
      </c>
      <c r="G328" t="s">
        <v>35</v>
      </c>
      <c r="H328" t="s">
        <v>25</v>
      </c>
      <c r="I328" t="s">
        <v>60</v>
      </c>
    </row>
    <row r="329" spans="1:9" x14ac:dyDescent="0.45">
      <c r="A329" t="s">
        <v>4321</v>
      </c>
      <c r="B329" s="2">
        <v>46088</v>
      </c>
      <c r="C329" t="s">
        <v>21</v>
      </c>
      <c r="D329" t="s">
        <v>4322</v>
      </c>
      <c r="E329" t="s">
        <v>2306</v>
      </c>
      <c r="F329">
        <v>5</v>
      </c>
      <c r="G329" t="s">
        <v>18</v>
      </c>
      <c r="H329" t="s">
        <v>14</v>
      </c>
      <c r="I329" t="s">
        <v>60</v>
      </c>
    </row>
    <row r="330" spans="1:9" x14ac:dyDescent="0.45">
      <c r="A330" t="s">
        <v>4323</v>
      </c>
      <c r="B330" s="2">
        <v>46170</v>
      </c>
      <c r="C330" t="s">
        <v>52</v>
      </c>
      <c r="D330" t="s">
        <v>4324</v>
      </c>
      <c r="E330" t="s">
        <v>58</v>
      </c>
      <c r="F330">
        <v>2</v>
      </c>
      <c r="G330" t="s">
        <v>43</v>
      </c>
      <c r="H330" t="s">
        <v>14</v>
      </c>
      <c r="I330" t="s">
        <v>60</v>
      </c>
    </row>
    <row r="331" spans="1:9" x14ac:dyDescent="0.45">
      <c r="A331" t="s">
        <v>4325</v>
      </c>
      <c r="B331" s="2">
        <v>46146</v>
      </c>
      <c r="C331" t="s">
        <v>28</v>
      </c>
      <c r="D331" t="s">
        <v>4326</v>
      </c>
      <c r="E331" t="s">
        <v>42</v>
      </c>
      <c r="F331">
        <v>7</v>
      </c>
      <c r="G331" t="s">
        <v>68</v>
      </c>
      <c r="H331" t="s">
        <v>25</v>
      </c>
      <c r="I331" t="s">
        <v>19</v>
      </c>
    </row>
    <row r="332" spans="1:9" x14ac:dyDescent="0.45">
      <c r="A332" t="s">
        <v>4327</v>
      </c>
      <c r="B332" s="2">
        <v>46173</v>
      </c>
      <c r="C332" t="s">
        <v>49</v>
      </c>
      <c r="D332" t="s">
        <v>4328</v>
      </c>
      <c r="E332" t="s">
        <v>23</v>
      </c>
      <c r="F332">
        <v>5</v>
      </c>
      <c r="G332" t="s">
        <v>43</v>
      </c>
      <c r="H332" t="s">
        <v>14</v>
      </c>
      <c r="I332" t="s">
        <v>60</v>
      </c>
    </row>
    <row r="333" spans="1:9" x14ac:dyDescent="0.45">
      <c r="A333" t="s">
        <v>4329</v>
      </c>
      <c r="B333" s="2">
        <v>46167</v>
      </c>
      <c r="C333" t="s">
        <v>28</v>
      </c>
      <c r="D333" t="s">
        <v>4330</v>
      </c>
      <c r="E333" t="s">
        <v>71</v>
      </c>
      <c r="F333">
        <v>4</v>
      </c>
      <c r="G333" t="s">
        <v>59</v>
      </c>
      <c r="H333" t="s">
        <v>14</v>
      </c>
      <c r="I333" t="s">
        <v>19</v>
      </c>
    </row>
    <row r="334" spans="1:9" x14ac:dyDescent="0.45">
      <c r="A334" t="s">
        <v>4331</v>
      </c>
      <c r="B334" s="2">
        <v>46057</v>
      </c>
      <c r="C334" t="s">
        <v>28</v>
      </c>
      <c r="D334" t="s">
        <v>4332</v>
      </c>
      <c r="E334" t="s">
        <v>71</v>
      </c>
      <c r="F334">
        <v>5</v>
      </c>
      <c r="G334" t="s">
        <v>68</v>
      </c>
      <c r="H334" t="s">
        <v>25</v>
      </c>
      <c r="I334" t="s">
        <v>31</v>
      </c>
    </row>
    <row r="335" spans="1:9" x14ac:dyDescent="0.45">
      <c r="A335" t="s">
        <v>4333</v>
      </c>
      <c r="B335" s="2">
        <v>46192</v>
      </c>
      <c r="C335" t="s">
        <v>52</v>
      </c>
      <c r="D335" t="s">
        <v>4334</v>
      </c>
      <c r="E335" t="s">
        <v>71</v>
      </c>
      <c r="F335">
        <v>6</v>
      </c>
      <c r="G335" t="s">
        <v>35</v>
      </c>
      <c r="H335" t="s">
        <v>25</v>
      </c>
      <c r="I335" t="s">
        <v>39</v>
      </c>
    </row>
    <row r="336" spans="1:9" x14ac:dyDescent="0.45">
      <c r="A336" t="s">
        <v>4335</v>
      </c>
      <c r="B336" s="2">
        <v>46171</v>
      </c>
      <c r="C336" t="s">
        <v>49</v>
      </c>
      <c r="D336" t="s">
        <v>4336</v>
      </c>
      <c r="E336" t="s">
        <v>2306</v>
      </c>
      <c r="F336">
        <v>9</v>
      </c>
      <c r="G336" t="s">
        <v>18</v>
      </c>
      <c r="H336" t="s">
        <v>14</v>
      </c>
      <c r="I336" t="s">
        <v>47</v>
      </c>
    </row>
    <row r="337" spans="1:9" x14ac:dyDescent="0.45">
      <c r="A337" t="s">
        <v>4337</v>
      </c>
      <c r="B337" s="2">
        <v>46023</v>
      </c>
      <c r="C337" t="s">
        <v>21</v>
      </c>
      <c r="D337" t="s">
        <v>4338</v>
      </c>
      <c r="E337" t="s">
        <v>58</v>
      </c>
      <c r="F337">
        <v>8</v>
      </c>
      <c r="G337" t="s">
        <v>35</v>
      </c>
      <c r="H337" t="s">
        <v>25</v>
      </c>
      <c r="I337" t="s">
        <v>39</v>
      </c>
    </row>
    <row r="338" spans="1:9" x14ac:dyDescent="0.45">
      <c r="A338" t="s">
        <v>4339</v>
      </c>
      <c r="B338" s="2">
        <v>46097</v>
      </c>
      <c r="C338" t="s">
        <v>21</v>
      </c>
      <c r="D338" t="s">
        <v>4340</v>
      </c>
      <c r="E338" t="s">
        <v>75</v>
      </c>
      <c r="F338">
        <v>4</v>
      </c>
      <c r="G338" t="s">
        <v>59</v>
      </c>
      <c r="H338" t="s">
        <v>14</v>
      </c>
      <c r="I338" t="s">
        <v>19</v>
      </c>
    </row>
    <row r="339" spans="1:9" x14ac:dyDescent="0.45">
      <c r="A339" t="s">
        <v>4341</v>
      </c>
      <c r="B339" s="2">
        <v>46204</v>
      </c>
      <c r="C339" t="s">
        <v>66</v>
      </c>
      <c r="D339" t="s">
        <v>4342</v>
      </c>
      <c r="E339" t="s">
        <v>46</v>
      </c>
      <c r="F339">
        <v>9</v>
      </c>
      <c r="G339" t="s">
        <v>13</v>
      </c>
      <c r="H339" t="s">
        <v>14</v>
      </c>
      <c r="I339" t="s">
        <v>47</v>
      </c>
    </row>
    <row r="340" spans="1:9" x14ac:dyDescent="0.45">
      <c r="A340" t="s">
        <v>4343</v>
      </c>
      <c r="B340" s="2">
        <v>46068</v>
      </c>
      <c r="C340" t="s">
        <v>10</v>
      </c>
      <c r="D340" t="s">
        <v>4344</v>
      </c>
      <c r="E340" t="s">
        <v>34</v>
      </c>
      <c r="F340">
        <v>10</v>
      </c>
      <c r="G340" t="s">
        <v>55</v>
      </c>
      <c r="H340" t="s">
        <v>72</v>
      </c>
      <c r="I340" t="s">
        <v>31</v>
      </c>
    </row>
    <row r="341" spans="1:9" x14ac:dyDescent="0.45">
      <c r="A341" t="s">
        <v>4345</v>
      </c>
      <c r="B341" s="2">
        <v>46225</v>
      </c>
      <c r="C341" t="s">
        <v>16</v>
      </c>
      <c r="D341" t="s">
        <v>4346</v>
      </c>
      <c r="E341" t="s">
        <v>7974</v>
      </c>
      <c r="F341">
        <v>4</v>
      </c>
      <c r="G341" t="s">
        <v>43</v>
      </c>
      <c r="H341" t="s">
        <v>14</v>
      </c>
      <c r="I341" t="s">
        <v>19</v>
      </c>
    </row>
    <row r="342" spans="1:9" x14ac:dyDescent="0.45">
      <c r="A342" t="s">
        <v>4347</v>
      </c>
      <c r="B342" s="2">
        <v>46200</v>
      </c>
      <c r="C342" t="s">
        <v>99</v>
      </c>
      <c r="D342" t="s">
        <v>4348</v>
      </c>
      <c r="E342" t="s">
        <v>58</v>
      </c>
      <c r="F342">
        <v>7</v>
      </c>
      <c r="G342" t="s">
        <v>68</v>
      </c>
      <c r="H342" t="s">
        <v>25</v>
      </c>
      <c r="I342" t="s">
        <v>47</v>
      </c>
    </row>
    <row r="343" spans="1:9" x14ac:dyDescent="0.45">
      <c r="A343" t="s">
        <v>4349</v>
      </c>
      <c r="B343" s="2">
        <v>46252</v>
      </c>
      <c r="C343" t="s">
        <v>21</v>
      </c>
      <c r="D343" t="s">
        <v>4350</v>
      </c>
      <c r="E343" t="s">
        <v>7974</v>
      </c>
      <c r="F343">
        <v>2</v>
      </c>
      <c r="G343" t="s">
        <v>18</v>
      </c>
      <c r="H343" t="s">
        <v>14</v>
      </c>
      <c r="I343" t="s">
        <v>26</v>
      </c>
    </row>
    <row r="344" spans="1:9" x14ac:dyDescent="0.45">
      <c r="A344" t="s">
        <v>4351</v>
      </c>
      <c r="B344" s="2">
        <v>46085</v>
      </c>
      <c r="C344" t="s">
        <v>16</v>
      </c>
      <c r="D344" t="s">
        <v>4352</v>
      </c>
      <c r="E344" t="s">
        <v>1495</v>
      </c>
      <c r="F344">
        <v>10</v>
      </c>
      <c r="G344" t="s">
        <v>68</v>
      </c>
      <c r="H344" t="s">
        <v>25</v>
      </c>
      <c r="I344" t="s">
        <v>39</v>
      </c>
    </row>
    <row r="345" spans="1:9" x14ac:dyDescent="0.45">
      <c r="A345" t="s">
        <v>4353</v>
      </c>
      <c r="B345" s="2">
        <v>46199</v>
      </c>
      <c r="C345" t="s">
        <v>16</v>
      </c>
      <c r="D345" t="s">
        <v>4354</v>
      </c>
      <c r="E345" t="s">
        <v>75</v>
      </c>
      <c r="F345">
        <v>8</v>
      </c>
      <c r="G345" t="s">
        <v>59</v>
      </c>
      <c r="H345" t="s">
        <v>14</v>
      </c>
      <c r="I345" t="s">
        <v>47</v>
      </c>
    </row>
    <row r="346" spans="1:9" x14ac:dyDescent="0.45">
      <c r="A346" t="s">
        <v>4355</v>
      </c>
      <c r="B346" s="2">
        <v>46047</v>
      </c>
      <c r="C346" t="s">
        <v>10</v>
      </c>
      <c r="D346" t="s">
        <v>4356</v>
      </c>
      <c r="E346" t="s">
        <v>34</v>
      </c>
      <c r="F346">
        <v>3</v>
      </c>
      <c r="G346" t="s">
        <v>43</v>
      </c>
      <c r="H346" t="s">
        <v>14</v>
      </c>
      <c r="I346" t="s">
        <v>31</v>
      </c>
    </row>
    <row r="347" spans="1:9" x14ac:dyDescent="0.45">
      <c r="A347" t="s">
        <v>4357</v>
      </c>
      <c r="B347" s="2">
        <v>46060</v>
      </c>
      <c r="C347" t="s">
        <v>21</v>
      </c>
      <c r="D347" t="s">
        <v>4358</v>
      </c>
      <c r="E347" t="s">
        <v>71</v>
      </c>
      <c r="F347">
        <v>10</v>
      </c>
      <c r="G347" t="s">
        <v>18</v>
      </c>
      <c r="H347" t="s">
        <v>14</v>
      </c>
      <c r="I347" t="s">
        <v>31</v>
      </c>
    </row>
    <row r="348" spans="1:9" x14ac:dyDescent="0.45">
      <c r="A348" t="s">
        <v>4359</v>
      </c>
      <c r="B348" s="2">
        <v>46214</v>
      </c>
      <c r="C348" t="s">
        <v>16</v>
      </c>
      <c r="D348" t="s">
        <v>4360</v>
      </c>
      <c r="E348" t="s">
        <v>46</v>
      </c>
      <c r="F348">
        <v>8</v>
      </c>
      <c r="G348" t="s">
        <v>24</v>
      </c>
      <c r="H348" t="s">
        <v>25</v>
      </c>
      <c r="I348" t="s">
        <v>39</v>
      </c>
    </row>
    <row r="349" spans="1:9" x14ac:dyDescent="0.45">
      <c r="A349" t="s">
        <v>4361</v>
      </c>
      <c r="B349" s="2">
        <v>46266</v>
      </c>
      <c r="C349" t="s">
        <v>66</v>
      </c>
      <c r="D349" t="s">
        <v>4362</v>
      </c>
      <c r="E349" t="s">
        <v>54</v>
      </c>
      <c r="F349">
        <v>4</v>
      </c>
      <c r="G349" t="s">
        <v>59</v>
      </c>
      <c r="H349" t="s">
        <v>14</v>
      </c>
      <c r="I349" t="s">
        <v>31</v>
      </c>
    </row>
    <row r="350" spans="1:9" x14ac:dyDescent="0.45">
      <c r="A350" t="s">
        <v>4363</v>
      </c>
      <c r="B350" s="2">
        <v>46109</v>
      </c>
      <c r="C350" t="s">
        <v>99</v>
      </c>
      <c r="D350" t="s">
        <v>4364</v>
      </c>
      <c r="E350" t="s">
        <v>7974</v>
      </c>
      <c r="F350">
        <v>11</v>
      </c>
      <c r="G350" t="s">
        <v>24</v>
      </c>
      <c r="H350" t="s">
        <v>25</v>
      </c>
      <c r="I350" t="s">
        <v>19</v>
      </c>
    </row>
    <row r="351" spans="1:9" x14ac:dyDescent="0.45">
      <c r="A351" t="s">
        <v>4365</v>
      </c>
      <c r="B351" s="2">
        <v>46212</v>
      </c>
      <c r="C351" t="s">
        <v>49</v>
      </c>
      <c r="D351" t="s">
        <v>4366</v>
      </c>
      <c r="E351" t="s">
        <v>71</v>
      </c>
      <c r="F351">
        <v>2</v>
      </c>
      <c r="G351" t="s">
        <v>43</v>
      </c>
      <c r="H351" t="s">
        <v>14</v>
      </c>
      <c r="I351" t="s">
        <v>31</v>
      </c>
    </row>
    <row r="352" spans="1:9" x14ac:dyDescent="0.45">
      <c r="A352" t="s">
        <v>4367</v>
      </c>
      <c r="B352" s="2">
        <v>46123</v>
      </c>
      <c r="C352" t="s">
        <v>21</v>
      </c>
      <c r="D352" t="s">
        <v>4368</v>
      </c>
      <c r="E352" t="s">
        <v>34</v>
      </c>
      <c r="F352">
        <v>2</v>
      </c>
      <c r="G352" t="s">
        <v>18</v>
      </c>
      <c r="H352" t="s">
        <v>14</v>
      </c>
      <c r="I352" t="s">
        <v>39</v>
      </c>
    </row>
    <row r="353" spans="1:9" x14ac:dyDescent="0.45">
      <c r="A353" t="s">
        <v>4369</v>
      </c>
      <c r="B353" s="2">
        <v>46113</v>
      </c>
      <c r="C353" t="s">
        <v>66</v>
      </c>
      <c r="D353" t="s">
        <v>4370</v>
      </c>
      <c r="E353" t="s">
        <v>42</v>
      </c>
      <c r="F353">
        <v>2</v>
      </c>
      <c r="G353" t="s">
        <v>43</v>
      </c>
      <c r="H353" t="s">
        <v>14</v>
      </c>
      <c r="I353" t="s">
        <v>19</v>
      </c>
    </row>
    <row r="354" spans="1:9" x14ac:dyDescent="0.45">
      <c r="A354" t="s">
        <v>4371</v>
      </c>
      <c r="B354" s="2">
        <v>46098</v>
      </c>
      <c r="C354" t="s">
        <v>52</v>
      </c>
      <c r="D354" t="s">
        <v>4372</v>
      </c>
      <c r="E354" t="s">
        <v>7974</v>
      </c>
      <c r="F354">
        <v>2</v>
      </c>
      <c r="G354" t="s">
        <v>68</v>
      </c>
      <c r="H354" t="s">
        <v>25</v>
      </c>
      <c r="I354" t="s">
        <v>47</v>
      </c>
    </row>
    <row r="355" spans="1:9" x14ac:dyDescent="0.45">
      <c r="A355" t="s">
        <v>4373</v>
      </c>
      <c r="B355" s="2">
        <v>46237</v>
      </c>
      <c r="C355" t="s">
        <v>52</v>
      </c>
      <c r="D355" t="s">
        <v>4374</v>
      </c>
      <c r="E355" t="s">
        <v>71</v>
      </c>
      <c r="F355">
        <v>11</v>
      </c>
      <c r="G355" t="s">
        <v>43</v>
      </c>
      <c r="H355" t="s">
        <v>14</v>
      </c>
      <c r="I355" t="s">
        <v>31</v>
      </c>
    </row>
    <row r="356" spans="1:9" x14ac:dyDescent="0.45">
      <c r="A356" t="s">
        <v>4375</v>
      </c>
      <c r="B356" s="2">
        <v>46232</v>
      </c>
      <c r="C356" t="s">
        <v>52</v>
      </c>
      <c r="D356" t="s">
        <v>4376</v>
      </c>
      <c r="E356" t="s">
        <v>58</v>
      </c>
      <c r="F356">
        <v>9</v>
      </c>
      <c r="G356" t="s">
        <v>68</v>
      </c>
      <c r="H356" t="s">
        <v>25</v>
      </c>
      <c r="I356" t="s">
        <v>60</v>
      </c>
    </row>
    <row r="357" spans="1:9" x14ac:dyDescent="0.45">
      <c r="A357" t="s">
        <v>4377</v>
      </c>
      <c r="B357" s="2">
        <v>46188</v>
      </c>
      <c r="C357" t="s">
        <v>99</v>
      </c>
      <c r="D357" t="s">
        <v>4378</v>
      </c>
      <c r="E357" t="s">
        <v>7973</v>
      </c>
      <c r="F357">
        <v>10</v>
      </c>
      <c r="G357" t="s">
        <v>43</v>
      </c>
      <c r="H357" t="s">
        <v>14</v>
      </c>
      <c r="I357" t="s">
        <v>60</v>
      </c>
    </row>
    <row r="358" spans="1:9" x14ac:dyDescent="0.45">
      <c r="A358" t="s">
        <v>4379</v>
      </c>
      <c r="B358" s="2">
        <v>46040</v>
      </c>
      <c r="C358" t="s">
        <v>99</v>
      </c>
      <c r="D358" t="s">
        <v>4380</v>
      </c>
      <c r="E358" t="s">
        <v>54</v>
      </c>
      <c r="F358">
        <v>4</v>
      </c>
      <c r="G358" t="s">
        <v>59</v>
      </c>
      <c r="H358" t="s">
        <v>14</v>
      </c>
      <c r="I358" t="s">
        <v>39</v>
      </c>
    </row>
    <row r="359" spans="1:9" x14ac:dyDescent="0.45">
      <c r="A359" t="s">
        <v>4381</v>
      </c>
      <c r="B359" s="2">
        <v>46093</v>
      </c>
      <c r="C359" t="s">
        <v>16</v>
      </c>
      <c r="D359" t="s">
        <v>4382</v>
      </c>
      <c r="E359" t="s">
        <v>7967</v>
      </c>
      <c r="F359">
        <v>10</v>
      </c>
      <c r="G359" t="s">
        <v>59</v>
      </c>
      <c r="H359" t="s">
        <v>14</v>
      </c>
      <c r="I359" t="s">
        <v>39</v>
      </c>
    </row>
    <row r="360" spans="1:9" x14ac:dyDescent="0.45">
      <c r="A360" t="s">
        <v>4383</v>
      </c>
      <c r="B360" s="2">
        <v>46217</v>
      </c>
      <c r="C360" t="s">
        <v>28</v>
      </c>
      <c r="D360" t="s">
        <v>4384</v>
      </c>
      <c r="E360" t="s">
        <v>30</v>
      </c>
      <c r="F360">
        <v>8</v>
      </c>
      <c r="G360" t="s">
        <v>13</v>
      </c>
      <c r="H360" t="s">
        <v>14</v>
      </c>
      <c r="I360" t="s">
        <v>31</v>
      </c>
    </row>
    <row r="361" spans="1:9" x14ac:dyDescent="0.45">
      <c r="A361" t="s">
        <v>4385</v>
      </c>
      <c r="B361" s="2">
        <v>46199</v>
      </c>
      <c r="C361" t="s">
        <v>16</v>
      </c>
      <c r="D361" t="s">
        <v>4386</v>
      </c>
      <c r="E361" t="s">
        <v>54</v>
      </c>
      <c r="F361">
        <v>8</v>
      </c>
      <c r="G361" t="s">
        <v>24</v>
      </c>
      <c r="H361" t="s">
        <v>25</v>
      </c>
      <c r="I361" t="s">
        <v>39</v>
      </c>
    </row>
    <row r="362" spans="1:9" x14ac:dyDescent="0.45">
      <c r="A362" t="s">
        <v>4387</v>
      </c>
      <c r="B362" s="2">
        <v>46144</v>
      </c>
      <c r="C362" t="s">
        <v>16</v>
      </c>
      <c r="D362" t="s">
        <v>4388</v>
      </c>
      <c r="E362" t="s">
        <v>58</v>
      </c>
      <c r="F362">
        <v>2</v>
      </c>
      <c r="G362" t="s">
        <v>59</v>
      </c>
      <c r="H362" t="s">
        <v>14</v>
      </c>
      <c r="I362" t="s">
        <v>47</v>
      </c>
    </row>
    <row r="363" spans="1:9" x14ac:dyDescent="0.45">
      <c r="A363" t="s">
        <v>4389</v>
      </c>
      <c r="B363" s="2">
        <v>46237</v>
      </c>
      <c r="C363" t="s">
        <v>49</v>
      </c>
      <c r="D363" t="s">
        <v>4390</v>
      </c>
      <c r="E363" t="s">
        <v>46</v>
      </c>
      <c r="F363">
        <v>7</v>
      </c>
      <c r="G363" t="s">
        <v>43</v>
      </c>
      <c r="H363" t="s">
        <v>14</v>
      </c>
      <c r="I363" t="s">
        <v>39</v>
      </c>
    </row>
    <row r="364" spans="1:9" x14ac:dyDescent="0.45">
      <c r="A364" t="s">
        <v>4391</v>
      </c>
      <c r="B364" s="2">
        <v>46204</v>
      </c>
      <c r="C364" t="s">
        <v>52</v>
      </c>
      <c r="D364" t="s">
        <v>4392</v>
      </c>
      <c r="E364" t="s">
        <v>7974</v>
      </c>
      <c r="F364">
        <v>3</v>
      </c>
      <c r="G364" t="s">
        <v>55</v>
      </c>
      <c r="H364" t="s">
        <v>72</v>
      </c>
      <c r="I364" t="s">
        <v>19</v>
      </c>
    </row>
    <row r="365" spans="1:9" x14ac:dyDescent="0.45">
      <c r="A365" t="s">
        <v>4393</v>
      </c>
      <c r="B365" s="2">
        <v>46091</v>
      </c>
      <c r="C365" t="s">
        <v>16</v>
      </c>
      <c r="D365" t="s">
        <v>4394</v>
      </c>
      <c r="E365" t="s">
        <v>54</v>
      </c>
      <c r="F365">
        <v>12</v>
      </c>
      <c r="G365" t="s">
        <v>35</v>
      </c>
      <c r="H365" t="s">
        <v>25</v>
      </c>
      <c r="I365" t="s">
        <v>39</v>
      </c>
    </row>
    <row r="366" spans="1:9" x14ac:dyDescent="0.45">
      <c r="A366" t="s">
        <v>4395</v>
      </c>
      <c r="B366" s="2">
        <v>46239</v>
      </c>
      <c r="C366" t="s">
        <v>28</v>
      </c>
      <c r="D366" t="s">
        <v>4396</v>
      </c>
      <c r="E366" t="s">
        <v>58</v>
      </c>
      <c r="F366">
        <v>10</v>
      </c>
      <c r="G366" t="s">
        <v>24</v>
      </c>
      <c r="H366" t="s">
        <v>25</v>
      </c>
      <c r="I366" t="s">
        <v>26</v>
      </c>
    </row>
    <row r="367" spans="1:9" x14ac:dyDescent="0.45">
      <c r="A367" t="s">
        <v>4397</v>
      </c>
      <c r="B367" s="2">
        <v>46168</v>
      </c>
      <c r="C367" t="s">
        <v>49</v>
      </c>
      <c r="D367" t="s">
        <v>4398</v>
      </c>
      <c r="E367" t="s">
        <v>46</v>
      </c>
      <c r="F367">
        <v>7</v>
      </c>
      <c r="G367" t="s">
        <v>13</v>
      </c>
      <c r="H367" t="s">
        <v>14</v>
      </c>
      <c r="I367" t="s">
        <v>60</v>
      </c>
    </row>
    <row r="368" spans="1:9" x14ac:dyDescent="0.45">
      <c r="A368" t="s">
        <v>4399</v>
      </c>
      <c r="B368" s="2">
        <v>46151</v>
      </c>
      <c r="C368" t="s">
        <v>66</v>
      </c>
      <c r="D368" t="s">
        <v>4400</v>
      </c>
      <c r="E368" t="s">
        <v>30</v>
      </c>
      <c r="F368">
        <v>9</v>
      </c>
      <c r="G368" t="s">
        <v>35</v>
      </c>
      <c r="H368" t="s">
        <v>25</v>
      </c>
      <c r="I368" t="s">
        <v>19</v>
      </c>
    </row>
    <row r="369" spans="1:9" x14ac:dyDescent="0.45">
      <c r="A369" t="s">
        <v>4401</v>
      </c>
      <c r="B369" s="2">
        <v>46074</v>
      </c>
      <c r="C369" t="s">
        <v>49</v>
      </c>
      <c r="D369" t="s">
        <v>4402</v>
      </c>
      <c r="E369" t="s">
        <v>54</v>
      </c>
      <c r="F369">
        <v>6</v>
      </c>
      <c r="G369" t="s">
        <v>35</v>
      </c>
      <c r="H369" t="s">
        <v>25</v>
      </c>
      <c r="I369" t="s">
        <v>60</v>
      </c>
    </row>
    <row r="370" spans="1:9" x14ac:dyDescent="0.45">
      <c r="A370" t="s">
        <v>4403</v>
      </c>
      <c r="B370" s="2">
        <v>46224</v>
      </c>
      <c r="C370" t="s">
        <v>66</v>
      </c>
      <c r="D370" t="s">
        <v>4404</v>
      </c>
      <c r="E370" t="s">
        <v>30</v>
      </c>
      <c r="F370">
        <v>8</v>
      </c>
      <c r="G370" t="s">
        <v>43</v>
      </c>
      <c r="H370" t="s">
        <v>14</v>
      </c>
      <c r="I370" t="s">
        <v>19</v>
      </c>
    </row>
    <row r="371" spans="1:9" x14ac:dyDescent="0.45">
      <c r="A371" t="s">
        <v>4405</v>
      </c>
      <c r="B371" s="2">
        <v>46173</v>
      </c>
      <c r="C371" t="s">
        <v>99</v>
      </c>
      <c r="D371" t="s">
        <v>4406</v>
      </c>
      <c r="E371" t="s">
        <v>54</v>
      </c>
      <c r="F371">
        <v>9</v>
      </c>
      <c r="G371" t="s">
        <v>13</v>
      </c>
      <c r="H371" t="s">
        <v>14</v>
      </c>
      <c r="I371" t="s">
        <v>19</v>
      </c>
    </row>
    <row r="372" spans="1:9" x14ac:dyDescent="0.45">
      <c r="A372" t="s">
        <v>4407</v>
      </c>
      <c r="B372" s="2">
        <v>46089</v>
      </c>
      <c r="C372" t="s">
        <v>99</v>
      </c>
      <c r="D372" t="s">
        <v>4408</v>
      </c>
      <c r="E372" t="s">
        <v>46</v>
      </c>
      <c r="F372">
        <v>5</v>
      </c>
      <c r="G372" t="s">
        <v>35</v>
      </c>
      <c r="H372" t="s">
        <v>25</v>
      </c>
      <c r="I372" t="s">
        <v>19</v>
      </c>
    </row>
    <row r="373" spans="1:9" x14ac:dyDescent="0.45">
      <c r="A373" t="s">
        <v>4409</v>
      </c>
      <c r="B373" s="2">
        <v>46030</v>
      </c>
      <c r="C373" t="s">
        <v>21</v>
      </c>
      <c r="D373" t="s">
        <v>4410</v>
      </c>
      <c r="E373" t="s">
        <v>30</v>
      </c>
      <c r="F373">
        <v>10</v>
      </c>
      <c r="G373" t="s">
        <v>59</v>
      </c>
      <c r="H373" t="s">
        <v>14</v>
      </c>
      <c r="I373" t="s">
        <v>47</v>
      </c>
    </row>
    <row r="374" spans="1:9" x14ac:dyDescent="0.45">
      <c r="A374" t="s">
        <v>4411</v>
      </c>
      <c r="B374" s="2">
        <v>46256</v>
      </c>
      <c r="C374" t="s">
        <v>10</v>
      </c>
      <c r="D374" t="s">
        <v>4412</v>
      </c>
      <c r="E374" t="s">
        <v>30</v>
      </c>
      <c r="F374">
        <v>2</v>
      </c>
      <c r="G374" t="s">
        <v>55</v>
      </c>
      <c r="H374" t="s">
        <v>72</v>
      </c>
      <c r="I374" t="s">
        <v>60</v>
      </c>
    </row>
    <row r="375" spans="1:9" x14ac:dyDescent="0.45">
      <c r="A375" t="s">
        <v>4413</v>
      </c>
      <c r="B375" s="2">
        <v>46205</v>
      </c>
      <c r="C375" t="s">
        <v>21</v>
      </c>
      <c r="D375" t="s">
        <v>4414</v>
      </c>
      <c r="E375" t="s">
        <v>42</v>
      </c>
      <c r="F375">
        <v>3</v>
      </c>
      <c r="G375" t="s">
        <v>59</v>
      </c>
      <c r="H375" t="s">
        <v>14</v>
      </c>
      <c r="I375" t="s">
        <v>31</v>
      </c>
    </row>
    <row r="376" spans="1:9" x14ac:dyDescent="0.45">
      <c r="A376" t="s">
        <v>4415</v>
      </c>
      <c r="B376" s="2">
        <v>46246</v>
      </c>
      <c r="C376" t="s">
        <v>10</v>
      </c>
      <c r="D376" t="s">
        <v>4416</v>
      </c>
      <c r="E376" t="s">
        <v>58</v>
      </c>
      <c r="F376">
        <v>8</v>
      </c>
      <c r="G376" t="s">
        <v>24</v>
      </c>
      <c r="H376" t="s">
        <v>25</v>
      </c>
      <c r="I376" t="s">
        <v>26</v>
      </c>
    </row>
    <row r="377" spans="1:9" x14ac:dyDescent="0.45">
      <c r="A377" t="s">
        <v>4417</v>
      </c>
      <c r="B377" s="2">
        <v>46160</v>
      </c>
      <c r="C377" t="s">
        <v>21</v>
      </c>
      <c r="D377" t="s">
        <v>4418</v>
      </c>
      <c r="E377" t="s">
        <v>7973</v>
      </c>
      <c r="F377">
        <v>12</v>
      </c>
      <c r="G377" t="s">
        <v>18</v>
      </c>
      <c r="H377" t="s">
        <v>14</v>
      </c>
      <c r="I377" t="s">
        <v>60</v>
      </c>
    </row>
    <row r="378" spans="1:9" x14ac:dyDescent="0.45">
      <c r="A378" t="s">
        <v>4419</v>
      </c>
      <c r="B378" s="2">
        <v>46243</v>
      </c>
      <c r="C378" t="s">
        <v>10</v>
      </c>
      <c r="D378" t="s">
        <v>4420</v>
      </c>
      <c r="E378" t="s">
        <v>7974</v>
      </c>
      <c r="F378">
        <v>11</v>
      </c>
      <c r="G378" t="s">
        <v>35</v>
      </c>
      <c r="H378" t="s">
        <v>25</v>
      </c>
      <c r="I378" t="s">
        <v>47</v>
      </c>
    </row>
    <row r="379" spans="1:9" x14ac:dyDescent="0.45">
      <c r="A379" t="s">
        <v>4421</v>
      </c>
      <c r="B379" s="2">
        <v>46253</v>
      </c>
      <c r="C379" t="s">
        <v>49</v>
      </c>
      <c r="D379" t="s">
        <v>4422</v>
      </c>
      <c r="E379" t="s">
        <v>54</v>
      </c>
      <c r="F379">
        <v>9</v>
      </c>
      <c r="G379" t="s">
        <v>13</v>
      </c>
      <c r="H379" t="s">
        <v>14</v>
      </c>
      <c r="I379" t="s">
        <v>31</v>
      </c>
    </row>
    <row r="380" spans="1:9" x14ac:dyDescent="0.45">
      <c r="A380" t="s">
        <v>4423</v>
      </c>
      <c r="B380" s="2">
        <v>46116</v>
      </c>
      <c r="C380" t="s">
        <v>16</v>
      </c>
      <c r="D380" t="s">
        <v>4424</v>
      </c>
      <c r="E380" t="s">
        <v>46</v>
      </c>
      <c r="F380">
        <v>5</v>
      </c>
      <c r="G380" t="s">
        <v>55</v>
      </c>
      <c r="H380" t="s">
        <v>72</v>
      </c>
      <c r="I380" t="s">
        <v>26</v>
      </c>
    </row>
    <row r="381" spans="1:9" x14ac:dyDescent="0.45">
      <c r="A381" t="s">
        <v>4425</v>
      </c>
      <c r="B381" s="2">
        <v>46110</v>
      </c>
      <c r="C381" t="s">
        <v>99</v>
      </c>
      <c r="D381" t="s">
        <v>4426</v>
      </c>
      <c r="E381" t="s">
        <v>23</v>
      </c>
      <c r="F381">
        <v>9</v>
      </c>
      <c r="G381" t="s">
        <v>24</v>
      </c>
      <c r="H381" t="s">
        <v>25</v>
      </c>
      <c r="I381" t="s">
        <v>31</v>
      </c>
    </row>
    <row r="382" spans="1:9" x14ac:dyDescent="0.45">
      <c r="A382" t="s">
        <v>4427</v>
      </c>
      <c r="B382" s="2">
        <v>46258</v>
      </c>
      <c r="C382" t="s">
        <v>28</v>
      </c>
      <c r="D382" t="s">
        <v>4428</v>
      </c>
      <c r="E382" t="s">
        <v>75</v>
      </c>
      <c r="F382">
        <v>11</v>
      </c>
      <c r="G382" t="s">
        <v>18</v>
      </c>
      <c r="H382" t="s">
        <v>14</v>
      </c>
      <c r="I382" t="s">
        <v>31</v>
      </c>
    </row>
    <row r="383" spans="1:9" x14ac:dyDescent="0.45">
      <c r="A383" t="s">
        <v>4429</v>
      </c>
      <c r="B383" s="2">
        <v>46053</v>
      </c>
      <c r="C383" t="s">
        <v>16</v>
      </c>
      <c r="D383" t="s">
        <v>4430</v>
      </c>
      <c r="E383" t="s">
        <v>71</v>
      </c>
      <c r="F383">
        <v>5</v>
      </c>
      <c r="G383" t="s">
        <v>13</v>
      </c>
      <c r="H383" t="s">
        <v>14</v>
      </c>
      <c r="I383" t="s">
        <v>26</v>
      </c>
    </row>
    <row r="384" spans="1:9" x14ac:dyDescent="0.45">
      <c r="A384" t="s">
        <v>4431</v>
      </c>
      <c r="B384" s="2">
        <v>46025</v>
      </c>
      <c r="C384" t="s">
        <v>10</v>
      </c>
      <c r="D384" t="s">
        <v>4432</v>
      </c>
      <c r="E384" t="s">
        <v>42</v>
      </c>
      <c r="F384">
        <v>6</v>
      </c>
      <c r="G384" t="s">
        <v>35</v>
      </c>
      <c r="H384" t="s">
        <v>25</v>
      </c>
      <c r="I384" t="s">
        <v>31</v>
      </c>
    </row>
    <row r="385" spans="1:9" x14ac:dyDescent="0.45">
      <c r="A385" t="s">
        <v>4433</v>
      </c>
      <c r="B385" s="2">
        <v>46115</v>
      </c>
      <c r="C385" t="s">
        <v>16</v>
      </c>
      <c r="D385" t="s">
        <v>4434</v>
      </c>
      <c r="E385" t="s">
        <v>23</v>
      </c>
      <c r="F385">
        <v>3</v>
      </c>
      <c r="G385" t="s">
        <v>68</v>
      </c>
      <c r="H385" t="s">
        <v>25</v>
      </c>
      <c r="I385" t="s">
        <v>26</v>
      </c>
    </row>
    <row r="386" spans="1:9" x14ac:dyDescent="0.45">
      <c r="A386" t="s">
        <v>4435</v>
      </c>
      <c r="B386" s="2">
        <v>46122</v>
      </c>
      <c r="C386" t="s">
        <v>52</v>
      </c>
      <c r="D386" t="s">
        <v>4436</v>
      </c>
      <c r="E386" t="s">
        <v>46</v>
      </c>
      <c r="F386">
        <v>12</v>
      </c>
      <c r="G386" t="s">
        <v>24</v>
      </c>
      <c r="H386" t="s">
        <v>25</v>
      </c>
      <c r="I386" t="s">
        <v>31</v>
      </c>
    </row>
    <row r="387" spans="1:9" x14ac:dyDescent="0.45">
      <c r="A387" t="s">
        <v>4437</v>
      </c>
      <c r="B387" s="2">
        <v>46031</v>
      </c>
      <c r="C387" t="s">
        <v>28</v>
      </c>
      <c r="D387" t="s">
        <v>4438</v>
      </c>
      <c r="E387" t="s">
        <v>46</v>
      </c>
      <c r="F387">
        <v>2</v>
      </c>
      <c r="G387" t="s">
        <v>18</v>
      </c>
      <c r="H387" t="s">
        <v>14</v>
      </c>
      <c r="I387" t="s">
        <v>31</v>
      </c>
    </row>
    <row r="388" spans="1:9" x14ac:dyDescent="0.45">
      <c r="A388" t="s">
        <v>4439</v>
      </c>
      <c r="B388" s="2">
        <v>46117</v>
      </c>
      <c r="C388" t="s">
        <v>28</v>
      </c>
      <c r="D388" t="s">
        <v>4440</v>
      </c>
      <c r="E388" t="s">
        <v>58</v>
      </c>
      <c r="F388">
        <v>4</v>
      </c>
      <c r="G388" t="s">
        <v>59</v>
      </c>
      <c r="H388" t="s">
        <v>14</v>
      </c>
      <c r="I388" t="s">
        <v>31</v>
      </c>
    </row>
    <row r="389" spans="1:9" x14ac:dyDescent="0.45">
      <c r="A389" t="s">
        <v>4441</v>
      </c>
      <c r="B389" s="2">
        <v>46261</v>
      </c>
      <c r="C389" t="s">
        <v>16</v>
      </c>
      <c r="D389" t="s">
        <v>4442</v>
      </c>
      <c r="E389" t="s">
        <v>23</v>
      </c>
      <c r="F389">
        <v>10</v>
      </c>
      <c r="G389" t="s">
        <v>59</v>
      </c>
      <c r="H389" t="s">
        <v>14</v>
      </c>
      <c r="I389" t="s">
        <v>26</v>
      </c>
    </row>
    <row r="390" spans="1:9" x14ac:dyDescent="0.45">
      <c r="A390" t="s">
        <v>4443</v>
      </c>
      <c r="B390" s="2">
        <v>46101</v>
      </c>
      <c r="C390" t="s">
        <v>16</v>
      </c>
      <c r="D390" t="s">
        <v>4444</v>
      </c>
      <c r="E390" t="s">
        <v>58</v>
      </c>
      <c r="F390">
        <v>12</v>
      </c>
      <c r="G390" t="s">
        <v>35</v>
      </c>
      <c r="H390" t="s">
        <v>25</v>
      </c>
      <c r="I390" t="s">
        <v>39</v>
      </c>
    </row>
    <row r="391" spans="1:9" x14ac:dyDescent="0.45">
      <c r="A391" t="s">
        <v>4445</v>
      </c>
      <c r="B391" s="2">
        <v>46182</v>
      </c>
      <c r="C391" t="s">
        <v>99</v>
      </c>
      <c r="D391" t="s">
        <v>4446</v>
      </c>
      <c r="E391" t="s">
        <v>7974</v>
      </c>
      <c r="F391">
        <v>6</v>
      </c>
      <c r="G391" t="s">
        <v>18</v>
      </c>
      <c r="H391" t="s">
        <v>14</v>
      </c>
      <c r="I391" t="s">
        <v>26</v>
      </c>
    </row>
    <row r="392" spans="1:9" x14ac:dyDescent="0.45">
      <c r="A392" t="s">
        <v>4447</v>
      </c>
      <c r="B392" s="2">
        <v>46197</v>
      </c>
      <c r="C392" t="s">
        <v>28</v>
      </c>
      <c r="D392" t="s">
        <v>4448</v>
      </c>
      <c r="E392" t="s">
        <v>42</v>
      </c>
      <c r="F392">
        <v>4</v>
      </c>
      <c r="G392" t="s">
        <v>68</v>
      </c>
      <c r="H392" t="s">
        <v>25</v>
      </c>
      <c r="I392" t="s">
        <v>26</v>
      </c>
    </row>
    <row r="393" spans="1:9" x14ac:dyDescent="0.45">
      <c r="A393" t="s">
        <v>4449</v>
      </c>
      <c r="B393" s="2">
        <v>46024</v>
      </c>
      <c r="C393" t="s">
        <v>66</v>
      </c>
      <c r="D393" t="s">
        <v>4450</v>
      </c>
      <c r="E393" t="s">
        <v>38</v>
      </c>
      <c r="F393">
        <v>10</v>
      </c>
      <c r="G393" t="s">
        <v>55</v>
      </c>
      <c r="H393" t="s">
        <v>72</v>
      </c>
      <c r="I393" t="s">
        <v>26</v>
      </c>
    </row>
    <row r="394" spans="1:9" x14ac:dyDescent="0.45">
      <c r="A394" t="s">
        <v>4451</v>
      </c>
      <c r="B394" s="2">
        <v>46082</v>
      </c>
      <c r="C394" t="s">
        <v>28</v>
      </c>
      <c r="D394" t="s">
        <v>4452</v>
      </c>
      <c r="E394" t="s">
        <v>38</v>
      </c>
      <c r="F394">
        <v>10</v>
      </c>
      <c r="G394" t="s">
        <v>35</v>
      </c>
      <c r="H394" t="s">
        <v>25</v>
      </c>
      <c r="I394" t="s">
        <v>31</v>
      </c>
    </row>
    <row r="395" spans="1:9" x14ac:dyDescent="0.45">
      <c r="A395" t="s">
        <v>4453</v>
      </c>
      <c r="B395" s="2">
        <v>46159</v>
      </c>
      <c r="C395" t="s">
        <v>49</v>
      </c>
      <c r="D395" t="s">
        <v>4454</v>
      </c>
      <c r="E395" t="s">
        <v>23</v>
      </c>
      <c r="F395">
        <v>4</v>
      </c>
      <c r="G395" t="s">
        <v>24</v>
      </c>
      <c r="H395" t="s">
        <v>25</v>
      </c>
      <c r="I395" t="s">
        <v>47</v>
      </c>
    </row>
    <row r="396" spans="1:9" x14ac:dyDescent="0.45">
      <c r="A396" t="s">
        <v>4455</v>
      </c>
      <c r="B396" s="2">
        <v>46057</v>
      </c>
      <c r="C396" t="s">
        <v>52</v>
      </c>
      <c r="D396" t="s">
        <v>4456</v>
      </c>
      <c r="E396" t="s">
        <v>46</v>
      </c>
      <c r="F396">
        <v>3</v>
      </c>
      <c r="G396" t="s">
        <v>24</v>
      </c>
      <c r="H396" t="s">
        <v>25</v>
      </c>
      <c r="I396" t="s">
        <v>26</v>
      </c>
    </row>
    <row r="397" spans="1:9" x14ac:dyDescent="0.45">
      <c r="A397" t="s">
        <v>4457</v>
      </c>
      <c r="B397" s="2">
        <v>46194</v>
      </c>
      <c r="C397" t="s">
        <v>66</v>
      </c>
      <c r="D397" t="s">
        <v>4458</v>
      </c>
      <c r="E397" t="s">
        <v>34</v>
      </c>
      <c r="F397">
        <v>3</v>
      </c>
      <c r="G397" t="s">
        <v>18</v>
      </c>
      <c r="H397" t="s">
        <v>14</v>
      </c>
      <c r="I397" t="s">
        <v>60</v>
      </c>
    </row>
    <row r="398" spans="1:9" x14ac:dyDescent="0.45">
      <c r="A398" t="s">
        <v>4459</v>
      </c>
      <c r="B398" s="2">
        <v>46249</v>
      </c>
      <c r="C398" t="s">
        <v>66</v>
      </c>
      <c r="D398" t="s">
        <v>4460</v>
      </c>
      <c r="E398" t="s">
        <v>42</v>
      </c>
      <c r="F398">
        <v>2</v>
      </c>
      <c r="G398" t="s">
        <v>13</v>
      </c>
      <c r="H398" t="s">
        <v>14</v>
      </c>
      <c r="I398" t="s">
        <v>26</v>
      </c>
    </row>
    <row r="399" spans="1:9" x14ac:dyDescent="0.45">
      <c r="A399" t="s">
        <v>4461</v>
      </c>
      <c r="B399" s="2">
        <v>46127</v>
      </c>
      <c r="C399" t="s">
        <v>16</v>
      </c>
      <c r="D399" t="s">
        <v>4462</v>
      </c>
      <c r="E399" t="s">
        <v>58</v>
      </c>
      <c r="F399">
        <v>11</v>
      </c>
      <c r="G399" t="s">
        <v>24</v>
      </c>
      <c r="H399" t="s">
        <v>25</v>
      </c>
      <c r="I399" t="s">
        <v>26</v>
      </c>
    </row>
    <row r="400" spans="1:9" x14ac:dyDescent="0.45">
      <c r="A400" t="s">
        <v>4463</v>
      </c>
      <c r="B400" s="2">
        <v>46241</v>
      </c>
      <c r="C400" t="s">
        <v>21</v>
      </c>
      <c r="D400" t="s">
        <v>4464</v>
      </c>
      <c r="E400" t="s">
        <v>30</v>
      </c>
      <c r="F400">
        <v>4</v>
      </c>
      <c r="G400" t="s">
        <v>13</v>
      </c>
      <c r="H400" t="s">
        <v>14</v>
      </c>
      <c r="I400" t="s">
        <v>47</v>
      </c>
    </row>
    <row r="401" spans="1:9" x14ac:dyDescent="0.45">
      <c r="A401" t="s">
        <v>4465</v>
      </c>
      <c r="B401" s="2">
        <v>46031</v>
      </c>
      <c r="C401" t="s">
        <v>16</v>
      </c>
      <c r="D401" t="s">
        <v>4466</v>
      </c>
      <c r="E401" t="s">
        <v>7974</v>
      </c>
      <c r="F401">
        <v>9</v>
      </c>
      <c r="G401" t="s">
        <v>68</v>
      </c>
      <c r="H401" t="s">
        <v>25</v>
      </c>
      <c r="I401" t="s">
        <v>47</v>
      </c>
    </row>
    <row r="402" spans="1:9" x14ac:dyDescent="0.45">
      <c r="A402" t="s">
        <v>4467</v>
      </c>
      <c r="B402" s="2">
        <v>46059</v>
      </c>
      <c r="C402" t="s">
        <v>52</v>
      </c>
      <c r="D402" t="s">
        <v>4468</v>
      </c>
      <c r="E402" t="s">
        <v>58</v>
      </c>
      <c r="F402">
        <v>10</v>
      </c>
      <c r="G402" t="s">
        <v>68</v>
      </c>
      <c r="H402" t="s">
        <v>25</v>
      </c>
      <c r="I402" t="s">
        <v>19</v>
      </c>
    </row>
    <row r="403" spans="1:9" x14ac:dyDescent="0.45">
      <c r="A403" t="s">
        <v>4469</v>
      </c>
      <c r="B403" s="2">
        <v>46093</v>
      </c>
      <c r="C403" t="s">
        <v>52</v>
      </c>
      <c r="D403" t="s">
        <v>4470</v>
      </c>
      <c r="E403" t="s">
        <v>54</v>
      </c>
      <c r="F403">
        <v>6</v>
      </c>
      <c r="G403" t="s">
        <v>35</v>
      </c>
      <c r="H403" t="s">
        <v>25</v>
      </c>
      <c r="I403" t="s">
        <v>60</v>
      </c>
    </row>
    <row r="404" spans="1:9" x14ac:dyDescent="0.45">
      <c r="A404" t="s">
        <v>4471</v>
      </c>
      <c r="B404" s="2">
        <v>46093</v>
      </c>
      <c r="C404" t="s">
        <v>16</v>
      </c>
      <c r="D404" t="s">
        <v>4472</v>
      </c>
      <c r="E404" t="s">
        <v>34</v>
      </c>
      <c r="F404">
        <v>4</v>
      </c>
      <c r="G404" t="s">
        <v>18</v>
      </c>
      <c r="H404" t="s">
        <v>14</v>
      </c>
      <c r="I404" t="s">
        <v>60</v>
      </c>
    </row>
    <row r="405" spans="1:9" x14ac:dyDescent="0.45">
      <c r="A405" t="s">
        <v>4473</v>
      </c>
      <c r="B405" s="2">
        <v>46204</v>
      </c>
      <c r="C405" t="s">
        <v>16</v>
      </c>
      <c r="D405" t="s">
        <v>4474</v>
      </c>
      <c r="E405" t="s">
        <v>46</v>
      </c>
      <c r="F405">
        <v>6</v>
      </c>
      <c r="G405" t="s">
        <v>35</v>
      </c>
      <c r="H405" t="s">
        <v>25</v>
      </c>
      <c r="I405" t="s">
        <v>47</v>
      </c>
    </row>
    <row r="406" spans="1:9" x14ac:dyDescent="0.45">
      <c r="A406" t="s">
        <v>4475</v>
      </c>
      <c r="B406" s="2">
        <v>46116</v>
      </c>
      <c r="C406" t="s">
        <v>16</v>
      </c>
      <c r="D406" t="s">
        <v>4476</v>
      </c>
      <c r="E406" t="s">
        <v>38</v>
      </c>
      <c r="F406">
        <v>9</v>
      </c>
      <c r="G406" t="s">
        <v>13</v>
      </c>
      <c r="H406" t="s">
        <v>14</v>
      </c>
      <c r="I406" t="s">
        <v>39</v>
      </c>
    </row>
    <row r="407" spans="1:9" x14ac:dyDescent="0.45">
      <c r="A407" t="s">
        <v>4477</v>
      </c>
      <c r="B407" s="2">
        <v>46197</v>
      </c>
      <c r="C407" t="s">
        <v>10</v>
      </c>
      <c r="D407" t="s">
        <v>4478</v>
      </c>
      <c r="E407" t="s">
        <v>42</v>
      </c>
      <c r="F407">
        <v>6</v>
      </c>
      <c r="G407" t="s">
        <v>13</v>
      </c>
      <c r="H407" t="s">
        <v>14</v>
      </c>
      <c r="I407" t="s">
        <v>19</v>
      </c>
    </row>
    <row r="408" spans="1:9" x14ac:dyDescent="0.45">
      <c r="A408" t="s">
        <v>4479</v>
      </c>
      <c r="B408" s="2">
        <v>46239</v>
      </c>
      <c r="C408" t="s">
        <v>66</v>
      </c>
      <c r="D408" t="s">
        <v>4480</v>
      </c>
      <c r="E408" t="s">
        <v>7973</v>
      </c>
      <c r="F408">
        <v>2</v>
      </c>
      <c r="G408" t="s">
        <v>55</v>
      </c>
      <c r="H408" t="s">
        <v>72</v>
      </c>
      <c r="I408" t="s">
        <v>31</v>
      </c>
    </row>
    <row r="409" spans="1:9" x14ac:dyDescent="0.45">
      <c r="A409" t="s">
        <v>4481</v>
      </c>
      <c r="B409" s="2">
        <v>46253</v>
      </c>
      <c r="C409" t="s">
        <v>16</v>
      </c>
      <c r="D409" t="s">
        <v>4482</v>
      </c>
      <c r="E409" t="s">
        <v>75</v>
      </c>
      <c r="F409">
        <v>12</v>
      </c>
      <c r="G409" t="s">
        <v>68</v>
      </c>
      <c r="H409" t="s">
        <v>25</v>
      </c>
      <c r="I409" t="s">
        <v>31</v>
      </c>
    </row>
    <row r="410" spans="1:9" x14ac:dyDescent="0.45">
      <c r="A410" t="s">
        <v>4483</v>
      </c>
      <c r="B410" s="2">
        <v>46038</v>
      </c>
      <c r="C410" t="s">
        <v>10</v>
      </c>
      <c r="D410" t="s">
        <v>4484</v>
      </c>
      <c r="E410" t="s">
        <v>38</v>
      </c>
      <c r="F410">
        <v>10</v>
      </c>
      <c r="G410" t="s">
        <v>35</v>
      </c>
      <c r="H410" t="s">
        <v>25</v>
      </c>
      <c r="I410" t="s">
        <v>26</v>
      </c>
    </row>
    <row r="411" spans="1:9" x14ac:dyDescent="0.45">
      <c r="A411" t="s">
        <v>4485</v>
      </c>
      <c r="B411" s="2">
        <v>46055</v>
      </c>
      <c r="C411" t="s">
        <v>49</v>
      </c>
      <c r="D411" t="s">
        <v>4486</v>
      </c>
      <c r="E411" t="s">
        <v>30</v>
      </c>
      <c r="F411">
        <v>7</v>
      </c>
      <c r="G411" t="s">
        <v>35</v>
      </c>
      <c r="H411" t="s">
        <v>25</v>
      </c>
      <c r="I411" t="s">
        <v>31</v>
      </c>
    </row>
    <row r="412" spans="1:9" x14ac:dyDescent="0.45">
      <c r="A412" t="s">
        <v>4487</v>
      </c>
      <c r="B412" s="2">
        <v>46238</v>
      </c>
      <c r="C412" t="s">
        <v>66</v>
      </c>
      <c r="D412" t="s">
        <v>4488</v>
      </c>
      <c r="E412" t="s">
        <v>54</v>
      </c>
      <c r="F412">
        <v>10</v>
      </c>
      <c r="G412" t="s">
        <v>18</v>
      </c>
      <c r="H412" t="s">
        <v>14</v>
      </c>
      <c r="I412" t="s">
        <v>60</v>
      </c>
    </row>
    <row r="413" spans="1:9" x14ac:dyDescent="0.45">
      <c r="A413" t="s">
        <v>4489</v>
      </c>
      <c r="B413" s="2">
        <v>46078</v>
      </c>
      <c r="C413" t="s">
        <v>66</v>
      </c>
      <c r="D413" t="s">
        <v>4490</v>
      </c>
      <c r="E413" t="s">
        <v>75</v>
      </c>
      <c r="F413">
        <v>11</v>
      </c>
      <c r="G413" t="s">
        <v>55</v>
      </c>
      <c r="H413" t="s">
        <v>72</v>
      </c>
      <c r="I413" t="s">
        <v>26</v>
      </c>
    </row>
    <row r="414" spans="1:9" x14ac:dyDescent="0.45">
      <c r="A414" t="s">
        <v>4491</v>
      </c>
      <c r="B414" s="2">
        <v>46128</v>
      </c>
      <c r="C414" t="s">
        <v>10</v>
      </c>
      <c r="D414" t="s">
        <v>4492</v>
      </c>
      <c r="E414" t="s">
        <v>58</v>
      </c>
      <c r="F414">
        <v>5</v>
      </c>
      <c r="G414" t="s">
        <v>24</v>
      </c>
      <c r="H414" t="s">
        <v>25</v>
      </c>
      <c r="I414" t="s">
        <v>31</v>
      </c>
    </row>
    <row r="415" spans="1:9" x14ac:dyDescent="0.45">
      <c r="A415" t="s">
        <v>4493</v>
      </c>
      <c r="B415" s="2">
        <v>46069</v>
      </c>
      <c r="C415" t="s">
        <v>52</v>
      </c>
      <c r="D415" t="s">
        <v>4494</v>
      </c>
      <c r="E415" t="s">
        <v>30</v>
      </c>
      <c r="F415">
        <v>5</v>
      </c>
      <c r="G415" t="s">
        <v>43</v>
      </c>
      <c r="H415" t="s">
        <v>14</v>
      </c>
      <c r="I415" t="s">
        <v>47</v>
      </c>
    </row>
    <row r="416" spans="1:9" x14ac:dyDescent="0.45">
      <c r="A416" t="s">
        <v>4495</v>
      </c>
      <c r="B416" s="2">
        <v>46180</v>
      </c>
      <c r="C416" t="s">
        <v>52</v>
      </c>
      <c r="D416" t="s">
        <v>4496</v>
      </c>
      <c r="E416" t="s">
        <v>42</v>
      </c>
      <c r="F416">
        <v>7</v>
      </c>
      <c r="G416" t="s">
        <v>35</v>
      </c>
      <c r="H416" t="s">
        <v>25</v>
      </c>
      <c r="I416" t="s">
        <v>26</v>
      </c>
    </row>
    <row r="417" spans="1:9" x14ac:dyDescent="0.45">
      <c r="A417" t="s">
        <v>4497</v>
      </c>
      <c r="B417" s="2">
        <v>46221</v>
      </c>
      <c r="C417" t="s">
        <v>28</v>
      </c>
      <c r="D417" t="s">
        <v>4498</v>
      </c>
      <c r="E417" t="s">
        <v>7967</v>
      </c>
      <c r="F417">
        <v>3</v>
      </c>
      <c r="G417" t="s">
        <v>59</v>
      </c>
      <c r="H417" t="s">
        <v>14</v>
      </c>
      <c r="I417" t="s">
        <v>47</v>
      </c>
    </row>
    <row r="418" spans="1:9" x14ac:dyDescent="0.45">
      <c r="A418" t="s">
        <v>4499</v>
      </c>
      <c r="B418" s="2">
        <v>46176</v>
      </c>
      <c r="C418" t="s">
        <v>66</v>
      </c>
      <c r="D418" t="s">
        <v>4500</v>
      </c>
      <c r="E418" t="s">
        <v>7974</v>
      </c>
      <c r="F418">
        <v>6</v>
      </c>
      <c r="G418" t="s">
        <v>59</v>
      </c>
      <c r="H418" t="s">
        <v>14</v>
      </c>
      <c r="I418" t="s">
        <v>26</v>
      </c>
    </row>
    <row r="419" spans="1:9" x14ac:dyDescent="0.45">
      <c r="A419" t="s">
        <v>4501</v>
      </c>
      <c r="B419" s="2">
        <v>46123</v>
      </c>
      <c r="C419" t="s">
        <v>10</v>
      </c>
      <c r="D419" t="s">
        <v>4502</v>
      </c>
      <c r="E419" t="s">
        <v>7974</v>
      </c>
      <c r="F419">
        <v>2</v>
      </c>
      <c r="G419" t="s">
        <v>68</v>
      </c>
      <c r="H419" t="s">
        <v>25</v>
      </c>
      <c r="I419" t="s">
        <v>39</v>
      </c>
    </row>
    <row r="420" spans="1:9" x14ac:dyDescent="0.45">
      <c r="A420" t="s">
        <v>4503</v>
      </c>
      <c r="B420" s="2">
        <v>46094</v>
      </c>
      <c r="C420" t="s">
        <v>66</v>
      </c>
      <c r="D420" t="s">
        <v>4504</v>
      </c>
      <c r="E420" t="s">
        <v>23</v>
      </c>
      <c r="F420">
        <v>11</v>
      </c>
      <c r="G420" t="s">
        <v>55</v>
      </c>
      <c r="H420" t="s">
        <v>72</v>
      </c>
      <c r="I420" t="s">
        <v>31</v>
      </c>
    </row>
    <row r="421" spans="1:9" x14ac:dyDescent="0.45">
      <c r="A421" t="s">
        <v>4505</v>
      </c>
      <c r="B421" s="2">
        <v>46248</v>
      </c>
      <c r="C421" t="s">
        <v>99</v>
      </c>
      <c r="D421" t="s">
        <v>4506</v>
      </c>
      <c r="E421" t="s">
        <v>23</v>
      </c>
      <c r="F421">
        <v>12</v>
      </c>
      <c r="G421" t="s">
        <v>43</v>
      </c>
      <c r="H421" t="s">
        <v>14</v>
      </c>
      <c r="I421" t="s">
        <v>26</v>
      </c>
    </row>
    <row r="422" spans="1:9" x14ac:dyDescent="0.45">
      <c r="A422" t="s">
        <v>4507</v>
      </c>
      <c r="B422" s="2">
        <v>46157</v>
      </c>
      <c r="C422" t="s">
        <v>10</v>
      </c>
      <c r="D422" t="s">
        <v>4508</v>
      </c>
      <c r="E422" t="s">
        <v>46</v>
      </c>
      <c r="F422">
        <v>10</v>
      </c>
      <c r="G422" t="s">
        <v>43</v>
      </c>
      <c r="H422" t="s">
        <v>14</v>
      </c>
      <c r="I422" t="s">
        <v>47</v>
      </c>
    </row>
    <row r="423" spans="1:9" x14ac:dyDescent="0.45">
      <c r="A423" t="s">
        <v>4509</v>
      </c>
      <c r="B423" s="2">
        <v>46191</v>
      </c>
      <c r="C423" t="s">
        <v>28</v>
      </c>
      <c r="D423" t="s">
        <v>4510</v>
      </c>
      <c r="E423" t="s">
        <v>75</v>
      </c>
      <c r="F423">
        <v>1</v>
      </c>
      <c r="G423" t="s">
        <v>55</v>
      </c>
      <c r="H423" t="s">
        <v>72</v>
      </c>
      <c r="I423" t="s">
        <v>60</v>
      </c>
    </row>
    <row r="424" spans="1:9" x14ac:dyDescent="0.45">
      <c r="A424" t="s">
        <v>4511</v>
      </c>
      <c r="B424" s="2">
        <v>46253</v>
      </c>
      <c r="C424" t="s">
        <v>28</v>
      </c>
      <c r="D424" t="s">
        <v>4512</v>
      </c>
      <c r="E424" t="s">
        <v>71</v>
      </c>
      <c r="F424">
        <v>10</v>
      </c>
      <c r="G424" t="s">
        <v>24</v>
      </c>
      <c r="H424" t="s">
        <v>25</v>
      </c>
      <c r="I424" t="s">
        <v>19</v>
      </c>
    </row>
    <row r="425" spans="1:9" x14ac:dyDescent="0.45">
      <c r="A425" t="s">
        <v>4513</v>
      </c>
      <c r="B425" s="2">
        <v>46239</v>
      </c>
      <c r="C425" t="s">
        <v>28</v>
      </c>
      <c r="D425" t="s">
        <v>4514</v>
      </c>
      <c r="E425" t="s">
        <v>54</v>
      </c>
      <c r="F425">
        <v>6</v>
      </c>
      <c r="G425" t="s">
        <v>59</v>
      </c>
      <c r="H425" t="s">
        <v>14</v>
      </c>
      <c r="I425" t="s">
        <v>26</v>
      </c>
    </row>
    <row r="426" spans="1:9" x14ac:dyDescent="0.45">
      <c r="A426" t="s">
        <v>4515</v>
      </c>
      <c r="B426" s="2">
        <v>46148</v>
      </c>
      <c r="C426" t="s">
        <v>16</v>
      </c>
      <c r="D426" t="s">
        <v>4516</v>
      </c>
      <c r="E426" t="s">
        <v>38</v>
      </c>
      <c r="F426">
        <v>10</v>
      </c>
      <c r="G426" t="s">
        <v>13</v>
      </c>
      <c r="H426" t="s">
        <v>14</v>
      </c>
      <c r="I426" t="s">
        <v>26</v>
      </c>
    </row>
    <row r="427" spans="1:9" x14ac:dyDescent="0.45">
      <c r="A427" t="s">
        <v>4517</v>
      </c>
      <c r="B427" s="2">
        <v>46032</v>
      </c>
      <c r="C427" t="s">
        <v>49</v>
      </c>
      <c r="D427" t="s">
        <v>4518</v>
      </c>
      <c r="E427" t="s">
        <v>30</v>
      </c>
      <c r="F427">
        <v>10</v>
      </c>
      <c r="G427" t="s">
        <v>35</v>
      </c>
      <c r="H427" t="s">
        <v>25</v>
      </c>
      <c r="I427" t="s">
        <v>26</v>
      </c>
    </row>
    <row r="428" spans="1:9" x14ac:dyDescent="0.45">
      <c r="A428" t="s">
        <v>4519</v>
      </c>
      <c r="B428" s="2">
        <v>46221</v>
      </c>
      <c r="C428" t="s">
        <v>66</v>
      </c>
      <c r="D428" t="s">
        <v>4520</v>
      </c>
      <c r="E428" t="s">
        <v>7973</v>
      </c>
      <c r="F428">
        <v>12</v>
      </c>
      <c r="G428" t="s">
        <v>7967</v>
      </c>
      <c r="H428" t="s">
        <v>25</v>
      </c>
      <c r="I428" t="s">
        <v>60</v>
      </c>
    </row>
    <row r="429" spans="1:9" x14ac:dyDescent="0.45">
      <c r="A429" t="s">
        <v>4521</v>
      </c>
      <c r="B429" s="2">
        <v>46246</v>
      </c>
      <c r="C429" t="s">
        <v>99</v>
      </c>
      <c r="D429" t="s">
        <v>4522</v>
      </c>
      <c r="E429" t="s">
        <v>46</v>
      </c>
      <c r="F429">
        <v>9</v>
      </c>
      <c r="G429" t="s">
        <v>24</v>
      </c>
      <c r="H429" t="s">
        <v>25</v>
      </c>
      <c r="I429" t="s">
        <v>31</v>
      </c>
    </row>
    <row r="430" spans="1:9" x14ac:dyDescent="0.45">
      <c r="A430" t="s">
        <v>4523</v>
      </c>
      <c r="B430" s="2">
        <v>46106</v>
      </c>
      <c r="C430" t="s">
        <v>10</v>
      </c>
      <c r="D430" t="s">
        <v>4524</v>
      </c>
      <c r="E430" t="s">
        <v>71</v>
      </c>
      <c r="F430">
        <v>5</v>
      </c>
      <c r="G430" t="s">
        <v>68</v>
      </c>
      <c r="H430" t="s">
        <v>25</v>
      </c>
      <c r="I430" t="s">
        <v>19</v>
      </c>
    </row>
    <row r="431" spans="1:9" x14ac:dyDescent="0.45">
      <c r="A431" t="s">
        <v>4525</v>
      </c>
      <c r="B431" s="2">
        <v>46043</v>
      </c>
      <c r="C431" t="s">
        <v>49</v>
      </c>
      <c r="D431" t="s">
        <v>4526</v>
      </c>
      <c r="E431" t="s">
        <v>38</v>
      </c>
      <c r="F431">
        <v>6</v>
      </c>
      <c r="G431" t="s">
        <v>68</v>
      </c>
      <c r="H431" t="s">
        <v>25</v>
      </c>
      <c r="I431" t="s">
        <v>26</v>
      </c>
    </row>
    <row r="432" spans="1:9" x14ac:dyDescent="0.45">
      <c r="A432" t="s">
        <v>4527</v>
      </c>
      <c r="B432" s="2">
        <v>46202</v>
      </c>
      <c r="C432" t="s">
        <v>49</v>
      </c>
      <c r="D432" t="s">
        <v>4528</v>
      </c>
      <c r="E432" t="s">
        <v>38</v>
      </c>
      <c r="F432">
        <v>12</v>
      </c>
      <c r="G432" t="s">
        <v>13</v>
      </c>
      <c r="H432" t="s">
        <v>14</v>
      </c>
      <c r="I432" t="s">
        <v>19</v>
      </c>
    </row>
    <row r="433" spans="1:9" x14ac:dyDescent="0.45">
      <c r="A433" t="s">
        <v>4529</v>
      </c>
      <c r="B433" s="2">
        <v>46042</v>
      </c>
      <c r="C433" t="s">
        <v>16</v>
      </c>
      <c r="D433" t="s">
        <v>4530</v>
      </c>
      <c r="E433" t="s">
        <v>30</v>
      </c>
      <c r="F433">
        <v>5</v>
      </c>
      <c r="G433" t="s">
        <v>43</v>
      </c>
      <c r="H433" t="s">
        <v>14</v>
      </c>
      <c r="I433" t="s">
        <v>39</v>
      </c>
    </row>
    <row r="434" spans="1:9" x14ac:dyDescent="0.45">
      <c r="A434" t="s">
        <v>4531</v>
      </c>
      <c r="B434" s="2">
        <v>46111</v>
      </c>
      <c r="C434" t="s">
        <v>52</v>
      </c>
      <c r="D434" t="s">
        <v>4532</v>
      </c>
      <c r="E434" t="s">
        <v>46</v>
      </c>
      <c r="F434">
        <v>7</v>
      </c>
      <c r="G434" t="s">
        <v>24</v>
      </c>
      <c r="H434" t="s">
        <v>25</v>
      </c>
      <c r="I434" t="s">
        <v>19</v>
      </c>
    </row>
    <row r="435" spans="1:9" x14ac:dyDescent="0.45">
      <c r="A435" t="s">
        <v>4533</v>
      </c>
      <c r="B435" s="2">
        <v>46185</v>
      </c>
      <c r="C435" t="s">
        <v>16</v>
      </c>
      <c r="D435" t="s">
        <v>4534</v>
      </c>
      <c r="E435" t="s">
        <v>46</v>
      </c>
      <c r="F435">
        <v>12</v>
      </c>
      <c r="G435" t="s">
        <v>24</v>
      </c>
      <c r="H435" t="s">
        <v>25</v>
      </c>
      <c r="I435" t="s">
        <v>31</v>
      </c>
    </row>
    <row r="436" spans="1:9" x14ac:dyDescent="0.45">
      <c r="A436" t="s">
        <v>4535</v>
      </c>
      <c r="B436" s="2">
        <v>46023</v>
      </c>
      <c r="C436" t="s">
        <v>28</v>
      </c>
      <c r="D436" t="s">
        <v>4536</v>
      </c>
      <c r="E436" t="s">
        <v>42</v>
      </c>
      <c r="F436">
        <v>5</v>
      </c>
      <c r="G436" t="s">
        <v>59</v>
      </c>
      <c r="H436" t="s">
        <v>14</v>
      </c>
      <c r="I436" t="s">
        <v>31</v>
      </c>
    </row>
    <row r="437" spans="1:9" x14ac:dyDescent="0.45">
      <c r="A437" t="s">
        <v>4537</v>
      </c>
      <c r="B437" s="2">
        <v>46245</v>
      </c>
      <c r="C437" t="s">
        <v>10</v>
      </c>
      <c r="D437" t="s">
        <v>4538</v>
      </c>
      <c r="E437" t="s">
        <v>46</v>
      </c>
      <c r="F437">
        <v>4</v>
      </c>
      <c r="G437" t="s">
        <v>18</v>
      </c>
      <c r="H437" t="s">
        <v>14</v>
      </c>
      <c r="I437" t="s">
        <v>31</v>
      </c>
    </row>
    <row r="438" spans="1:9" x14ac:dyDescent="0.45">
      <c r="A438" t="s">
        <v>4539</v>
      </c>
      <c r="B438" s="2">
        <v>46145</v>
      </c>
      <c r="C438" t="s">
        <v>21</v>
      </c>
      <c r="D438" t="s">
        <v>4540</v>
      </c>
      <c r="E438" t="s">
        <v>23</v>
      </c>
      <c r="F438">
        <v>9</v>
      </c>
      <c r="G438" t="s">
        <v>55</v>
      </c>
      <c r="H438" t="s">
        <v>72</v>
      </c>
      <c r="I438" t="s">
        <v>19</v>
      </c>
    </row>
    <row r="439" spans="1:9" x14ac:dyDescent="0.45">
      <c r="A439" t="s">
        <v>4541</v>
      </c>
      <c r="B439" s="2">
        <v>46093</v>
      </c>
      <c r="C439" t="s">
        <v>66</v>
      </c>
      <c r="D439" t="s">
        <v>4542</v>
      </c>
      <c r="E439" t="s">
        <v>71</v>
      </c>
      <c r="F439">
        <v>11</v>
      </c>
      <c r="G439" t="s">
        <v>43</v>
      </c>
      <c r="H439" t="s">
        <v>14</v>
      </c>
      <c r="I439" t="s">
        <v>47</v>
      </c>
    </row>
    <row r="440" spans="1:9" x14ac:dyDescent="0.45">
      <c r="A440" t="s">
        <v>4543</v>
      </c>
      <c r="B440" s="2">
        <v>46269</v>
      </c>
      <c r="C440" t="s">
        <v>66</v>
      </c>
      <c r="D440" t="s">
        <v>4544</v>
      </c>
      <c r="E440" t="s">
        <v>7973</v>
      </c>
      <c r="F440">
        <v>5</v>
      </c>
      <c r="G440" t="s">
        <v>24</v>
      </c>
      <c r="H440" t="s">
        <v>25</v>
      </c>
      <c r="I440" t="s">
        <v>31</v>
      </c>
    </row>
    <row r="441" spans="1:9" x14ac:dyDescent="0.45">
      <c r="A441" t="s">
        <v>4545</v>
      </c>
      <c r="B441" s="2">
        <v>46262</v>
      </c>
      <c r="C441" t="s">
        <v>28</v>
      </c>
      <c r="D441" t="s">
        <v>4546</v>
      </c>
      <c r="E441" t="s">
        <v>42</v>
      </c>
      <c r="F441">
        <v>5</v>
      </c>
      <c r="G441" t="s">
        <v>13</v>
      </c>
      <c r="H441" t="s">
        <v>14</v>
      </c>
      <c r="I441" t="s">
        <v>60</v>
      </c>
    </row>
    <row r="442" spans="1:9" x14ac:dyDescent="0.45">
      <c r="A442" t="s">
        <v>4547</v>
      </c>
      <c r="B442" s="2">
        <v>46081</v>
      </c>
      <c r="C442" t="s">
        <v>28</v>
      </c>
      <c r="D442" t="s">
        <v>4548</v>
      </c>
      <c r="E442" t="s">
        <v>7974</v>
      </c>
      <c r="F442">
        <v>6</v>
      </c>
      <c r="G442" t="s">
        <v>68</v>
      </c>
      <c r="H442" t="s">
        <v>25</v>
      </c>
      <c r="I442" t="s">
        <v>19</v>
      </c>
    </row>
    <row r="443" spans="1:9" x14ac:dyDescent="0.45">
      <c r="A443" t="s">
        <v>4549</v>
      </c>
      <c r="B443" s="2">
        <v>46246</v>
      </c>
      <c r="C443" t="s">
        <v>10</v>
      </c>
      <c r="D443" t="s">
        <v>4550</v>
      </c>
      <c r="E443" t="s">
        <v>42</v>
      </c>
      <c r="F443">
        <v>7</v>
      </c>
      <c r="G443" t="s">
        <v>18</v>
      </c>
      <c r="H443" t="s">
        <v>14</v>
      </c>
      <c r="I443" t="s">
        <v>47</v>
      </c>
    </row>
    <row r="444" spans="1:9" x14ac:dyDescent="0.45">
      <c r="A444" t="s">
        <v>4551</v>
      </c>
      <c r="B444" s="2">
        <v>46065</v>
      </c>
      <c r="C444" t="s">
        <v>66</v>
      </c>
      <c r="D444" t="s">
        <v>4552</v>
      </c>
      <c r="E444" t="s">
        <v>42</v>
      </c>
      <c r="F444">
        <v>11</v>
      </c>
      <c r="G444" t="s">
        <v>24</v>
      </c>
      <c r="H444" t="s">
        <v>25</v>
      </c>
      <c r="I444" t="s">
        <v>39</v>
      </c>
    </row>
    <row r="445" spans="1:9" x14ac:dyDescent="0.45">
      <c r="A445" t="s">
        <v>4553</v>
      </c>
      <c r="B445" s="2">
        <v>46215</v>
      </c>
      <c r="C445" t="s">
        <v>16</v>
      </c>
      <c r="D445" t="s">
        <v>4554</v>
      </c>
      <c r="E445" t="s">
        <v>38</v>
      </c>
      <c r="F445">
        <v>11</v>
      </c>
      <c r="G445" t="s">
        <v>24</v>
      </c>
      <c r="H445" t="s">
        <v>25</v>
      </c>
      <c r="I445" t="s">
        <v>60</v>
      </c>
    </row>
    <row r="446" spans="1:9" x14ac:dyDescent="0.45">
      <c r="A446" t="s">
        <v>4555</v>
      </c>
      <c r="B446" s="2">
        <v>46245</v>
      </c>
      <c r="C446" t="s">
        <v>52</v>
      </c>
      <c r="D446" t="s">
        <v>4556</v>
      </c>
      <c r="E446" t="s">
        <v>71</v>
      </c>
      <c r="F446">
        <v>6</v>
      </c>
      <c r="G446" t="s">
        <v>35</v>
      </c>
      <c r="H446" t="s">
        <v>25</v>
      </c>
      <c r="I446" t="s">
        <v>26</v>
      </c>
    </row>
    <row r="447" spans="1:9" x14ac:dyDescent="0.45">
      <c r="A447" t="s">
        <v>4557</v>
      </c>
      <c r="B447" s="2">
        <v>46079</v>
      </c>
      <c r="C447" t="s">
        <v>21</v>
      </c>
      <c r="D447" t="s">
        <v>4558</v>
      </c>
      <c r="E447" t="s">
        <v>54</v>
      </c>
      <c r="F447">
        <v>10</v>
      </c>
      <c r="G447" t="s">
        <v>68</v>
      </c>
      <c r="H447" t="s">
        <v>25</v>
      </c>
      <c r="I447" t="s">
        <v>47</v>
      </c>
    </row>
    <row r="448" spans="1:9" x14ac:dyDescent="0.45">
      <c r="A448" t="s">
        <v>4559</v>
      </c>
      <c r="B448" s="2">
        <v>46141</v>
      </c>
      <c r="C448" t="s">
        <v>28</v>
      </c>
      <c r="D448" t="s">
        <v>4560</v>
      </c>
      <c r="E448" t="s">
        <v>54</v>
      </c>
      <c r="F448">
        <v>10</v>
      </c>
      <c r="G448" t="s">
        <v>43</v>
      </c>
      <c r="H448" t="s">
        <v>14</v>
      </c>
      <c r="I448" t="s">
        <v>47</v>
      </c>
    </row>
    <row r="449" spans="1:9" x14ac:dyDescent="0.45">
      <c r="A449" t="s">
        <v>4561</v>
      </c>
      <c r="B449" s="2">
        <v>46127</v>
      </c>
      <c r="C449" t="s">
        <v>49</v>
      </c>
      <c r="D449" t="s">
        <v>4562</v>
      </c>
      <c r="E449" t="s">
        <v>54</v>
      </c>
      <c r="F449">
        <v>12</v>
      </c>
      <c r="G449" t="s">
        <v>43</v>
      </c>
      <c r="H449" t="s">
        <v>14</v>
      </c>
      <c r="I449" t="s">
        <v>47</v>
      </c>
    </row>
    <row r="450" spans="1:9" x14ac:dyDescent="0.45">
      <c r="A450" t="s">
        <v>4563</v>
      </c>
      <c r="B450" s="2">
        <v>46164</v>
      </c>
      <c r="C450" t="s">
        <v>49</v>
      </c>
      <c r="D450" t="s">
        <v>4564</v>
      </c>
      <c r="E450" t="s">
        <v>7974</v>
      </c>
      <c r="F450">
        <v>4</v>
      </c>
      <c r="G450" t="s">
        <v>35</v>
      </c>
      <c r="H450" t="s">
        <v>25</v>
      </c>
      <c r="I450" t="s">
        <v>19</v>
      </c>
    </row>
    <row r="451" spans="1:9" x14ac:dyDescent="0.45">
      <c r="A451" t="s">
        <v>4565</v>
      </c>
      <c r="B451" s="2">
        <v>46091</v>
      </c>
      <c r="C451" t="s">
        <v>10</v>
      </c>
      <c r="D451" t="s">
        <v>4566</v>
      </c>
      <c r="E451" t="s">
        <v>46</v>
      </c>
      <c r="F451">
        <v>4</v>
      </c>
      <c r="G451" t="s">
        <v>13</v>
      </c>
      <c r="H451" t="s">
        <v>14</v>
      </c>
      <c r="I451" t="s">
        <v>31</v>
      </c>
    </row>
    <row r="452" spans="1:9" x14ac:dyDescent="0.45">
      <c r="A452" t="s">
        <v>4567</v>
      </c>
      <c r="B452" s="2">
        <v>46259</v>
      </c>
      <c r="C452" t="s">
        <v>28</v>
      </c>
      <c r="D452" t="s">
        <v>4568</v>
      </c>
      <c r="E452" t="s">
        <v>71</v>
      </c>
      <c r="F452">
        <v>5</v>
      </c>
      <c r="G452" t="s">
        <v>68</v>
      </c>
      <c r="H452" t="s">
        <v>25</v>
      </c>
      <c r="I452" t="s">
        <v>26</v>
      </c>
    </row>
    <row r="453" spans="1:9" x14ac:dyDescent="0.45">
      <c r="A453" t="s">
        <v>4569</v>
      </c>
      <c r="B453" s="2">
        <v>46269</v>
      </c>
      <c r="C453" t="s">
        <v>52</v>
      </c>
      <c r="D453" t="s">
        <v>4570</v>
      </c>
      <c r="E453" t="s">
        <v>46</v>
      </c>
      <c r="F453">
        <v>8</v>
      </c>
      <c r="G453" t="s">
        <v>55</v>
      </c>
      <c r="H453" t="s">
        <v>72</v>
      </c>
      <c r="I453" t="s">
        <v>60</v>
      </c>
    </row>
    <row r="454" spans="1:9" x14ac:dyDescent="0.45">
      <c r="A454" t="s">
        <v>4571</v>
      </c>
      <c r="B454" s="2">
        <v>46103</v>
      </c>
      <c r="C454" t="s">
        <v>28</v>
      </c>
      <c r="D454" t="s">
        <v>4572</v>
      </c>
      <c r="E454" t="s">
        <v>42</v>
      </c>
      <c r="F454">
        <v>12</v>
      </c>
      <c r="G454" t="s">
        <v>55</v>
      </c>
      <c r="H454" t="s">
        <v>72</v>
      </c>
      <c r="I454" t="s">
        <v>26</v>
      </c>
    </row>
    <row r="455" spans="1:9" x14ac:dyDescent="0.45">
      <c r="A455" t="s">
        <v>4573</v>
      </c>
      <c r="B455" s="2">
        <v>46208</v>
      </c>
      <c r="C455" t="s">
        <v>16</v>
      </c>
      <c r="D455" t="s">
        <v>4574</v>
      </c>
      <c r="E455" t="s">
        <v>58</v>
      </c>
      <c r="F455">
        <v>2</v>
      </c>
      <c r="G455" t="s">
        <v>24</v>
      </c>
      <c r="H455" t="s">
        <v>25</v>
      </c>
      <c r="I455" t="s">
        <v>26</v>
      </c>
    </row>
    <row r="456" spans="1:9" x14ac:dyDescent="0.45">
      <c r="A456" t="s">
        <v>4575</v>
      </c>
      <c r="B456" s="2">
        <v>46260</v>
      </c>
      <c r="C456" t="s">
        <v>21</v>
      </c>
      <c r="D456" t="s">
        <v>4576</v>
      </c>
      <c r="E456" t="s">
        <v>46</v>
      </c>
      <c r="F456">
        <v>10</v>
      </c>
      <c r="G456" t="s">
        <v>18</v>
      </c>
      <c r="H456" t="s">
        <v>14</v>
      </c>
      <c r="I456" t="s">
        <v>31</v>
      </c>
    </row>
    <row r="457" spans="1:9" x14ac:dyDescent="0.45">
      <c r="A457" t="s">
        <v>4577</v>
      </c>
      <c r="B457" s="2">
        <v>46263</v>
      </c>
      <c r="C457" t="s">
        <v>28</v>
      </c>
      <c r="D457" t="s">
        <v>4578</v>
      </c>
      <c r="E457" t="s">
        <v>58</v>
      </c>
      <c r="F457">
        <v>10</v>
      </c>
      <c r="G457" t="s">
        <v>13</v>
      </c>
      <c r="H457" t="s">
        <v>14</v>
      </c>
      <c r="I457" t="s">
        <v>19</v>
      </c>
    </row>
    <row r="458" spans="1:9" x14ac:dyDescent="0.45">
      <c r="A458" t="s">
        <v>4579</v>
      </c>
      <c r="B458" s="2">
        <v>46154</v>
      </c>
      <c r="C458" t="s">
        <v>49</v>
      </c>
      <c r="D458" t="s">
        <v>4580</v>
      </c>
      <c r="E458" t="s">
        <v>54</v>
      </c>
      <c r="F458">
        <v>4</v>
      </c>
      <c r="G458" t="s">
        <v>24</v>
      </c>
      <c r="H458" t="s">
        <v>25</v>
      </c>
      <c r="I458" t="s">
        <v>19</v>
      </c>
    </row>
    <row r="459" spans="1:9" x14ac:dyDescent="0.45">
      <c r="A459" t="s">
        <v>4581</v>
      </c>
      <c r="B459" s="2">
        <v>46103</v>
      </c>
      <c r="C459" t="s">
        <v>99</v>
      </c>
      <c r="D459" t="s">
        <v>4582</v>
      </c>
      <c r="E459" t="s">
        <v>58</v>
      </c>
      <c r="F459">
        <v>4</v>
      </c>
      <c r="G459" t="s">
        <v>13</v>
      </c>
      <c r="H459" t="s">
        <v>14</v>
      </c>
      <c r="I459" t="s">
        <v>39</v>
      </c>
    </row>
    <row r="460" spans="1:9" x14ac:dyDescent="0.45">
      <c r="A460" t="s">
        <v>4583</v>
      </c>
      <c r="B460" s="2">
        <v>46257</v>
      </c>
      <c r="C460" t="s">
        <v>16</v>
      </c>
      <c r="D460" t="s">
        <v>4584</v>
      </c>
      <c r="E460" t="s">
        <v>71</v>
      </c>
      <c r="F460">
        <v>5</v>
      </c>
      <c r="G460" t="s">
        <v>55</v>
      </c>
      <c r="H460" t="s">
        <v>72</v>
      </c>
      <c r="I460" t="s">
        <v>39</v>
      </c>
    </row>
    <row r="461" spans="1:9" x14ac:dyDescent="0.45">
      <c r="A461" t="s">
        <v>4585</v>
      </c>
      <c r="B461" s="2">
        <v>46263</v>
      </c>
      <c r="C461" t="s">
        <v>99</v>
      </c>
      <c r="D461" t="s">
        <v>4586</v>
      </c>
      <c r="E461" t="s">
        <v>42</v>
      </c>
      <c r="F461">
        <v>9</v>
      </c>
      <c r="G461" t="s">
        <v>59</v>
      </c>
      <c r="H461" t="s">
        <v>14</v>
      </c>
      <c r="I461" t="s">
        <v>31</v>
      </c>
    </row>
    <row r="462" spans="1:9" x14ac:dyDescent="0.45">
      <c r="A462" t="s">
        <v>4587</v>
      </c>
      <c r="B462" s="2">
        <v>46160</v>
      </c>
      <c r="C462" t="s">
        <v>52</v>
      </c>
      <c r="D462" t="s">
        <v>4588</v>
      </c>
      <c r="E462" t="s">
        <v>75</v>
      </c>
      <c r="F462">
        <v>1</v>
      </c>
      <c r="G462" t="s">
        <v>59</v>
      </c>
      <c r="H462" t="s">
        <v>14</v>
      </c>
      <c r="I462" t="s">
        <v>60</v>
      </c>
    </row>
    <row r="463" spans="1:9" x14ac:dyDescent="0.45">
      <c r="A463" t="s">
        <v>4589</v>
      </c>
      <c r="B463" s="2">
        <v>46052</v>
      </c>
      <c r="C463" t="s">
        <v>21</v>
      </c>
      <c r="D463" t="s">
        <v>4590</v>
      </c>
      <c r="E463" t="s">
        <v>54</v>
      </c>
      <c r="F463">
        <v>5</v>
      </c>
      <c r="G463" t="s">
        <v>68</v>
      </c>
      <c r="H463" t="s">
        <v>25</v>
      </c>
      <c r="I463" t="s">
        <v>19</v>
      </c>
    </row>
    <row r="464" spans="1:9" x14ac:dyDescent="0.45">
      <c r="A464" t="s">
        <v>4591</v>
      </c>
      <c r="B464" s="2">
        <v>46063</v>
      </c>
      <c r="C464" t="s">
        <v>52</v>
      </c>
      <c r="D464" t="s">
        <v>4592</v>
      </c>
      <c r="E464" t="s">
        <v>34</v>
      </c>
      <c r="F464">
        <v>9</v>
      </c>
      <c r="G464" t="s">
        <v>43</v>
      </c>
      <c r="H464" t="s">
        <v>14</v>
      </c>
      <c r="I464" t="s">
        <v>60</v>
      </c>
    </row>
    <row r="465" spans="1:9" x14ac:dyDescent="0.45">
      <c r="A465" t="s">
        <v>4593</v>
      </c>
      <c r="B465" s="2">
        <v>46102</v>
      </c>
      <c r="C465" t="s">
        <v>99</v>
      </c>
      <c r="D465" t="s">
        <v>4594</v>
      </c>
      <c r="E465" t="s">
        <v>75</v>
      </c>
      <c r="F465">
        <v>10</v>
      </c>
      <c r="G465" t="s">
        <v>68</v>
      </c>
      <c r="H465" t="s">
        <v>25</v>
      </c>
      <c r="I465" t="s">
        <v>31</v>
      </c>
    </row>
    <row r="466" spans="1:9" x14ac:dyDescent="0.45">
      <c r="A466" t="s">
        <v>4595</v>
      </c>
      <c r="B466" s="2">
        <v>46208</v>
      </c>
      <c r="C466" t="s">
        <v>21</v>
      </c>
      <c r="D466" t="s">
        <v>4596</v>
      </c>
      <c r="E466" t="s">
        <v>23</v>
      </c>
      <c r="F466">
        <v>2</v>
      </c>
      <c r="G466" t="s">
        <v>35</v>
      </c>
      <c r="H466" t="s">
        <v>25</v>
      </c>
      <c r="I466" t="s">
        <v>47</v>
      </c>
    </row>
    <row r="467" spans="1:9" x14ac:dyDescent="0.45">
      <c r="A467" t="s">
        <v>4597</v>
      </c>
      <c r="B467" s="2">
        <v>46230</v>
      </c>
      <c r="C467" t="s">
        <v>49</v>
      </c>
      <c r="D467" t="s">
        <v>4598</v>
      </c>
      <c r="E467" t="s">
        <v>7974</v>
      </c>
      <c r="F467">
        <v>12</v>
      </c>
      <c r="G467" t="s">
        <v>18</v>
      </c>
      <c r="H467" t="s">
        <v>14</v>
      </c>
      <c r="I467" t="s">
        <v>19</v>
      </c>
    </row>
    <row r="468" spans="1:9" x14ac:dyDescent="0.45">
      <c r="A468" t="s">
        <v>4599</v>
      </c>
      <c r="B468" s="2">
        <v>46077</v>
      </c>
      <c r="C468" t="s">
        <v>16</v>
      </c>
      <c r="D468" t="s">
        <v>4600</v>
      </c>
      <c r="E468" t="s">
        <v>7973</v>
      </c>
      <c r="F468">
        <v>11</v>
      </c>
      <c r="G468" t="s">
        <v>55</v>
      </c>
      <c r="H468" t="s">
        <v>72</v>
      </c>
      <c r="I468" t="s">
        <v>39</v>
      </c>
    </row>
    <row r="469" spans="1:9" x14ac:dyDescent="0.45">
      <c r="A469" t="s">
        <v>4601</v>
      </c>
      <c r="B469" s="2">
        <v>46214</v>
      </c>
      <c r="C469" t="s">
        <v>21</v>
      </c>
      <c r="D469" t="s">
        <v>4602</v>
      </c>
      <c r="E469" t="s">
        <v>71</v>
      </c>
      <c r="F469">
        <v>8</v>
      </c>
      <c r="G469" t="s">
        <v>13</v>
      </c>
      <c r="H469" t="s">
        <v>14</v>
      </c>
      <c r="I469" t="s">
        <v>19</v>
      </c>
    </row>
    <row r="470" spans="1:9" x14ac:dyDescent="0.45">
      <c r="A470" t="s">
        <v>4603</v>
      </c>
      <c r="B470" s="2">
        <v>46163</v>
      </c>
      <c r="C470" t="s">
        <v>21</v>
      </c>
      <c r="D470" t="s">
        <v>4604</v>
      </c>
      <c r="E470" t="s">
        <v>23</v>
      </c>
      <c r="F470">
        <v>5</v>
      </c>
      <c r="G470" t="s">
        <v>59</v>
      </c>
      <c r="H470" t="s">
        <v>14</v>
      </c>
      <c r="I470" t="s">
        <v>31</v>
      </c>
    </row>
    <row r="471" spans="1:9" x14ac:dyDescent="0.45">
      <c r="A471" t="s">
        <v>4605</v>
      </c>
      <c r="B471" s="2">
        <v>46107</v>
      </c>
      <c r="C471" t="s">
        <v>52</v>
      </c>
      <c r="D471" t="s">
        <v>4606</v>
      </c>
      <c r="E471" t="s">
        <v>71</v>
      </c>
      <c r="F471">
        <v>11</v>
      </c>
      <c r="G471" t="s">
        <v>55</v>
      </c>
      <c r="H471" t="s">
        <v>72</v>
      </c>
      <c r="I471" t="s">
        <v>60</v>
      </c>
    </row>
    <row r="472" spans="1:9" x14ac:dyDescent="0.45">
      <c r="A472" t="s">
        <v>4607</v>
      </c>
      <c r="B472" s="2">
        <v>46186</v>
      </c>
      <c r="C472" t="s">
        <v>99</v>
      </c>
      <c r="D472" t="s">
        <v>4608</v>
      </c>
      <c r="E472" t="s">
        <v>23</v>
      </c>
      <c r="F472">
        <v>2</v>
      </c>
      <c r="G472" t="s">
        <v>7967</v>
      </c>
      <c r="H472" t="s">
        <v>25</v>
      </c>
      <c r="I472" t="s">
        <v>60</v>
      </c>
    </row>
    <row r="473" spans="1:9" x14ac:dyDescent="0.45">
      <c r="A473" t="s">
        <v>4609</v>
      </c>
      <c r="B473" s="2">
        <v>46234</v>
      </c>
      <c r="C473" t="s">
        <v>28</v>
      </c>
      <c r="D473" t="s">
        <v>4610</v>
      </c>
      <c r="E473" t="s">
        <v>7973</v>
      </c>
      <c r="F473">
        <v>9</v>
      </c>
      <c r="G473" t="s">
        <v>18</v>
      </c>
      <c r="H473" t="s">
        <v>14</v>
      </c>
      <c r="I473" t="s">
        <v>60</v>
      </c>
    </row>
    <row r="474" spans="1:9" x14ac:dyDescent="0.45">
      <c r="A474" t="s">
        <v>4611</v>
      </c>
      <c r="B474" s="2">
        <v>46149</v>
      </c>
      <c r="C474" t="s">
        <v>21</v>
      </c>
      <c r="D474" t="s">
        <v>4612</v>
      </c>
      <c r="E474" t="s">
        <v>46</v>
      </c>
      <c r="F474">
        <v>3</v>
      </c>
      <c r="G474" t="s">
        <v>13</v>
      </c>
      <c r="H474" t="s">
        <v>14</v>
      </c>
      <c r="I474" t="s">
        <v>47</v>
      </c>
    </row>
    <row r="475" spans="1:9" x14ac:dyDescent="0.45">
      <c r="A475" t="s">
        <v>4613</v>
      </c>
      <c r="B475" s="2">
        <v>46107</v>
      </c>
      <c r="C475" t="s">
        <v>16</v>
      </c>
      <c r="D475" t="s">
        <v>4614</v>
      </c>
      <c r="E475" t="s">
        <v>23</v>
      </c>
      <c r="F475">
        <v>2</v>
      </c>
      <c r="G475" t="s">
        <v>43</v>
      </c>
      <c r="H475" t="s">
        <v>14</v>
      </c>
      <c r="I475" t="s">
        <v>39</v>
      </c>
    </row>
    <row r="476" spans="1:9" x14ac:dyDescent="0.45">
      <c r="A476" t="s">
        <v>4615</v>
      </c>
      <c r="B476" s="2">
        <v>46203</v>
      </c>
      <c r="C476" t="s">
        <v>52</v>
      </c>
      <c r="D476" t="s">
        <v>4616</v>
      </c>
      <c r="E476" t="s">
        <v>46</v>
      </c>
      <c r="F476">
        <v>10</v>
      </c>
      <c r="G476" t="s">
        <v>24</v>
      </c>
      <c r="H476" t="s">
        <v>25</v>
      </c>
      <c r="I476" t="s">
        <v>26</v>
      </c>
    </row>
    <row r="477" spans="1:9" x14ac:dyDescent="0.45">
      <c r="A477" t="s">
        <v>4617</v>
      </c>
      <c r="B477" s="2">
        <v>46181</v>
      </c>
      <c r="C477" t="s">
        <v>21</v>
      </c>
      <c r="D477" t="s">
        <v>4618</v>
      </c>
      <c r="E477" t="s">
        <v>34</v>
      </c>
      <c r="F477">
        <v>9</v>
      </c>
      <c r="G477" t="s">
        <v>13</v>
      </c>
      <c r="H477" t="s">
        <v>14</v>
      </c>
      <c r="I477" t="s">
        <v>39</v>
      </c>
    </row>
    <row r="478" spans="1:9" x14ac:dyDescent="0.45">
      <c r="A478" t="s">
        <v>4619</v>
      </c>
      <c r="B478" s="2">
        <v>46040</v>
      </c>
      <c r="C478" t="s">
        <v>10</v>
      </c>
      <c r="D478" t="s">
        <v>4620</v>
      </c>
      <c r="E478" t="s">
        <v>42</v>
      </c>
      <c r="F478">
        <v>1</v>
      </c>
      <c r="G478" t="s">
        <v>59</v>
      </c>
      <c r="H478" t="s">
        <v>14</v>
      </c>
      <c r="I478" t="s">
        <v>19</v>
      </c>
    </row>
    <row r="479" spans="1:9" x14ac:dyDescent="0.45">
      <c r="A479" t="s">
        <v>4621</v>
      </c>
      <c r="B479" s="2">
        <v>46043</v>
      </c>
      <c r="C479" t="s">
        <v>52</v>
      </c>
      <c r="D479" t="s">
        <v>4622</v>
      </c>
      <c r="E479" t="s">
        <v>38</v>
      </c>
      <c r="F479">
        <v>3</v>
      </c>
      <c r="G479" t="s">
        <v>43</v>
      </c>
      <c r="H479" t="s">
        <v>14</v>
      </c>
      <c r="I479" t="s">
        <v>47</v>
      </c>
    </row>
    <row r="480" spans="1:9" x14ac:dyDescent="0.45">
      <c r="A480" t="s">
        <v>4623</v>
      </c>
      <c r="B480" s="2">
        <v>46171</v>
      </c>
      <c r="C480" t="s">
        <v>28</v>
      </c>
      <c r="D480" t="s">
        <v>4624</v>
      </c>
      <c r="E480" t="s">
        <v>58</v>
      </c>
      <c r="F480">
        <v>8</v>
      </c>
      <c r="G480" t="s">
        <v>35</v>
      </c>
      <c r="H480" t="s">
        <v>25</v>
      </c>
      <c r="I480" t="s">
        <v>26</v>
      </c>
    </row>
    <row r="481" spans="1:9" x14ac:dyDescent="0.45">
      <c r="A481" t="s">
        <v>4625</v>
      </c>
      <c r="B481" s="2">
        <v>46070</v>
      </c>
      <c r="C481" t="s">
        <v>49</v>
      </c>
      <c r="D481" t="s">
        <v>4626</v>
      </c>
      <c r="E481" t="s">
        <v>7973</v>
      </c>
      <c r="F481">
        <v>11</v>
      </c>
      <c r="G481" t="s">
        <v>13</v>
      </c>
      <c r="H481" t="s">
        <v>14</v>
      </c>
      <c r="I481" t="s">
        <v>31</v>
      </c>
    </row>
    <row r="482" spans="1:9" x14ac:dyDescent="0.45">
      <c r="A482" t="s">
        <v>4627</v>
      </c>
      <c r="B482" s="2">
        <v>46239</v>
      </c>
      <c r="C482" t="s">
        <v>52</v>
      </c>
      <c r="D482" t="s">
        <v>4628</v>
      </c>
      <c r="E482" t="s">
        <v>54</v>
      </c>
      <c r="F482">
        <v>6</v>
      </c>
      <c r="G482" t="s">
        <v>18</v>
      </c>
      <c r="H482" t="s">
        <v>14</v>
      </c>
      <c r="I482" t="s">
        <v>47</v>
      </c>
    </row>
    <row r="483" spans="1:9" x14ac:dyDescent="0.45">
      <c r="A483" t="s">
        <v>4629</v>
      </c>
      <c r="B483" s="2">
        <v>46266</v>
      </c>
      <c r="C483" t="s">
        <v>49</v>
      </c>
      <c r="D483" t="s">
        <v>4630</v>
      </c>
      <c r="E483" t="s">
        <v>30</v>
      </c>
      <c r="F483">
        <v>10</v>
      </c>
      <c r="G483" t="s">
        <v>59</v>
      </c>
      <c r="H483" t="s">
        <v>14</v>
      </c>
      <c r="I483" t="s">
        <v>31</v>
      </c>
    </row>
    <row r="484" spans="1:9" x14ac:dyDescent="0.45">
      <c r="A484" t="s">
        <v>4631</v>
      </c>
      <c r="B484" s="2">
        <v>46113</v>
      </c>
      <c r="C484" t="s">
        <v>10</v>
      </c>
      <c r="D484" t="s">
        <v>4632</v>
      </c>
      <c r="E484" t="s">
        <v>58</v>
      </c>
      <c r="F484">
        <v>12</v>
      </c>
      <c r="G484" t="s">
        <v>59</v>
      </c>
      <c r="H484" t="s">
        <v>14</v>
      </c>
      <c r="I484" t="s">
        <v>19</v>
      </c>
    </row>
    <row r="485" spans="1:9" x14ac:dyDescent="0.45">
      <c r="A485" t="s">
        <v>4633</v>
      </c>
      <c r="B485" s="2">
        <v>46136</v>
      </c>
      <c r="C485" t="s">
        <v>28</v>
      </c>
      <c r="D485" t="s">
        <v>4634</v>
      </c>
      <c r="E485" t="s">
        <v>42</v>
      </c>
      <c r="F485">
        <v>12</v>
      </c>
      <c r="G485" t="s">
        <v>68</v>
      </c>
      <c r="H485" t="s">
        <v>25</v>
      </c>
      <c r="I485" t="s">
        <v>47</v>
      </c>
    </row>
    <row r="486" spans="1:9" x14ac:dyDescent="0.45">
      <c r="A486" t="s">
        <v>4635</v>
      </c>
      <c r="B486" s="2">
        <v>46052</v>
      </c>
      <c r="C486" t="s">
        <v>16</v>
      </c>
      <c r="D486" t="s">
        <v>4636</v>
      </c>
      <c r="E486" t="s">
        <v>54</v>
      </c>
      <c r="F486">
        <v>10</v>
      </c>
      <c r="G486" t="s">
        <v>43</v>
      </c>
      <c r="H486" t="s">
        <v>14</v>
      </c>
      <c r="I486" t="s">
        <v>26</v>
      </c>
    </row>
    <row r="487" spans="1:9" x14ac:dyDescent="0.45">
      <c r="A487" t="s">
        <v>4637</v>
      </c>
      <c r="B487" s="2">
        <v>46061</v>
      </c>
      <c r="C487" t="s">
        <v>28</v>
      </c>
      <c r="D487" t="s">
        <v>4638</v>
      </c>
      <c r="E487" t="s">
        <v>46</v>
      </c>
      <c r="F487">
        <v>2</v>
      </c>
      <c r="G487" t="s">
        <v>24</v>
      </c>
      <c r="H487" t="s">
        <v>25</v>
      </c>
      <c r="I487" t="s">
        <v>47</v>
      </c>
    </row>
    <row r="488" spans="1:9" x14ac:dyDescent="0.45">
      <c r="A488" t="s">
        <v>4639</v>
      </c>
      <c r="B488" s="2">
        <v>46124</v>
      </c>
      <c r="C488" t="s">
        <v>16</v>
      </c>
      <c r="D488" t="s">
        <v>4640</v>
      </c>
      <c r="E488" t="s">
        <v>310</v>
      </c>
      <c r="F488">
        <v>2</v>
      </c>
      <c r="G488" t="s">
        <v>43</v>
      </c>
      <c r="H488" t="s">
        <v>14</v>
      </c>
      <c r="I488" t="s">
        <v>31</v>
      </c>
    </row>
    <row r="489" spans="1:9" x14ac:dyDescent="0.45">
      <c r="A489" t="s">
        <v>4641</v>
      </c>
      <c r="B489" s="2">
        <v>46031</v>
      </c>
      <c r="C489" t="s">
        <v>49</v>
      </c>
      <c r="D489" t="s">
        <v>4642</v>
      </c>
      <c r="E489" t="s">
        <v>7973</v>
      </c>
      <c r="F489">
        <v>9</v>
      </c>
      <c r="G489" t="s">
        <v>18</v>
      </c>
      <c r="H489" t="s">
        <v>14</v>
      </c>
      <c r="I489" t="s">
        <v>39</v>
      </c>
    </row>
    <row r="490" spans="1:9" x14ac:dyDescent="0.45">
      <c r="A490" t="s">
        <v>4643</v>
      </c>
      <c r="B490" s="2">
        <v>46189</v>
      </c>
      <c r="C490" t="s">
        <v>52</v>
      </c>
      <c r="D490" t="s">
        <v>4644</v>
      </c>
      <c r="E490" t="s">
        <v>38</v>
      </c>
      <c r="F490">
        <v>7</v>
      </c>
      <c r="G490" t="s">
        <v>13</v>
      </c>
      <c r="H490" t="s">
        <v>14</v>
      </c>
      <c r="I490" t="s">
        <v>19</v>
      </c>
    </row>
    <row r="491" spans="1:9" x14ac:dyDescent="0.45">
      <c r="A491" t="s">
        <v>4645</v>
      </c>
      <c r="B491" s="2">
        <v>46225</v>
      </c>
      <c r="C491" t="s">
        <v>10</v>
      </c>
      <c r="D491" t="s">
        <v>4646</v>
      </c>
      <c r="E491" t="s">
        <v>7974</v>
      </c>
      <c r="F491">
        <v>5</v>
      </c>
      <c r="G491" t="s">
        <v>43</v>
      </c>
      <c r="H491" t="s">
        <v>14</v>
      </c>
      <c r="I491" t="s">
        <v>60</v>
      </c>
    </row>
    <row r="492" spans="1:9" x14ac:dyDescent="0.45">
      <c r="A492" t="s">
        <v>4647</v>
      </c>
      <c r="B492" s="2">
        <v>46044</v>
      </c>
      <c r="C492" t="s">
        <v>10</v>
      </c>
      <c r="D492" t="s">
        <v>4648</v>
      </c>
      <c r="E492" t="s">
        <v>1370</v>
      </c>
      <c r="F492">
        <v>2</v>
      </c>
      <c r="G492" t="s">
        <v>55</v>
      </c>
      <c r="H492" t="s">
        <v>72</v>
      </c>
      <c r="I492" t="s">
        <v>60</v>
      </c>
    </row>
    <row r="493" spans="1:9" x14ac:dyDescent="0.45">
      <c r="A493" t="s">
        <v>4649</v>
      </c>
      <c r="B493" s="2">
        <v>46114</v>
      </c>
      <c r="C493" t="s">
        <v>66</v>
      </c>
      <c r="D493" t="s">
        <v>4650</v>
      </c>
      <c r="E493" t="s">
        <v>54</v>
      </c>
      <c r="F493">
        <v>6</v>
      </c>
      <c r="G493" t="s">
        <v>43</v>
      </c>
      <c r="H493" t="s">
        <v>14</v>
      </c>
      <c r="I493" t="s">
        <v>19</v>
      </c>
    </row>
    <row r="494" spans="1:9" x14ac:dyDescent="0.45">
      <c r="A494" t="s">
        <v>4651</v>
      </c>
      <c r="B494" s="2">
        <v>46196</v>
      </c>
      <c r="C494" t="s">
        <v>49</v>
      </c>
      <c r="D494" t="s">
        <v>4652</v>
      </c>
      <c r="E494" t="s">
        <v>30</v>
      </c>
      <c r="F494">
        <v>8</v>
      </c>
      <c r="G494" t="s">
        <v>13</v>
      </c>
      <c r="H494" t="s">
        <v>14</v>
      </c>
      <c r="I494" t="s">
        <v>39</v>
      </c>
    </row>
    <row r="495" spans="1:9" x14ac:dyDescent="0.45">
      <c r="A495" t="s">
        <v>4653</v>
      </c>
      <c r="B495" s="2">
        <v>46044</v>
      </c>
      <c r="C495" t="s">
        <v>28</v>
      </c>
      <c r="D495" t="s">
        <v>4654</v>
      </c>
      <c r="E495" t="s">
        <v>71</v>
      </c>
      <c r="F495">
        <v>11</v>
      </c>
      <c r="G495" t="s">
        <v>59</v>
      </c>
      <c r="H495" t="s">
        <v>14</v>
      </c>
      <c r="I495" t="s">
        <v>47</v>
      </c>
    </row>
    <row r="496" spans="1:9" x14ac:dyDescent="0.45">
      <c r="A496" t="s">
        <v>4655</v>
      </c>
      <c r="B496" s="2">
        <v>46172</v>
      </c>
      <c r="C496" t="s">
        <v>16</v>
      </c>
      <c r="D496" t="s">
        <v>4656</v>
      </c>
      <c r="E496" t="s">
        <v>34</v>
      </c>
      <c r="F496">
        <v>6</v>
      </c>
      <c r="G496" t="s">
        <v>24</v>
      </c>
      <c r="H496" t="s">
        <v>25</v>
      </c>
      <c r="I496" t="s">
        <v>39</v>
      </c>
    </row>
    <row r="497" spans="1:9" x14ac:dyDescent="0.45">
      <c r="A497" t="s">
        <v>4657</v>
      </c>
      <c r="B497" s="2">
        <v>46188</v>
      </c>
      <c r="C497" t="s">
        <v>16</v>
      </c>
      <c r="D497" t="s">
        <v>4658</v>
      </c>
      <c r="E497" t="s">
        <v>75</v>
      </c>
      <c r="F497">
        <v>12</v>
      </c>
      <c r="G497" t="s">
        <v>13</v>
      </c>
      <c r="H497" t="s">
        <v>14</v>
      </c>
      <c r="I497" t="s">
        <v>39</v>
      </c>
    </row>
    <row r="498" spans="1:9" x14ac:dyDescent="0.45">
      <c r="A498" t="s">
        <v>4659</v>
      </c>
      <c r="B498" s="2">
        <v>46161</v>
      </c>
      <c r="C498" t="s">
        <v>28</v>
      </c>
      <c r="D498" t="s">
        <v>4660</v>
      </c>
      <c r="E498" t="s">
        <v>46</v>
      </c>
      <c r="F498">
        <v>1</v>
      </c>
      <c r="G498" t="s">
        <v>68</v>
      </c>
      <c r="H498" t="s">
        <v>25</v>
      </c>
      <c r="I498" t="s">
        <v>47</v>
      </c>
    </row>
    <row r="499" spans="1:9" x14ac:dyDescent="0.45">
      <c r="A499" t="s">
        <v>4661</v>
      </c>
      <c r="B499" s="2">
        <v>46050</v>
      </c>
      <c r="C499" t="s">
        <v>16</v>
      </c>
      <c r="D499" t="s">
        <v>4662</v>
      </c>
      <c r="E499" t="s">
        <v>23</v>
      </c>
      <c r="F499">
        <v>3</v>
      </c>
      <c r="G499" t="s">
        <v>18</v>
      </c>
      <c r="H499" t="s">
        <v>14</v>
      </c>
      <c r="I499" t="s">
        <v>47</v>
      </c>
    </row>
    <row r="500" spans="1:9" x14ac:dyDescent="0.45">
      <c r="A500" t="s">
        <v>4663</v>
      </c>
      <c r="B500" s="2">
        <v>46072</v>
      </c>
      <c r="C500" t="s">
        <v>99</v>
      </c>
      <c r="D500" t="s">
        <v>4664</v>
      </c>
      <c r="E500" t="s">
        <v>58</v>
      </c>
      <c r="F500">
        <v>12</v>
      </c>
      <c r="G500" t="s">
        <v>59</v>
      </c>
      <c r="H500" t="s">
        <v>14</v>
      </c>
      <c r="I500" t="s">
        <v>39</v>
      </c>
    </row>
    <row r="501" spans="1:9" x14ac:dyDescent="0.45">
      <c r="A501" t="s">
        <v>4665</v>
      </c>
      <c r="B501" s="2">
        <v>46047</v>
      </c>
      <c r="C501" t="s">
        <v>66</v>
      </c>
      <c r="D501" t="s">
        <v>4666</v>
      </c>
      <c r="E501" t="s">
        <v>30</v>
      </c>
      <c r="F501">
        <v>11</v>
      </c>
      <c r="G501" t="s">
        <v>24</v>
      </c>
      <c r="H501" t="s">
        <v>25</v>
      </c>
      <c r="I501" t="s">
        <v>39</v>
      </c>
    </row>
    <row r="502" spans="1:9" x14ac:dyDescent="0.45">
      <c r="A502" t="s">
        <v>4667</v>
      </c>
      <c r="B502" s="2">
        <v>46188</v>
      </c>
      <c r="C502" t="s">
        <v>52</v>
      </c>
      <c r="D502" t="s">
        <v>4668</v>
      </c>
      <c r="E502" t="s">
        <v>42</v>
      </c>
      <c r="F502">
        <v>10</v>
      </c>
      <c r="G502" t="s">
        <v>35</v>
      </c>
      <c r="H502" t="s">
        <v>25</v>
      </c>
      <c r="I502" t="s">
        <v>26</v>
      </c>
    </row>
    <row r="503" spans="1:9" x14ac:dyDescent="0.45">
      <c r="A503" t="s">
        <v>4669</v>
      </c>
      <c r="B503" s="2">
        <v>46090</v>
      </c>
      <c r="C503" t="s">
        <v>52</v>
      </c>
      <c r="D503" t="s">
        <v>4670</v>
      </c>
      <c r="E503" t="s">
        <v>54</v>
      </c>
      <c r="F503">
        <v>8</v>
      </c>
      <c r="G503" t="s">
        <v>59</v>
      </c>
      <c r="H503" t="s">
        <v>14</v>
      </c>
      <c r="I503" t="s">
        <v>39</v>
      </c>
    </row>
    <row r="504" spans="1:9" x14ac:dyDescent="0.45">
      <c r="A504" t="s">
        <v>4671</v>
      </c>
      <c r="B504" s="2">
        <v>46176</v>
      </c>
      <c r="C504" t="s">
        <v>66</v>
      </c>
      <c r="D504" t="s">
        <v>4672</v>
      </c>
      <c r="E504" t="s">
        <v>7973</v>
      </c>
      <c r="F504">
        <v>12</v>
      </c>
      <c r="G504" t="s">
        <v>18</v>
      </c>
      <c r="H504" t="s">
        <v>14</v>
      </c>
      <c r="I504" t="s">
        <v>31</v>
      </c>
    </row>
    <row r="505" spans="1:9" x14ac:dyDescent="0.45">
      <c r="A505" t="s">
        <v>4673</v>
      </c>
      <c r="B505" s="2">
        <v>46069</v>
      </c>
      <c r="C505" t="s">
        <v>16</v>
      </c>
      <c r="D505" t="s">
        <v>4674</v>
      </c>
      <c r="E505" t="s">
        <v>34</v>
      </c>
      <c r="F505">
        <v>10</v>
      </c>
      <c r="G505" t="s">
        <v>24</v>
      </c>
      <c r="H505" t="s">
        <v>25</v>
      </c>
      <c r="I505" t="s">
        <v>39</v>
      </c>
    </row>
    <row r="506" spans="1:9" x14ac:dyDescent="0.45">
      <c r="A506" t="s">
        <v>4675</v>
      </c>
      <c r="B506" s="2">
        <v>46213</v>
      </c>
      <c r="C506" t="s">
        <v>99</v>
      </c>
      <c r="D506" t="s">
        <v>4676</v>
      </c>
      <c r="E506" t="s">
        <v>23</v>
      </c>
      <c r="F506">
        <v>11</v>
      </c>
      <c r="G506" t="s">
        <v>35</v>
      </c>
      <c r="H506" t="s">
        <v>25</v>
      </c>
      <c r="I506" t="s">
        <v>26</v>
      </c>
    </row>
    <row r="507" spans="1:9" x14ac:dyDescent="0.45">
      <c r="A507" t="s">
        <v>4677</v>
      </c>
      <c r="B507" s="2">
        <v>46196</v>
      </c>
      <c r="C507" t="s">
        <v>28</v>
      </c>
      <c r="D507" t="s">
        <v>4678</v>
      </c>
      <c r="E507" t="s">
        <v>30</v>
      </c>
      <c r="F507">
        <v>3</v>
      </c>
      <c r="G507" t="s">
        <v>55</v>
      </c>
      <c r="H507" t="s">
        <v>72</v>
      </c>
      <c r="I507" t="s">
        <v>19</v>
      </c>
    </row>
    <row r="508" spans="1:9" x14ac:dyDescent="0.45">
      <c r="A508" t="s">
        <v>4679</v>
      </c>
      <c r="B508" s="2">
        <v>46088</v>
      </c>
      <c r="C508" t="s">
        <v>99</v>
      </c>
      <c r="D508" t="s">
        <v>4680</v>
      </c>
      <c r="E508" t="s">
        <v>7973</v>
      </c>
      <c r="F508">
        <v>9</v>
      </c>
      <c r="G508" t="s">
        <v>59</v>
      </c>
      <c r="H508" t="s">
        <v>14</v>
      </c>
      <c r="I508" t="s">
        <v>31</v>
      </c>
    </row>
    <row r="509" spans="1:9" x14ac:dyDescent="0.45">
      <c r="A509" t="s">
        <v>4681</v>
      </c>
      <c r="B509" s="2">
        <v>46030</v>
      </c>
      <c r="C509" t="s">
        <v>28</v>
      </c>
      <c r="D509" t="s">
        <v>4682</v>
      </c>
      <c r="E509" t="s">
        <v>54</v>
      </c>
      <c r="F509">
        <v>10</v>
      </c>
      <c r="G509" t="s">
        <v>18</v>
      </c>
      <c r="H509" t="s">
        <v>14</v>
      </c>
      <c r="I509" t="s">
        <v>39</v>
      </c>
    </row>
    <row r="510" spans="1:9" x14ac:dyDescent="0.45">
      <c r="A510" t="s">
        <v>4683</v>
      </c>
      <c r="B510" s="2">
        <v>46221</v>
      </c>
      <c r="C510" t="s">
        <v>99</v>
      </c>
      <c r="D510" t="s">
        <v>4684</v>
      </c>
      <c r="E510" t="s">
        <v>46</v>
      </c>
      <c r="F510">
        <v>12</v>
      </c>
      <c r="G510" t="s">
        <v>68</v>
      </c>
      <c r="H510" t="s">
        <v>25</v>
      </c>
      <c r="I510" t="s">
        <v>39</v>
      </c>
    </row>
    <row r="511" spans="1:9" x14ac:dyDescent="0.45">
      <c r="A511" t="s">
        <v>4685</v>
      </c>
      <c r="B511" s="2">
        <v>46258</v>
      </c>
      <c r="C511" t="s">
        <v>21</v>
      </c>
      <c r="D511" t="s">
        <v>4686</v>
      </c>
      <c r="E511" t="s">
        <v>23</v>
      </c>
      <c r="F511">
        <v>1</v>
      </c>
      <c r="G511" t="s">
        <v>43</v>
      </c>
      <c r="H511" t="s">
        <v>14</v>
      </c>
      <c r="I511" t="s">
        <v>26</v>
      </c>
    </row>
    <row r="512" spans="1:9" x14ac:dyDescent="0.45">
      <c r="A512" t="s">
        <v>4687</v>
      </c>
      <c r="B512" s="2">
        <v>46131</v>
      </c>
      <c r="C512" t="s">
        <v>28</v>
      </c>
      <c r="D512" t="s">
        <v>4688</v>
      </c>
      <c r="E512" t="s">
        <v>23</v>
      </c>
      <c r="F512">
        <v>9</v>
      </c>
      <c r="G512" t="s">
        <v>43</v>
      </c>
      <c r="H512" t="s">
        <v>14</v>
      </c>
      <c r="I512" t="s">
        <v>39</v>
      </c>
    </row>
    <row r="513" spans="1:9" x14ac:dyDescent="0.45">
      <c r="A513" t="s">
        <v>4689</v>
      </c>
      <c r="B513" s="2">
        <v>46053</v>
      </c>
      <c r="C513" t="s">
        <v>52</v>
      </c>
      <c r="D513" t="s">
        <v>4690</v>
      </c>
      <c r="E513" t="s">
        <v>30</v>
      </c>
      <c r="F513">
        <v>3</v>
      </c>
      <c r="G513" t="s">
        <v>18</v>
      </c>
      <c r="H513" t="s">
        <v>14</v>
      </c>
      <c r="I513" t="s">
        <v>31</v>
      </c>
    </row>
    <row r="514" spans="1:9" x14ac:dyDescent="0.45">
      <c r="A514" t="s">
        <v>4691</v>
      </c>
      <c r="B514" s="2">
        <v>46110</v>
      </c>
      <c r="C514" t="s">
        <v>21</v>
      </c>
      <c r="D514" t="s">
        <v>4692</v>
      </c>
      <c r="E514" t="s">
        <v>34</v>
      </c>
      <c r="F514">
        <v>11</v>
      </c>
      <c r="G514" t="s">
        <v>7967</v>
      </c>
      <c r="H514" t="s">
        <v>72</v>
      </c>
      <c r="I514" t="s">
        <v>47</v>
      </c>
    </row>
    <row r="515" spans="1:9" x14ac:dyDescent="0.45">
      <c r="A515" t="s">
        <v>4693</v>
      </c>
      <c r="B515" s="2">
        <v>46092</v>
      </c>
      <c r="C515" t="s">
        <v>28</v>
      </c>
      <c r="D515" t="s">
        <v>4694</v>
      </c>
      <c r="E515" t="s">
        <v>46</v>
      </c>
      <c r="F515">
        <v>1</v>
      </c>
      <c r="G515" t="s">
        <v>43</v>
      </c>
      <c r="H515" t="s">
        <v>14</v>
      </c>
      <c r="I515" t="s">
        <v>47</v>
      </c>
    </row>
    <row r="516" spans="1:9" x14ac:dyDescent="0.45">
      <c r="A516" t="s">
        <v>4695</v>
      </c>
      <c r="B516" s="2">
        <v>46245</v>
      </c>
      <c r="C516" t="s">
        <v>16</v>
      </c>
      <c r="D516" t="s">
        <v>4696</v>
      </c>
      <c r="E516" t="s">
        <v>23</v>
      </c>
      <c r="F516">
        <v>8</v>
      </c>
      <c r="G516" t="s">
        <v>24</v>
      </c>
      <c r="H516" t="s">
        <v>25</v>
      </c>
      <c r="I516" t="s">
        <v>19</v>
      </c>
    </row>
    <row r="517" spans="1:9" x14ac:dyDescent="0.45">
      <c r="A517" t="s">
        <v>4697</v>
      </c>
      <c r="B517" s="2">
        <v>46203</v>
      </c>
      <c r="C517" t="s">
        <v>49</v>
      </c>
      <c r="D517" t="s">
        <v>4698</v>
      </c>
      <c r="E517" t="s">
        <v>34</v>
      </c>
      <c r="F517">
        <v>8</v>
      </c>
      <c r="G517" t="s">
        <v>55</v>
      </c>
      <c r="H517" t="s">
        <v>72</v>
      </c>
      <c r="I517" t="s">
        <v>39</v>
      </c>
    </row>
    <row r="518" spans="1:9" x14ac:dyDescent="0.45">
      <c r="A518" t="s">
        <v>4699</v>
      </c>
      <c r="B518" s="2">
        <v>46051</v>
      </c>
      <c r="C518" t="s">
        <v>49</v>
      </c>
      <c r="D518" t="s">
        <v>4700</v>
      </c>
      <c r="E518" t="s">
        <v>54</v>
      </c>
      <c r="F518">
        <v>3</v>
      </c>
      <c r="G518" t="s">
        <v>13</v>
      </c>
      <c r="H518" t="s">
        <v>14</v>
      </c>
      <c r="I518" t="s">
        <v>26</v>
      </c>
    </row>
    <row r="519" spans="1:9" x14ac:dyDescent="0.45">
      <c r="A519" t="s">
        <v>4701</v>
      </c>
      <c r="B519" s="2">
        <v>46034</v>
      </c>
      <c r="C519" t="s">
        <v>28</v>
      </c>
      <c r="D519" t="s">
        <v>4702</v>
      </c>
      <c r="E519" t="s">
        <v>34</v>
      </c>
      <c r="F519">
        <v>11</v>
      </c>
      <c r="G519" t="s">
        <v>59</v>
      </c>
      <c r="H519" t="s">
        <v>14</v>
      </c>
      <c r="I519" t="s">
        <v>60</v>
      </c>
    </row>
    <row r="520" spans="1:9" x14ac:dyDescent="0.45">
      <c r="A520" t="s">
        <v>4703</v>
      </c>
      <c r="B520" s="2">
        <v>46104</v>
      </c>
      <c r="C520" t="s">
        <v>21</v>
      </c>
      <c r="D520" t="s">
        <v>4704</v>
      </c>
      <c r="E520" t="s">
        <v>38</v>
      </c>
      <c r="F520">
        <v>9</v>
      </c>
      <c r="G520" t="s">
        <v>35</v>
      </c>
      <c r="H520" t="s">
        <v>25</v>
      </c>
      <c r="I520" t="s">
        <v>60</v>
      </c>
    </row>
    <row r="521" spans="1:9" x14ac:dyDescent="0.45">
      <c r="A521" t="s">
        <v>4705</v>
      </c>
      <c r="B521" s="2">
        <v>46122</v>
      </c>
      <c r="C521" t="s">
        <v>49</v>
      </c>
      <c r="D521" t="s">
        <v>4706</v>
      </c>
      <c r="E521" t="s">
        <v>42</v>
      </c>
      <c r="F521">
        <v>2</v>
      </c>
      <c r="G521" t="s">
        <v>35</v>
      </c>
      <c r="H521" t="s">
        <v>25</v>
      </c>
      <c r="I521" t="s">
        <v>47</v>
      </c>
    </row>
    <row r="522" spans="1:9" x14ac:dyDescent="0.45">
      <c r="A522" t="s">
        <v>4707</v>
      </c>
      <c r="B522" s="2">
        <v>46263</v>
      </c>
      <c r="C522" t="s">
        <v>10</v>
      </c>
      <c r="D522" t="s">
        <v>4708</v>
      </c>
      <c r="E522" t="s">
        <v>58</v>
      </c>
      <c r="F522">
        <v>10</v>
      </c>
      <c r="G522" t="s">
        <v>24</v>
      </c>
      <c r="H522" t="s">
        <v>25</v>
      </c>
      <c r="I522" t="s">
        <v>39</v>
      </c>
    </row>
    <row r="523" spans="1:9" x14ac:dyDescent="0.45">
      <c r="A523" t="s">
        <v>4709</v>
      </c>
      <c r="B523" s="2">
        <v>46080</v>
      </c>
      <c r="C523" t="s">
        <v>16</v>
      </c>
      <c r="D523" t="s">
        <v>4710</v>
      </c>
      <c r="E523" t="s">
        <v>46</v>
      </c>
      <c r="F523">
        <v>8</v>
      </c>
      <c r="G523" t="s">
        <v>68</v>
      </c>
      <c r="H523" t="s">
        <v>25</v>
      </c>
      <c r="I523" t="s">
        <v>60</v>
      </c>
    </row>
    <row r="524" spans="1:9" x14ac:dyDescent="0.45">
      <c r="A524" t="s">
        <v>4711</v>
      </c>
      <c r="B524" s="2">
        <v>46175</v>
      </c>
      <c r="C524" t="s">
        <v>66</v>
      </c>
      <c r="D524" t="s">
        <v>4712</v>
      </c>
      <c r="E524" t="s">
        <v>54</v>
      </c>
      <c r="F524">
        <v>5</v>
      </c>
      <c r="G524" t="s">
        <v>55</v>
      </c>
      <c r="H524" t="s">
        <v>72</v>
      </c>
      <c r="I524" t="s">
        <v>60</v>
      </c>
    </row>
    <row r="525" spans="1:9" x14ac:dyDescent="0.45">
      <c r="A525" t="s">
        <v>4713</v>
      </c>
      <c r="B525" s="2">
        <v>46118</v>
      </c>
      <c r="C525" t="s">
        <v>16</v>
      </c>
      <c r="D525" t="s">
        <v>4714</v>
      </c>
      <c r="E525" t="s">
        <v>46</v>
      </c>
      <c r="F525">
        <v>5</v>
      </c>
      <c r="G525" t="s">
        <v>18</v>
      </c>
      <c r="H525" t="s">
        <v>14</v>
      </c>
      <c r="I525" t="s">
        <v>47</v>
      </c>
    </row>
    <row r="526" spans="1:9" x14ac:dyDescent="0.45">
      <c r="A526" t="s">
        <v>4715</v>
      </c>
      <c r="B526" s="2">
        <v>46135</v>
      </c>
      <c r="C526" t="s">
        <v>16</v>
      </c>
      <c r="D526" t="s">
        <v>4716</v>
      </c>
      <c r="E526" t="s">
        <v>58</v>
      </c>
      <c r="F526">
        <v>1</v>
      </c>
      <c r="G526" t="s">
        <v>59</v>
      </c>
      <c r="H526" t="s">
        <v>14</v>
      </c>
      <c r="I526" t="s">
        <v>47</v>
      </c>
    </row>
    <row r="527" spans="1:9" x14ac:dyDescent="0.45">
      <c r="A527" t="s">
        <v>4717</v>
      </c>
      <c r="B527" s="2">
        <v>46233</v>
      </c>
      <c r="C527" t="s">
        <v>16</v>
      </c>
      <c r="D527" t="s">
        <v>4718</v>
      </c>
      <c r="E527" t="s">
        <v>7973</v>
      </c>
      <c r="F527">
        <v>9</v>
      </c>
      <c r="G527" t="s">
        <v>55</v>
      </c>
      <c r="H527" t="s">
        <v>72</v>
      </c>
      <c r="I527" t="s">
        <v>47</v>
      </c>
    </row>
    <row r="528" spans="1:9" x14ac:dyDescent="0.45">
      <c r="A528" t="s">
        <v>4719</v>
      </c>
      <c r="B528" s="2">
        <v>46106</v>
      </c>
      <c r="C528" t="s">
        <v>49</v>
      </c>
      <c r="D528" t="s">
        <v>4720</v>
      </c>
      <c r="E528" t="s">
        <v>71</v>
      </c>
      <c r="F528">
        <v>10</v>
      </c>
      <c r="G528" t="s">
        <v>59</v>
      </c>
      <c r="H528" t="s">
        <v>14</v>
      </c>
      <c r="I528" t="s">
        <v>19</v>
      </c>
    </row>
    <row r="529" spans="1:9" x14ac:dyDescent="0.45">
      <c r="A529" t="s">
        <v>4721</v>
      </c>
      <c r="B529" s="2">
        <v>46057</v>
      </c>
      <c r="C529" t="s">
        <v>10</v>
      </c>
      <c r="D529" t="s">
        <v>4722</v>
      </c>
      <c r="E529" t="s">
        <v>7973</v>
      </c>
      <c r="F529">
        <v>9</v>
      </c>
      <c r="G529" t="s">
        <v>35</v>
      </c>
      <c r="H529" t="s">
        <v>25</v>
      </c>
      <c r="I529" t="s">
        <v>60</v>
      </c>
    </row>
    <row r="530" spans="1:9" x14ac:dyDescent="0.45">
      <c r="A530" t="s">
        <v>4723</v>
      </c>
      <c r="B530" s="2">
        <v>46172</v>
      </c>
      <c r="C530" t="s">
        <v>52</v>
      </c>
      <c r="D530" t="s">
        <v>4724</v>
      </c>
      <c r="E530" t="s">
        <v>71</v>
      </c>
      <c r="F530">
        <v>2</v>
      </c>
      <c r="G530" t="s">
        <v>43</v>
      </c>
      <c r="H530" t="s">
        <v>14</v>
      </c>
      <c r="I530" t="s">
        <v>39</v>
      </c>
    </row>
    <row r="531" spans="1:9" x14ac:dyDescent="0.45">
      <c r="A531" t="s">
        <v>4725</v>
      </c>
      <c r="B531" s="2">
        <v>46040</v>
      </c>
      <c r="C531" t="s">
        <v>49</v>
      </c>
      <c r="D531" t="s">
        <v>4726</v>
      </c>
      <c r="E531" t="s">
        <v>75</v>
      </c>
      <c r="F531">
        <v>5</v>
      </c>
      <c r="G531" t="s">
        <v>13</v>
      </c>
      <c r="H531" t="s">
        <v>14</v>
      </c>
      <c r="I531" t="s">
        <v>60</v>
      </c>
    </row>
    <row r="532" spans="1:9" x14ac:dyDescent="0.45">
      <c r="A532" t="s">
        <v>4727</v>
      </c>
      <c r="B532" s="2">
        <v>46104</v>
      </c>
      <c r="C532" t="s">
        <v>16</v>
      </c>
      <c r="D532" t="s">
        <v>4728</v>
      </c>
      <c r="E532" t="s">
        <v>23</v>
      </c>
      <c r="F532">
        <v>12</v>
      </c>
      <c r="G532" t="s">
        <v>43</v>
      </c>
      <c r="H532" t="s">
        <v>14</v>
      </c>
      <c r="I532" t="s">
        <v>7967</v>
      </c>
    </row>
    <row r="533" spans="1:9" x14ac:dyDescent="0.45">
      <c r="A533" t="s">
        <v>4729</v>
      </c>
      <c r="B533" s="2">
        <v>46082</v>
      </c>
      <c r="C533" t="s">
        <v>66</v>
      </c>
      <c r="D533" t="s">
        <v>4730</v>
      </c>
      <c r="E533" t="s">
        <v>7973</v>
      </c>
      <c r="F533">
        <v>8</v>
      </c>
      <c r="G533" t="s">
        <v>18</v>
      </c>
      <c r="H533" t="s">
        <v>14</v>
      </c>
      <c r="I533" t="s">
        <v>60</v>
      </c>
    </row>
    <row r="534" spans="1:9" x14ac:dyDescent="0.45">
      <c r="A534" t="s">
        <v>4731</v>
      </c>
      <c r="B534" s="2">
        <v>46089</v>
      </c>
      <c r="C534" t="s">
        <v>52</v>
      </c>
      <c r="D534" t="s">
        <v>4732</v>
      </c>
      <c r="E534" t="s">
        <v>42</v>
      </c>
      <c r="F534">
        <v>2</v>
      </c>
      <c r="G534" t="s">
        <v>18</v>
      </c>
      <c r="H534" t="s">
        <v>14</v>
      </c>
      <c r="I534" t="s">
        <v>47</v>
      </c>
    </row>
    <row r="535" spans="1:9" x14ac:dyDescent="0.45">
      <c r="A535" t="s">
        <v>4733</v>
      </c>
      <c r="B535" s="2">
        <v>46171</v>
      </c>
      <c r="C535" t="s">
        <v>52</v>
      </c>
      <c r="D535" t="s">
        <v>4734</v>
      </c>
      <c r="E535" t="s">
        <v>7973</v>
      </c>
      <c r="F535">
        <v>5</v>
      </c>
      <c r="G535" t="s">
        <v>55</v>
      </c>
      <c r="H535" t="s">
        <v>72</v>
      </c>
      <c r="I535" t="s">
        <v>19</v>
      </c>
    </row>
    <row r="536" spans="1:9" x14ac:dyDescent="0.45">
      <c r="A536" t="s">
        <v>4735</v>
      </c>
      <c r="B536" s="2">
        <v>46216</v>
      </c>
      <c r="C536" t="s">
        <v>16</v>
      </c>
      <c r="D536" t="s">
        <v>4736</v>
      </c>
      <c r="E536" t="s">
        <v>46</v>
      </c>
      <c r="F536">
        <v>12</v>
      </c>
      <c r="G536" t="s">
        <v>13</v>
      </c>
      <c r="H536" t="s">
        <v>14</v>
      </c>
      <c r="I536" t="s">
        <v>39</v>
      </c>
    </row>
    <row r="537" spans="1:9" x14ac:dyDescent="0.45">
      <c r="A537" t="s">
        <v>4737</v>
      </c>
      <c r="B537" s="2">
        <v>46028</v>
      </c>
      <c r="C537" t="s">
        <v>16</v>
      </c>
      <c r="D537" t="s">
        <v>4738</v>
      </c>
      <c r="E537" t="s">
        <v>75</v>
      </c>
      <c r="F537">
        <v>2</v>
      </c>
      <c r="G537" t="s">
        <v>55</v>
      </c>
      <c r="H537" t="s">
        <v>72</v>
      </c>
      <c r="I537" t="s">
        <v>31</v>
      </c>
    </row>
    <row r="538" spans="1:9" x14ac:dyDescent="0.45">
      <c r="A538" t="s">
        <v>4739</v>
      </c>
      <c r="B538" s="2">
        <v>46099</v>
      </c>
      <c r="C538" t="s">
        <v>10</v>
      </c>
      <c r="D538" t="s">
        <v>4740</v>
      </c>
      <c r="E538" t="s">
        <v>7974</v>
      </c>
      <c r="F538">
        <v>9</v>
      </c>
      <c r="G538" t="s">
        <v>59</v>
      </c>
      <c r="H538" t="s">
        <v>14</v>
      </c>
      <c r="I538" t="s">
        <v>60</v>
      </c>
    </row>
    <row r="539" spans="1:9" x14ac:dyDescent="0.45">
      <c r="A539" t="s">
        <v>4741</v>
      </c>
      <c r="B539" s="2">
        <v>46161</v>
      </c>
      <c r="C539" t="s">
        <v>16</v>
      </c>
      <c r="D539" t="s">
        <v>4742</v>
      </c>
      <c r="E539" t="s">
        <v>38</v>
      </c>
      <c r="F539">
        <v>1</v>
      </c>
      <c r="G539" t="s">
        <v>13</v>
      </c>
      <c r="H539" t="s">
        <v>14</v>
      </c>
      <c r="I539" t="s">
        <v>26</v>
      </c>
    </row>
    <row r="540" spans="1:9" x14ac:dyDescent="0.45">
      <c r="A540" t="s">
        <v>4743</v>
      </c>
      <c r="B540" s="2">
        <v>46134</v>
      </c>
      <c r="C540" t="s">
        <v>21</v>
      </c>
      <c r="D540" t="s">
        <v>4744</v>
      </c>
      <c r="E540" t="s">
        <v>75</v>
      </c>
      <c r="F540">
        <v>4</v>
      </c>
      <c r="G540" t="s">
        <v>18</v>
      </c>
      <c r="H540" t="s">
        <v>14</v>
      </c>
      <c r="I540" t="s">
        <v>60</v>
      </c>
    </row>
    <row r="541" spans="1:9" x14ac:dyDescent="0.45">
      <c r="A541" t="s">
        <v>4745</v>
      </c>
      <c r="B541" s="2">
        <v>46096</v>
      </c>
      <c r="C541" t="s">
        <v>66</v>
      </c>
      <c r="D541" t="s">
        <v>4746</v>
      </c>
      <c r="E541" t="s">
        <v>38</v>
      </c>
      <c r="F541">
        <v>9</v>
      </c>
      <c r="G541" t="s">
        <v>59</v>
      </c>
      <c r="H541" t="s">
        <v>14</v>
      </c>
      <c r="I541" t="s">
        <v>19</v>
      </c>
    </row>
    <row r="542" spans="1:9" x14ac:dyDescent="0.45">
      <c r="A542" t="s">
        <v>4747</v>
      </c>
      <c r="B542" s="2">
        <v>46195</v>
      </c>
      <c r="C542" t="s">
        <v>28</v>
      </c>
      <c r="D542" t="s">
        <v>4748</v>
      </c>
      <c r="E542" t="s">
        <v>38</v>
      </c>
      <c r="F542">
        <v>1</v>
      </c>
      <c r="G542" t="s">
        <v>55</v>
      </c>
      <c r="H542" t="s">
        <v>72</v>
      </c>
      <c r="I542" t="s">
        <v>47</v>
      </c>
    </row>
    <row r="543" spans="1:9" x14ac:dyDescent="0.45">
      <c r="A543" t="s">
        <v>4749</v>
      </c>
      <c r="B543" s="2">
        <v>46182</v>
      </c>
      <c r="C543" t="s">
        <v>66</v>
      </c>
      <c r="D543" t="s">
        <v>4750</v>
      </c>
      <c r="E543" t="s">
        <v>71</v>
      </c>
      <c r="F543">
        <v>3</v>
      </c>
      <c r="G543" t="s">
        <v>35</v>
      </c>
      <c r="H543" t="s">
        <v>25</v>
      </c>
      <c r="I543" t="s">
        <v>31</v>
      </c>
    </row>
    <row r="544" spans="1:9" x14ac:dyDescent="0.45">
      <c r="A544" t="s">
        <v>4751</v>
      </c>
      <c r="B544" s="2">
        <v>46241</v>
      </c>
      <c r="C544" t="s">
        <v>21</v>
      </c>
      <c r="D544" t="s">
        <v>4752</v>
      </c>
      <c r="E544" t="s">
        <v>75</v>
      </c>
      <c r="F544">
        <v>12</v>
      </c>
      <c r="G544" t="s">
        <v>18</v>
      </c>
      <c r="H544" t="s">
        <v>14</v>
      </c>
      <c r="I544" t="s">
        <v>26</v>
      </c>
    </row>
    <row r="545" spans="1:9" x14ac:dyDescent="0.45">
      <c r="A545" t="s">
        <v>4753</v>
      </c>
      <c r="B545" s="2">
        <v>46105</v>
      </c>
      <c r="C545" t="s">
        <v>52</v>
      </c>
      <c r="D545" t="s">
        <v>4754</v>
      </c>
      <c r="E545" t="s">
        <v>71</v>
      </c>
      <c r="F545">
        <v>8</v>
      </c>
      <c r="G545" t="s">
        <v>55</v>
      </c>
      <c r="H545" t="s">
        <v>72</v>
      </c>
      <c r="I545" t="s">
        <v>60</v>
      </c>
    </row>
    <row r="546" spans="1:9" x14ac:dyDescent="0.45">
      <c r="A546" t="s">
        <v>4755</v>
      </c>
      <c r="B546" s="2">
        <v>46257</v>
      </c>
      <c r="C546" t="s">
        <v>28</v>
      </c>
      <c r="D546" t="s">
        <v>4756</v>
      </c>
      <c r="E546" t="s">
        <v>866</v>
      </c>
      <c r="F546">
        <v>5</v>
      </c>
      <c r="G546" t="s">
        <v>55</v>
      </c>
      <c r="H546" t="s">
        <v>72</v>
      </c>
      <c r="I546" t="s">
        <v>31</v>
      </c>
    </row>
    <row r="547" spans="1:9" x14ac:dyDescent="0.45">
      <c r="A547" t="s">
        <v>4757</v>
      </c>
      <c r="B547" s="2">
        <v>46223</v>
      </c>
      <c r="C547" t="s">
        <v>49</v>
      </c>
      <c r="D547" t="s">
        <v>4758</v>
      </c>
      <c r="E547" t="s">
        <v>7973</v>
      </c>
      <c r="F547">
        <v>5</v>
      </c>
      <c r="G547" t="s">
        <v>13</v>
      </c>
      <c r="H547" t="s">
        <v>14</v>
      </c>
      <c r="I547" t="s">
        <v>31</v>
      </c>
    </row>
    <row r="548" spans="1:9" x14ac:dyDescent="0.45">
      <c r="A548" t="s">
        <v>4759</v>
      </c>
      <c r="B548" s="2">
        <v>46269</v>
      </c>
      <c r="C548" t="s">
        <v>10</v>
      </c>
      <c r="D548" t="s">
        <v>4760</v>
      </c>
      <c r="E548" t="s">
        <v>46</v>
      </c>
      <c r="F548">
        <v>11</v>
      </c>
      <c r="G548" t="s">
        <v>59</v>
      </c>
      <c r="H548" t="s">
        <v>14</v>
      </c>
      <c r="I548" t="s">
        <v>60</v>
      </c>
    </row>
    <row r="549" spans="1:9" x14ac:dyDescent="0.45">
      <c r="A549" t="s">
        <v>4761</v>
      </c>
      <c r="B549" s="2">
        <v>46024</v>
      </c>
      <c r="C549" t="s">
        <v>16</v>
      </c>
      <c r="D549" t="s">
        <v>4762</v>
      </c>
      <c r="E549" t="s">
        <v>54</v>
      </c>
      <c r="F549">
        <v>5</v>
      </c>
      <c r="G549" t="s">
        <v>59</v>
      </c>
      <c r="H549" t="s">
        <v>14</v>
      </c>
      <c r="I549" t="s">
        <v>39</v>
      </c>
    </row>
    <row r="550" spans="1:9" x14ac:dyDescent="0.45">
      <c r="A550" t="s">
        <v>4763</v>
      </c>
      <c r="B550" s="2">
        <v>46046</v>
      </c>
      <c r="C550" t="s">
        <v>21</v>
      </c>
      <c r="D550" t="s">
        <v>4764</v>
      </c>
      <c r="E550" t="s">
        <v>38</v>
      </c>
      <c r="F550">
        <v>2</v>
      </c>
      <c r="G550" t="s">
        <v>24</v>
      </c>
      <c r="H550" t="s">
        <v>25</v>
      </c>
      <c r="I550" t="s">
        <v>31</v>
      </c>
    </row>
    <row r="551" spans="1:9" x14ac:dyDescent="0.45">
      <c r="A551" t="s">
        <v>4765</v>
      </c>
      <c r="B551" s="2">
        <v>46048</v>
      </c>
      <c r="C551" t="s">
        <v>28</v>
      </c>
      <c r="D551" t="s">
        <v>4766</v>
      </c>
      <c r="E551" t="s">
        <v>42</v>
      </c>
      <c r="F551">
        <v>9</v>
      </c>
      <c r="G551" t="s">
        <v>59</v>
      </c>
      <c r="H551" t="s">
        <v>14</v>
      </c>
      <c r="I551" t="s">
        <v>47</v>
      </c>
    </row>
    <row r="552" spans="1:9" x14ac:dyDescent="0.45">
      <c r="A552" t="s">
        <v>4767</v>
      </c>
      <c r="B552" s="2">
        <v>46179</v>
      </c>
      <c r="C552" t="s">
        <v>10</v>
      </c>
      <c r="D552" t="s">
        <v>4768</v>
      </c>
      <c r="E552" t="s">
        <v>42</v>
      </c>
      <c r="F552">
        <v>1</v>
      </c>
      <c r="G552" t="s">
        <v>24</v>
      </c>
      <c r="H552" t="s">
        <v>25</v>
      </c>
      <c r="I552" t="s">
        <v>47</v>
      </c>
    </row>
    <row r="553" spans="1:9" x14ac:dyDescent="0.45">
      <c r="A553" t="s">
        <v>4769</v>
      </c>
      <c r="B553" s="2">
        <v>46157</v>
      </c>
      <c r="C553" t="s">
        <v>66</v>
      </c>
      <c r="D553" t="s">
        <v>4770</v>
      </c>
      <c r="E553" t="s">
        <v>75</v>
      </c>
      <c r="F553">
        <v>2</v>
      </c>
      <c r="G553" t="s">
        <v>59</v>
      </c>
      <c r="H553" t="s">
        <v>14</v>
      </c>
      <c r="I553" t="s">
        <v>39</v>
      </c>
    </row>
    <row r="554" spans="1:9" x14ac:dyDescent="0.45">
      <c r="A554" t="s">
        <v>4771</v>
      </c>
      <c r="B554" s="2">
        <v>46229</v>
      </c>
      <c r="C554" t="s">
        <v>16</v>
      </c>
      <c r="D554" t="s">
        <v>4772</v>
      </c>
      <c r="E554" t="s">
        <v>23</v>
      </c>
      <c r="F554">
        <v>10</v>
      </c>
      <c r="G554" t="s">
        <v>68</v>
      </c>
      <c r="H554" t="s">
        <v>25</v>
      </c>
      <c r="I554" t="s">
        <v>31</v>
      </c>
    </row>
    <row r="555" spans="1:9" x14ac:dyDescent="0.45">
      <c r="A555" t="s">
        <v>4773</v>
      </c>
      <c r="B555" s="2">
        <v>46027</v>
      </c>
      <c r="C555" t="s">
        <v>10</v>
      </c>
      <c r="D555" t="s">
        <v>4774</v>
      </c>
      <c r="E555" t="s">
        <v>7973</v>
      </c>
      <c r="F555">
        <v>5</v>
      </c>
      <c r="G555" t="s">
        <v>18</v>
      </c>
      <c r="H555" t="s">
        <v>14</v>
      </c>
      <c r="I555" t="s">
        <v>60</v>
      </c>
    </row>
    <row r="556" spans="1:9" x14ac:dyDescent="0.45">
      <c r="A556" t="s">
        <v>4775</v>
      </c>
      <c r="B556" s="2">
        <v>46028</v>
      </c>
      <c r="C556" t="s">
        <v>49</v>
      </c>
      <c r="D556" t="s">
        <v>4776</v>
      </c>
      <c r="E556" t="s">
        <v>34</v>
      </c>
      <c r="F556">
        <v>10</v>
      </c>
      <c r="G556" t="s">
        <v>24</v>
      </c>
      <c r="H556" t="s">
        <v>25</v>
      </c>
      <c r="I556" t="s">
        <v>31</v>
      </c>
    </row>
    <row r="557" spans="1:9" x14ac:dyDescent="0.45">
      <c r="A557" t="s">
        <v>4777</v>
      </c>
      <c r="B557" s="2">
        <v>46032</v>
      </c>
      <c r="C557" t="s">
        <v>28</v>
      </c>
      <c r="D557" t="s">
        <v>4778</v>
      </c>
      <c r="E557" t="s">
        <v>58</v>
      </c>
      <c r="F557">
        <v>8</v>
      </c>
      <c r="G557" t="s">
        <v>59</v>
      </c>
      <c r="H557" t="s">
        <v>14</v>
      </c>
      <c r="I557" t="s">
        <v>47</v>
      </c>
    </row>
    <row r="558" spans="1:9" x14ac:dyDescent="0.45">
      <c r="A558" t="s">
        <v>4779</v>
      </c>
      <c r="B558" s="2">
        <v>46257</v>
      </c>
      <c r="C558" t="s">
        <v>16</v>
      </c>
      <c r="D558" t="s">
        <v>4780</v>
      </c>
      <c r="E558" t="s">
        <v>7974</v>
      </c>
      <c r="F558">
        <v>10</v>
      </c>
      <c r="G558" t="s">
        <v>35</v>
      </c>
      <c r="H558" t="s">
        <v>25</v>
      </c>
      <c r="I558" t="s">
        <v>39</v>
      </c>
    </row>
    <row r="559" spans="1:9" x14ac:dyDescent="0.45">
      <c r="A559" t="s">
        <v>4781</v>
      </c>
      <c r="B559" s="2">
        <v>46126</v>
      </c>
      <c r="C559" t="s">
        <v>66</v>
      </c>
      <c r="D559" t="s">
        <v>4782</v>
      </c>
      <c r="E559" t="s">
        <v>58</v>
      </c>
      <c r="F559">
        <v>10</v>
      </c>
      <c r="G559" t="s">
        <v>43</v>
      </c>
      <c r="H559" t="s">
        <v>14</v>
      </c>
      <c r="I559" t="s">
        <v>31</v>
      </c>
    </row>
    <row r="560" spans="1:9" x14ac:dyDescent="0.45">
      <c r="A560" t="s">
        <v>4783</v>
      </c>
      <c r="B560" s="2">
        <v>46264</v>
      </c>
      <c r="C560" t="s">
        <v>16</v>
      </c>
      <c r="D560" t="s">
        <v>4784</v>
      </c>
      <c r="E560" t="s">
        <v>75</v>
      </c>
      <c r="F560">
        <v>12</v>
      </c>
      <c r="G560" t="s">
        <v>35</v>
      </c>
      <c r="H560" t="s">
        <v>25</v>
      </c>
      <c r="I560" t="s">
        <v>60</v>
      </c>
    </row>
    <row r="561" spans="1:9" x14ac:dyDescent="0.45">
      <c r="A561" t="s">
        <v>4785</v>
      </c>
      <c r="B561" s="2">
        <v>46149</v>
      </c>
      <c r="C561" t="s">
        <v>66</v>
      </c>
      <c r="D561" t="s">
        <v>4786</v>
      </c>
      <c r="E561" t="s">
        <v>7967</v>
      </c>
      <c r="F561">
        <v>6</v>
      </c>
      <c r="G561" t="s">
        <v>18</v>
      </c>
      <c r="H561" t="s">
        <v>14</v>
      </c>
      <c r="I561" t="s">
        <v>47</v>
      </c>
    </row>
    <row r="562" spans="1:9" x14ac:dyDescent="0.45">
      <c r="A562" t="s">
        <v>4787</v>
      </c>
      <c r="B562" s="2">
        <v>46023</v>
      </c>
      <c r="C562" t="s">
        <v>21</v>
      </c>
      <c r="D562" t="s">
        <v>4788</v>
      </c>
      <c r="E562" t="s">
        <v>71</v>
      </c>
      <c r="F562">
        <v>12</v>
      </c>
      <c r="G562" t="s">
        <v>43</v>
      </c>
      <c r="H562" t="s">
        <v>14</v>
      </c>
      <c r="I562" t="s">
        <v>19</v>
      </c>
    </row>
    <row r="563" spans="1:9" x14ac:dyDescent="0.45">
      <c r="A563" t="s">
        <v>4789</v>
      </c>
      <c r="B563" s="2">
        <v>46078</v>
      </c>
      <c r="C563" t="s">
        <v>66</v>
      </c>
      <c r="D563" t="s">
        <v>4790</v>
      </c>
      <c r="E563" t="s">
        <v>46</v>
      </c>
      <c r="F563">
        <v>1</v>
      </c>
      <c r="G563" t="s">
        <v>35</v>
      </c>
      <c r="H563" t="s">
        <v>25</v>
      </c>
      <c r="I563" t="s">
        <v>47</v>
      </c>
    </row>
    <row r="564" spans="1:9" x14ac:dyDescent="0.45">
      <c r="A564" t="s">
        <v>4791</v>
      </c>
      <c r="B564" s="2">
        <v>46166</v>
      </c>
      <c r="C564" t="s">
        <v>52</v>
      </c>
      <c r="D564" t="s">
        <v>4792</v>
      </c>
      <c r="E564" t="s">
        <v>38</v>
      </c>
      <c r="F564">
        <v>3</v>
      </c>
      <c r="G564" t="s">
        <v>55</v>
      </c>
      <c r="H564" t="s">
        <v>72</v>
      </c>
      <c r="I564" t="s">
        <v>39</v>
      </c>
    </row>
    <row r="565" spans="1:9" x14ac:dyDescent="0.45">
      <c r="A565" t="s">
        <v>4793</v>
      </c>
      <c r="B565" s="2">
        <v>46063</v>
      </c>
      <c r="C565" t="s">
        <v>16</v>
      </c>
      <c r="D565" t="s">
        <v>4794</v>
      </c>
      <c r="E565" t="s">
        <v>46</v>
      </c>
      <c r="F565">
        <v>4</v>
      </c>
      <c r="G565" t="s">
        <v>59</v>
      </c>
      <c r="H565" t="s">
        <v>14</v>
      </c>
      <c r="I565" t="s">
        <v>26</v>
      </c>
    </row>
    <row r="566" spans="1:9" x14ac:dyDescent="0.45">
      <c r="A566" t="s">
        <v>4795</v>
      </c>
      <c r="B566" s="2">
        <v>46130</v>
      </c>
      <c r="C566" t="s">
        <v>10</v>
      </c>
      <c r="D566" t="s">
        <v>4796</v>
      </c>
      <c r="E566" t="s">
        <v>30</v>
      </c>
      <c r="F566">
        <v>11</v>
      </c>
      <c r="G566" t="s">
        <v>35</v>
      </c>
      <c r="H566" t="s">
        <v>25</v>
      </c>
      <c r="I566" t="s">
        <v>26</v>
      </c>
    </row>
    <row r="567" spans="1:9" x14ac:dyDescent="0.45">
      <c r="A567" t="s">
        <v>4797</v>
      </c>
      <c r="B567" s="2">
        <v>46152</v>
      </c>
      <c r="C567" t="s">
        <v>10</v>
      </c>
      <c r="D567" t="s">
        <v>4798</v>
      </c>
      <c r="E567" t="s">
        <v>7974</v>
      </c>
      <c r="F567">
        <v>6</v>
      </c>
      <c r="G567" t="s">
        <v>43</v>
      </c>
      <c r="H567" t="s">
        <v>14</v>
      </c>
      <c r="I567" t="s">
        <v>19</v>
      </c>
    </row>
    <row r="568" spans="1:9" x14ac:dyDescent="0.45">
      <c r="A568" t="s">
        <v>4799</v>
      </c>
      <c r="B568" s="2">
        <v>46220</v>
      </c>
      <c r="C568" t="s">
        <v>10</v>
      </c>
      <c r="D568" t="s">
        <v>4800</v>
      </c>
      <c r="E568" t="s">
        <v>42</v>
      </c>
      <c r="F568">
        <v>6</v>
      </c>
      <c r="G568" t="s">
        <v>59</v>
      </c>
      <c r="H568" t="s">
        <v>14</v>
      </c>
      <c r="I568" t="s">
        <v>31</v>
      </c>
    </row>
    <row r="569" spans="1:9" x14ac:dyDescent="0.45">
      <c r="A569" t="s">
        <v>4801</v>
      </c>
      <c r="B569" s="2">
        <v>46220</v>
      </c>
      <c r="C569" t="s">
        <v>28</v>
      </c>
      <c r="D569" t="s">
        <v>4802</v>
      </c>
      <c r="E569" t="s">
        <v>42</v>
      </c>
      <c r="F569">
        <v>12</v>
      </c>
      <c r="G569" t="s">
        <v>68</v>
      </c>
      <c r="H569" t="s">
        <v>25</v>
      </c>
      <c r="I569" t="s">
        <v>39</v>
      </c>
    </row>
    <row r="570" spans="1:9" x14ac:dyDescent="0.45">
      <c r="A570" t="s">
        <v>4803</v>
      </c>
      <c r="B570" s="2">
        <v>46118</v>
      </c>
      <c r="C570" t="s">
        <v>16</v>
      </c>
      <c r="D570" t="s">
        <v>4804</v>
      </c>
      <c r="E570" t="s">
        <v>34</v>
      </c>
      <c r="F570">
        <v>11</v>
      </c>
      <c r="G570" t="s">
        <v>55</v>
      </c>
      <c r="H570" t="s">
        <v>72</v>
      </c>
      <c r="I570" t="s">
        <v>31</v>
      </c>
    </row>
    <row r="571" spans="1:9" x14ac:dyDescent="0.45">
      <c r="A571" t="s">
        <v>4805</v>
      </c>
      <c r="B571" s="2">
        <v>46088</v>
      </c>
      <c r="C571" t="s">
        <v>16</v>
      </c>
      <c r="D571" t="s">
        <v>4806</v>
      </c>
      <c r="E571" t="s">
        <v>7973</v>
      </c>
      <c r="F571">
        <v>5</v>
      </c>
      <c r="G571" t="s">
        <v>18</v>
      </c>
      <c r="H571" t="s">
        <v>14</v>
      </c>
      <c r="I571" t="s">
        <v>39</v>
      </c>
    </row>
    <row r="572" spans="1:9" x14ac:dyDescent="0.45">
      <c r="A572" t="s">
        <v>4807</v>
      </c>
      <c r="B572" s="2">
        <v>46037</v>
      </c>
      <c r="C572" t="s">
        <v>52</v>
      </c>
      <c r="D572" t="s">
        <v>4808</v>
      </c>
      <c r="E572" t="s">
        <v>23</v>
      </c>
      <c r="F572">
        <v>5</v>
      </c>
      <c r="G572" t="s">
        <v>13</v>
      </c>
      <c r="H572" t="s">
        <v>14</v>
      </c>
      <c r="I572" t="s">
        <v>60</v>
      </c>
    </row>
    <row r="573" spans="1:9" x14ac:dyDescent="0.45">
      <c r="A573" t="s">
        <v>4809</v>
      </c>
      <c r="B573" s="2">
        <v>46030</v>
      </c>
      <c r="C573" t="s">
        <v>16</v>
      </c>
      <c r="D573" t="s">
        <v>4810</v>
      </c>
      <c r="E573" t="s">
        <v>42</v>
      </c>
      <c r="F573">
        <v>11</v>
      </c>
      <c r="G573" t="s">
        <v>68</v>
      </c>
      <c r="H573" t="s">
        <v>25</v>
      </c>
      <c r="I573" t="s">
        <v>39</v>
      </c>
    </row>
    <row r="574" spans="1:9" x14ac:dyDescent="0.45">
      <c r="A574" t="s">
        <v>4811</v>
      </c>
      <c r="B574" s="2">
        <v>46195</v>
      </c>
      <c r="C574" t="s">
        <v>52</v>
      </c>
      <c r="D574" t="s">
        <v>4812</v>
      </c>
      <c r="E574" t="s">
        <v>54</v>
      </c>
      <c r="F574">
        <v>8</v>
      </c>
      <c r="G574" t="s">
        <v>43</v>
      </c>
      <c r="H574" t="s">
        <v>14</v>
      </c>
      <c r="I574" t="s">
        <v>47</v>
      </c>
    </row>
    <row r="575" spans="1:9" x14ac:dyDescent="0.45">
      <c r="A575" t="s">
        <v>4813</v>
      </c>
      <c r="B575" s="2">
        <v>46226</v>
      </c>
      <c r="C575" t="s">
        <v>66</v>
      </c>
      <c r="D575" t="s">
        <v>4814</v>
      </c>
      <c r="E575" t="s">
        <v>54</v>
      </c>
      <c r="F575">
        <v>12</v>
      </c>
      <c r="G575" t="s">
        <v>24</v>
      </c>
      <c r="H575" t="s">
        <v>25</v>
      </c>
      <c r="I575" t="s">
        <v>26</v>
      </c>
    </row>
    <row r="576" spans="1:9" x14ac:dyDescent="0.45">
      <c r="A576" t="s">
        <v>4815</v>
      </c>
      <c r="B576" s="2">
        <v>46075</v>
      </c>
      <c r="C576" t="s">
        <v>52</v>
      </c>
      <c r="D576" t="s">
        <v>4816</v>
      </c>
      <c r="E576" t="s">
        <v>38</v>
      </c>
      <c r="F576">
        <v>4</v>
      </c>
      <c r="G576" t="s">
        <v>43</v>
      </c>
      <c r="H576" t="s">
        <v>14</v>
      </c>
      <c r="I576" t="s">
        <v>26</v>
      </c>
    </row>
    <row r="577" spans="1:9" x14ac:dyDescent="0.45">
      <c r="A577" t="s">
        <v>4817</v>
      </c>
      <c r="B577" s="2">
        <v>46195</v>
      </c>
      <c r="C577" t="s">
        <v>99</v>
      </c>
      <c r="D577" t="s">
        <v>4818</v>
      </c>
      <c r="E577" t="s">
        <v>42</v>
      </c>
      <c r="F577">
        <v>6</v>
      </c>
      <c r="G577" t="s">
        <v>55</v>
      </c>
      <c r="H577" t="s">
        <v>72</v>
      </c>
      <c r="I577" t="s">
        <v>26</v>
      </c>
    </row>
    <row r="578" spans="1:9" x14ac:dyDescent="0.45">
      <c r="A578" t="s">
        <v>4819</v>
      </c>
      <c r="B578" s="2">
        <v>46140</v>
      </c>
      <c r="C578" t="s">
        <v>52</v>
      </c>
      <c r="D578" t="s">
        <v>4820</v>
      </c>
      <c r="E578" t="s">
        <v>71</v>
      </c>
      <c r="F578">
        <v>2</v>
      </c>
      <c r="G578" t="s">
        <v>55</v>
      </c>
      <c r="H578" t="s">
        <v>72</v>
      </c>
      <c r="I578" t="s">
        <v>26</v>
      </c>
    </row>
    <row r="579" spans="1:9" x14ac:dyDescent="0.45">
      <c r="A579" t="s">
        <v>4821</v>
      </c>
      <c r="B579" s="2">
        <v>46037</v>
      </c>
      <c r="C579" t="s">
        <v>52</v>
      </c>
      <c r="D579" t="s">
        <v>4822</v>
      </c>
      <c r="E579" t="s">
        <v>34</v>
      </c>
      <c r="F579">
        <v>6</v>
      </c>
      <c r="G579" t="s">
        <v>35</v>
      </c>
      <c r="H579" t="s">
        <v>25</v>
      </c>
      <c r="I579" t="s">
        <v>47</v>
      </c>
    </row>
    <row r="580" spans="1:9" x14ac:dyDescent="0.45">
      <c r="A580" t="s">
        <v>4823</v>
      </c>
      <c r="B580" s="2">
        <v>46176</v>
      </c>
      <c r="C580" t="s">
        <v>28</v>
      </c>
      <c r="D580" t="s">
        <v>4824</v>
      </c>
      <c r="E580" t="s">
        <v>7974</v>
      </c>
      <c r="F580">
        <v>1</v>
      </c>
      <c r="G580" t="s">
        <v>55</v>
      </c>
      <c r="H580" t="s">
        <v>72</v>
      </c>
      <c r="I580" t="s">
        <v>39</v>
      </c>
    </row>
    <row r="581" spans="1:9" x14ac:dyDescent="0.45">
      <c r="A581" t="s">
        <v>4825</v>
      </c>
      <c r="B581" s="2">
        <v>46169</v>
      </c>
      <c r="C581" t="s">
        <v>10</v>
      </c>
      <c r="D581" t="s">
        <v>4826</v>
      </c>
      <c r="E581" t="s">
        <v>54</v>
      </c>
      <c r="F581">
        <v>11</v>
      </c>
      <c r="G581" t="s">
        <v>43</v>
      </c>
      <c r="H581" t="s">
        <v>14</v>
      </c>
      <c r="I581" t="s">
        <v>26</v>
      </c>
    </row>
    <row r="582" spans="1:9" x14ac:dyDescent="0.45">
      <c r="A582" t="s">
        <v>4827</v>
      </c>
      <c r="B582" s="2">
        <v>46228</v>
      </c>
      <c r="C582" t="s">
        <v>10</v>
      </c>
      <c r="D582" t="s">
        <v>4828</v>
      </c>
      <c r="E582" t="s">
        <v>7974</v>
      </c>
      <c r="F582">
        <v>1</v>
      </c>
      <c r="G582" t="s">
        <v>35</v>
      </c>
      <c r="H582" t="s">
        <v>25</v>
      </c>
      <c r="I582" t="s">
        <v>47</v>
      </c>
    </row>
    <row r="583" spans="1:9" x14ac:dyDescent="0.45">
      <c r="A583" t="s">
        <v>4829</v>
      </c>
      <c r="B583" s="2">
        <v>46249</v>
      </c>
      <c r="C583" t="s">
        <v>16</v>
      </c>
      <c r="D583" t="s">
        <v>4830</v>
      </c>
      <c r="E583" t="s">
        <v>71</v>
      </c>
      <c r="F583">
        <v>12</v>
      </c>
      <c r="G583" t="s">
        <v>13</v>
      </c>
      <c r="H583" t="s">
        <v>14</v>
      </c>
      <c r="I583" t="s">
        <v>31</v>
      </c>
    </row>
    <row r="584" spans="1:9" x14ac:dyDescent="0.45">
      <c r="A584" t="s">
        <v>4831</v>
      </c>
      <c r="B584" s="2">
        <v>46066</v>
      </c>
      <c r="C584" t="s">
        <v>16</v>
      </c>
      <c r="D584" t="s">
        <v>4832</v>
      </c>
      <c r="E584" t="s">
        <v>71</v>
      </c>
      <c r="F584">
        <v>6</v>
      </c>
      <c r="G584" t="s">
        <v>13</v>
      </c>
      <c r="H584" t="s">
        <v>14</v>
      </c>
      <c r="I584" t="s">
        <v>47</v>
      </c>
    </row>
    <row r="585" spans="1:9" x14ac:dyDescent="0.45">
      <c r="A585" t="s">
        <v>4833</v>
      </c>
      <c r="B585" s="2">
        <v>46245</v>
      </c>
      <c r="C585" t="s">
        <v>10</v>
      </c>
      <c r="D585" t="s">
        <v>4834</v>
      </c>
      <c r="E585" t="s">
        <v>54</v>
      </c>
      <c r="F585">
        <v>1</v>
      </c>
      <c r="G585" t="s">
        <v>59</v>
      </c>
      <c r="H585" t="s">
        <v>14</v>
      </c>
      <c r="I585" t="s">
        <v>39</v>
      </c>
    </row>
    <row r="586" spans="1:9" x14ac:dyDescent="0.45">
      <c r="A586" t="s">
        <v>4835</v>
      </c>
      <c r="B586" s="2">
        <v>46125</v>
      </c>
      <c r="C586" t="s">
        <v>52</v>
      </c>
      <c r="D586" t="s">
        <v>4836</v>
      </c>
      <c r="E586" t="s">
        <v>75</v>
      </c>
      <c r="F586">
        <v>8</v>
      </c>
      <c r="G586" t="s">
        <v>43</v>
      </c>
      <c r="H586" t="s">
        <v>14</v>
      </c>
      <c r="I586" t="s">
        <v>39</v>
      </c>
    </row>
    <row r="587" spans="1:9" x14ac:dyDescent="0.45">
      <c r="A587" t="s">
        <v>4837</v>
      </c>
      <c r="B587" s="2">
        <v>46023</v>
      </c>
      <c r="C587" t="s">
        <v>49</v>
      </c>
      <c r="D587" t="s">
        <v>4838</v>
      </c>
      <c r="E587" t="s">
        <v>75</v>
      </c>
      <c r="F587">
        <v>11</v>
      </c>
      <c r="G587" t="s">
        <v>24</v>
      </c>
      <c r="H587" t="s">
        <v>25</v>
      </c>
      <c r="I587" t="s">
        <v>26</v>
      </c>
    </row>
    <row r="588" spans="1:9" x14ac:dyDescent="0.45">
      <c r="A588" t="s">
        <v>4839</v>
      </c>
      <c r="B588" s="2">
        <v>46150</v>
      </c>
      <c r="C588" t="s">
        <v>52</v>
      </c>
      <c r="D588" t="s">
        <v>4840</v>
      </c>
      <c r="E588" t="s">
        <v>38</v>
      </c>
      <c r="F588">
        <v>11</v>
      </c>
      <c r="G588" t="s">
        <v>24</v>
      </c>
      <c r="H588" t="s">
        <v>25</v>
      </c>
      <c r="I588" t="s">
        <v>31</v>
      </c>
    </row>
    <row r="589" spans="1:9" x14ac:dyDescent="0.45">
      <c r="A589" t="s">
        <v>4841</v>
      </c>
      <c r="B589" s="2">
        <v>46152</v>
      </c>
      <c r="C589" t="s">
        <v>52</v>
      </c>
      <c r="D589" t="s">
        <v>4842</v>
      </c>
      <c r="E589" t="s">
        <v>38</v>
      </c>
      <c r="F589">
        <v>10</v>
      </c>
      <c r="G589" t="s">
        <v>68</v>
      </c>
      <c r="H589" t="s">
        <v>25</v>
      </c>
      <c r="I589" t="s">
        <v>31</v>
      </c>
    </row>
    <row r="590" spans="1:9" x14ac:dyDescent="0.45">
      <c r="A590" t="s">
        <v>4843</v>
      </c>
      <c r="B590" s="2">
        <v>46160</v>
      </c>
      <c r="C590" t="s">
        <v>16</v>
      </c>
      <c r="D590" t="s">
        <v>4844</v>
      </c>
      <c r="E590" t="s">
        <v>34</v>
      </c>
      <c r="F590">
        <v>11</v>
      </c>
      <c r="G590" t="s">
        <v>59</v>
      </c>
      <c r="H590" t="s">
        <v>14</v>
      </c>
      <c r="I590" t="s">
        <v>19</v>
      </c>
    </row>
    <row r="591" spans="1:9" x14ac:dyDescent="0.45">
      <c r="A591" t="s">
        <v>4845</v>
      </c>
      <c r="B591" s="2">
        <v>46169</v>
      </c>
      <c r="C591" t="s">
        <v>21</v>
      </c>
      <c r="D591" t="s">
        <v>4846</v>
      </c>
      <c r="E591" t="s">
        <v>42</v>
      </c>
      <c r="F591">
        <v>2</v>
      </c>
      <c r="G591" t="s">
        <v>18</v>
      </c>
      <c r="H591" t="s">
        <v>14</v>
      </c>
      <c r="I591" t="s">
        <v>39</v>
      </c>
    </row>
    <row r="592" spans="1:9" x14ac:dyDescent="0.45">
      <c r="A592" t="s">
        <v>4847</v>
      </c>
      <c r="B592" s="2">
        <v>46225</v>
      </c>
      <c r="C592" t="s">
        <v>10</v>
      </c>
      <c r="D592" t="s">
        <v>4848</v>
      </c>
      <c r="E592" t="s">
        <v>75</v>
      </c>
      <c r="F592">
        <v>9</v>
      </c>
      <c r="G592" t="s">
        <v>43</v>
      </c>
      <c r="H592" t="s">
        <v>14</v>
      </c>
      <c r="I592" t="s">
        <v>26</v>
      </c>
    </row>
    <row r="593" spans="1:9" x14ac:dyDescent="0.45">
      <c r="A593" t="s">
        <v>4849</v>
      </c>
      <c r="B593" s="2">
        <v>46154</v>
      </c>
      <c r="C593" t="s">
        <v>52</v>
      </c>
      <c r="D593" t="s">
        <v>4850</v>
      </c>
      <c r="E593" t="s">
        <v>30</v>
      </c>
      <c r="F593">
        <v>5</v>
      </c>
      <c r="G593" t="s">
        <v>24</v>
      </c>
      <c r="H593" t="s">
        <v>25</v>
      </c>
      <c r="I593" t="s">
        <v>19</v>
      </c>
    </row>
    <row r="594" spans="1:9" x14ac:dyDescent="0.45">
      <c r="A594" t="s">
        <v>4851</v>
      </c>
      <c r="B594" s="2">
        <v>46190</v>
      </c>
      <c r="C594" t="s">
        <v>28</v>
      </c>
      <c r="D594" t="s">
        <v>4852</v>
      </c>
      <c r="E594" t="s">
        <v>7973</v>
      </c>
      <c r="F594">
        <v>5</v>
      </c>
      <c r="G594" t="s">
        <v>18</v>
      </c>
      <c r="H594" t="s">
        <v>14</v>
      </c>
      <c r="I594" t="s">
        <v>31</v>
      </c>
    </row>
    <row r="595" spans="1:9" x14ac:dyDescent="0.45">
      <c r="A595" t="s">
        <v>4853</v>
      </c>
      <c r="B595" s="2">
        <v>46254</v>
      </c>
      <c r="C595" t="s">
        <v>21</v>
      </c>
      <c r="D595" t="s">
        <v>4854</v>
      </c>
      <c r="E595" t="s">
        <v>71</v>
      </c>
      <c r="F595">
        <v>7</v>
      </c>
      <c r="G595" t="s">
        <v>43</v>
      </c>
      <c r="H595" t="s">
        <v>14</v>
      </c>
      <c r="I595" t="s">
        <v>47</v>
      </c>
    </row>
    <row r="596" spans="1:9" x14ac:dyDescent="0.45">
      <c r="A596" t="s">
        <v>4855</v>
      </c>
      <c r="B596" s="2">
        <v>46260</v>
      </c>
      <c r="C596" t="s">
        <v>52</v>
      </c>
      <c r="D596" t="s">
        <v>4856</v>
      </c>
      <c r="E596" t="s">
        <v>75</v>
      </c>
      <c r="F596">
        <v>8</v>
      </c>
      <c r="G596" t="s">
        <v>35</v>
      </c>
      <c r="H596" t="s">
        <v>25</v>
      </c>
      <c r="I596" t="s">
        <v>26</v>
      </c>
    </row>
    <row r="597" spans="1:9" x14ac:dyDescent="0.45">
      <c r="A597" t="s">
        <v>4857</v>
      </c>
      <c r="B597" s="2">
        <v>46183</v>
      </c>
      <c r="C597" t="s">
        <v>99</v>
      </c>
      <c r="D597" t="s">
        <v>4858</v>
      </c>
      <c r="E597" t="s">
        <v>71</v>
      </c>
      <c r="F597">
        <v>5</v>
      </c>
      <c r="G597" t="s">
        <v>13</v>
      </c>
      <c r="H597" t="s">
        <v>14</v>
      </c>
      <c r="I597" t="s">
        <v>39</v>
      </c>
    </row>
    <row r="598" spans="1:9" x14ac:dyDescent="0.45">
      <c r="A598" t="s">
        <v>4859</v>
      </c>
      <c r="B598" s="2">
        <v>46062</v>
      </c>
      <c r="C598" t="s">
        <v>52</v>
      </c>
      <c r="D598" t="s">
        <v>4860</v>
      </c>
      <c r="E598" t="s">
        <v>34</v>
      </c>
      <c r="F598">
        <v>1</v>
      </c>
      <c r="G598" t="s">
        <v>43</v>
      </c>
      <c r="H598" t="s">
        <v>14</v>
      </c>
      <c r="I598" t="s">
        <v>60</v>
      </c>
    </row>
    <row r="599" spans="1:9" x14ac:dyDescent="0.45">
      <c r="A599" t="s">
        <v>4861</v>
      </c>
      <c r="B599" s="2">
        <v>46065</v>
      </c>
      <c r="C599" t="s">
        <v>49</v>
      </c>
      <c r="D599" t="s">
        <v>4862</v>
      </c>
      <c r="E599" t="s">
        <v>54</v>
      </c>
      <c r="F599">
        <v>3</v>
      </c>
      <c r="G599" t="s">
        <v>55</v>
      </c>
      <c r="H599" t="s">
        <v>72</v>
      </c>
      <c r="I599" t="s">
        <v>39</v>
      </c>
    </row>
    <row r="600" spans="1:9" x14ac:dyDescent="0.45">
      <c r="A600" t="s">
        <v>4863</v>
      </c>
      <c r="B600" s="2">
        <v>46082</v>
      </c>
      <c r="C600" t="s">
        <v>49</v>
      </c>
      <c r="D600" t="s">
        <v>4864</v>
      </c>
      <c r="E600" t="s">
        <v>23</v>
      </c>
      <c r="F600">
        <v>3</v>
      </c>
      <c r="G600" t="s">
        <v>68</v>
      </c>
      <c r="H600" t="s">
        <v>25</v>
      </c>
      <c r="I600" t="s">
        <v>60</v>
      </c>
    </row>
    <row r="601" spans="1:9" x14ac:dyDescent="0.45">
      <c r="A601" t="s">
        <v>4865</v>
      </c>
      <c r="B601" s="2">
        <v>46211</v>
      </c>
      <c r="C601" t="s">
        <v>21</v>
      </c>
      <c r="D601" t="s">
        <v>4866</v>
      </c>
      <c r="E601" t="s">
        <v>7973</v>
      </c>
      <c r="F601">
        <v>4</v>
      </c>
      <c r="G601" t="s">
        <v>68</v>
      </c>
      <c r="H601" t="s">
        <v>25</v>
      </c>
      <c r="I601" t="s">
        <v>47</v>
      </c>
    </row>
    <row r="602" spans="1:9" x14ac:dyDescent="0.45">
      <c r="A602" t="s">
        <v>4867</v>
      </c>
      <c r="B602" s="2">
        <v>46054</v>
      </c>
      <c r="C602" t="s">
        <v>21</v>
      </c>
      <c r="D602" t="s">
        <v>4868</v>
      </c>
      <c r="E602" t="s">
        <v>30</v>
      </c>
      <c r="F602">
        <v>4</v>
      </c>
      <c r="G602" t="s">
        <v>55</v>
      </c>
      <c r="H602" t="s">
        <v>72</v>
      </c>
      <c r="I602" t="s">
        <v>26</v>
      </c>
    </row>
    <row r="603" spans="1:9" x14ac:dyDescent="0.45">
      <c r="A603" t="s">
        <v>4869</v>
      </c>
      <c r="B603" s="2">
        <v>46201</v>
      </c>
      <c r="C603" t="s">
        <v>66</v>
      </c>
      <c r="D603" t="s">
        <v>4870</v>
      </c>
      <c r="E603" t="s">
        <v>30</v>
      </c>
      <c r="F603">
        <v>7</v>
      </c>
      <c r="G603" t="s">
        <v>59</v>
      </c>
      <c r="H603" t="s">
        <v>14</v>
      </c>
      <c r="I603" t="s">
        <v>31</v>
      </c>
    </row>
    <row r="604" spans="1:9" x14ac:dyDescent="0.45">
      <c r="A604" t="s">
        <v>4871</v>
      </c>
      <c r="B604" s="2">
        <v>46162</v>
      </c>
      <c r="C604" t="s">
        <v>10</v>
      </c>
      <c r="D604" t="s">
        <v>4872</v>
      </c>
      <c r="E604" t="s">
        <v>38</v>
      </c>
      <c r="F604">
        <v>10</v>
      </c>
      <c r="G604" t="s">
        <v>24</v>
      </c>
      <c r="H604" t="s">
        <v>25</v>
      </c>
      <c r="I604" t="s">
        <v>60</v>
      </c>
    </row>
    <row r="605" spans="1:9" x14ac:dyDescent="0.45">
      <c r="A605" t="s">
        <v>4873</v>
      </c>
      <c r="B605" s="2">
        <v>46126</v>
      </c>
      <c r="C605" t="s">
        <v>16</v>
      </c>
      <c r="D605" t="s">
        <v>4874</v>
      </c>
      <c r="E605" t="s">
        <v>7974</v>
      </c>
      <c r="F605">
        <v>9</v>
      </c>
      <c r="G605" t="s">
        <v>18</v>
      </c>
      <c r="H605" t="s">
        <v>14</v>
      </c>
      <c r="I605" t="s">
        <v>31</v>
      </c>
    </row>
    <row r="606" spans="1:9" x14ac:dyDescent="0.45">
      <c r="A606" t="s">
        <v>4875</v>
      </c>
      <c r="B606" s="2">
        <v>46264</v>
      </c>
      <c r="C606" t="s">
        <v>52</v>
      </c>
      <c r="D606" t="s">
        <v>4876</v>
      </c>
      <c r="E606" t="s">
        <v>46</v>
      </c>
      <c r="F606">
        <v>1</v>
      </c>
      <c r="G606" t="s">
        <v>24</v>
      </c>
      <c r="H606" t="s">
        <v>25</v>
      </c>
      <c r="I606" t="s">
        <v>19</v>
      </c>
    </row>
    <row r="607" spans="1:9" x14ac:dyDescent="0.45">
      <c r="A607" t="s">
        <v>4877</v>
      </c>
      <c r="B607" s="2">
        <v>46269</v>
      </c>
      <c r="C607" t="s">
        <v>21</v>
      </c>
      <c r="D607" t="s">
        <v>4878</v>
      </c>
      <c r="E607" t="s">
        <v>54</v>
      </c>
      <c r="F607">
        <v>5</v>
      </c>
      <c r="G607" t="s">
        <v>59</v>
      </c>
      <c r="H607" t="s">
        <v>14</v>
      </c>
      <c r="I607" t="s">
        <v>47</v>
      </c>
    </row>
    <row r="608" spans="1:9" x14ac:dyDescent="0.45">
      <c r="A608" t="s">
        <v>4879</v>
      </c>
      <c r="B608" s="2">
        <v>46163</v>
      </c>
      <c r="C608" t="s">
        <v>66</v>
      </c>
      <c r="D608" t="s">
        <v>4880</v>
      </c>
      <c r="E608" t="s">
        <v>75</v>
      </c>
      <c r="F608">
        <v>11</v>
      </c>
      <c r="G608" t="s">
        <v>24</v>
      </c>
      <c r="H608" t="s">
        <v>25</v>
      </c>
      <c r="I608" t="s">
        <v>60</v>
      </c>
    </row>
    <row r="609" spans="1:9" x14ac:dyDescent="0.45">
      <c r="A609" t="s">
        <v>4881</v>
      </c>
      <c r="B609" s="2">
        <v>46076</v>
      </c>
      <c r="C609" t="s">
        <v>28</v>
      </c>
      <c r="D609" t="s">
        <v>4882</v>
      </c>
      <c r="E609" t="s">
        <v>54</v>
      </c>
      <c r="F609">
        <v>5</v>
      </c>
      <c r="G609" t="s">
        <v>13</v>
      </c>
      <c r="H609" t="s">
        <v>14</v>
      </c>
      <c r="I609" t="s">
        <v>31</v>
      </c>
    </row>
    <row r="610" spans="1:9" x14ac:dyDescent="0.45">
      <c r="A610" t="s">
        <v>4883</v>
      </c>
      <c r="B610" s="2">
        <v>46139</v>
      </c>
      <c r="C610" t="s">
        <v>28</v>
      </c>
      <c r="D610" t="s">
        <v>4884</v>
      </c>
      <c r="E610" t="s">
        <v>54</v>
      </c>
      <c r="F610">
        <v>3</v>
      </c>
      <c r="G610" t="s">
        <v>35</v>
      </c>
      <c r="H610" t="s">
        <v>25</v>
      </c>
      <c r="I610" t="s">
        <v>31</v>
      </c>
    </row>
    <row r="611" spans="1:9" x14ac:dyDescent="0.45">
      <c r="A611" t="s">
        <v>4885</v>
      </c>
      <c r="B611" s="2">
        <v>46199</v>
      </c>
      <c r="C611" t="s">
        <v>52</v>
      </c>
      <c r="D611" t="s">
        <v>4886</v>
      </c>
      <c r="E611" t="s">
        <v>7974</v>
      </c>
      <c r="F611">
        <v>1</v>
      </c>
      <c r="G611" t="s">
        <v>35</v>
      </c>
      <c r="H611" t="s">
        <v>25</v>
      </c>
      <c r="I611" t="s">
        <v>47</v>
      </c>
    </row>
    <row r="612" spans="1:9" x14ac:dyDescent="0.45">
      <c r="A612" t="s">
        <v>4887</v>
      </c>
      <c r="B612" s="2">
        <v>46098</v>
      </c>
      <c r="C612" t="s">
        <v>49</v>
      </c>
      <c r="D612" t="s">
        <v>4888</v>
      </c>
      <c r="E612" t="s">
        <v>75</v>
      </c>
      <c r="F612">
        <v>10</v>
      </c>
      <c r="G612" t="s">
        <v>35</v>
      </c>
      <c r="H612" t="s">
        <v>25</v>
      </c>
      <c r="I612" t="s">
        <v>26</v>
      </c>
    </row>
    <row r="613" spans="1:9" x14ac:dyDescent="0.45">
      <c r="A613" t="s">
        <v>4889</v>
      </c>
      <c r="B613" s="2">
        <v>46049</v>
      </c>
      <c r="C613" t="s">
        <v>52</v>
      </c>
      <c r="D613" t="s">
        <v>4890</v>
      </c>
      <c r="E613" t="s">
        <v>7974</v>
      </c>
      <c r="F613">
        <v>1</v>
      </c>
      <c r="G613" t="s">
        <v>68</v>
      </c>
      <c r="H613" t="s">
        <v>25</v>
      </c>
      <c r="I613" t="s">
        <v>19</v>
      </c>
    </row>
    <row r="614" spans="1:9" x14ac:dyDescent="0.45">
      <c r="A614" t="s">
        <v>4891</v>
      </c>
      <c r="B614" s="2">
        <v>46179</v>
      </c>
      <c r="C614" t="s">
        <v>49</v>
      </c>
      <c r="D614" t="s">
        <v>4892</v>
      </c>
      <c r="E614" t="s">
        <v>34</v>
      </c>
      <c r="F614">
        <v>7</v>
      </c>
      <c r="G614" t="s">
        <v>24</v>
      </c>
      <c r="H614" t="s">
        <v>25</v>
      </c>
      <c r="I614" t="s">
        <v>31</v>
      </c>
    </row>
    <row r="615" spans="1:9" x14ac:dyDescent="0.45">
      <c r="A615" t="s">
        <v>4893</v>
      </c>
      <c r="B615" s="2">
        <v>46081</v>
      </c>
      <c r="C615" t="s">
        <v>66</v>
      </c>
      <c r="D615" t="s">
        <v>4894</v>
      </c>
      <c r="E615" t="s">
        <v>34</v>
      </c>
      <c r="F615">
        <v>1</v>
      </c>
      <c r="G615" t="s">
        <v>68</v>
      </c>
      <c r="H615" t="s">
        <v>25</v>
      </c>
      <c r="I615" t="s">
        <v>39</v>
      </c>
    </row>
    <row r="616" spans="1:9" x14ac:dyDescent="0.45">
      <c r="A616" t="s">
        <v>4895</v>
      </c>
      <c r="B616" s="2">
        <v>46264</v>
      </c>
      <c r="C616" t="s">
        <v>10</v>
      </c>
      <c r="D616" t="s">
        <v>4896</v>
      </c>
      <c r="E616" t="s">
        <v>46</v>
      </c>
      <c r="F616">
        <v>7</v>
      </c>
      <c r="G616" t="s">
        <v>13</v>
      </c>
      <c r="H616" t="s">
        <v>14</v>
      </c>
      <c r="I616" t="s">
        <v>47</v>
      </c>
    </row>
    <row r="617" spans="1:9" x14ac:dyDescent="0.45">
      <c r="A617" t="s">
        <v>4897</v>
      </c>
      <c r="B617" s="2">
        <v>46025</v>
      </c>
      <c r="C617" t="s">
        <v>21</v>
      </c>
      <c r="D617" t="s">
        <v>4898</v>
      </c>
      <c r="E617" t="s">
        <v>7973</v>
      </c>
      <c r="F617">
        <v>5</v>
      </c>
      <c r="G617" t="s">
        <v>35</v>
      </c>
      <c r="H617" t="s">
        <v>25</v>
      </c>
      <c r="I617" t="s">
        <v>7967</v>
      </c>
    </row>
    <row r="618" spans="1:9" x14ac:dyDescent="0.45">
      <c r="A618" t="s">
        <v>4899</v>
      </c>
      <c r="B618" s="2">
        <v>46067</v>
      </c>
      <c r="C618" t="s">
        <v>16</v>
      </c>
      <c r="D618" t="s">
        <v>4900</v>
      </c>
      <c r="E618" t="s">
        <v>42</v>
      </c>
      <c r="F618">
        <v>12</v>
      </c>
      <c r="G618" t="s">
        <v>35</v>
      </c>
      <c r="H618" t="s">
        <v>25</v>
      </c>
      <c r="I618" t="s">
        <v>31</v>
      </c>
    </row>
    <row r="619" spans="1:9" x14ac:dyDescent="0.45">
      <c r="A619" t="s">
        <v>4901</v>
      </c>
      <c r="B619" s="2">
        <v>46069</v>
      </c>
      <c r="C619" t="s">
        <v>10</v>
      </c>
      <c r="D619" t="s">
        <v>4902</v>
      </c>
      <c r="E619" t="s">
        <v>30</v>
      </c>
      <c r="F619">
        <v>10</v>
      </c>
      <c r="G619" t="s">
        <v>55</v>
      </c>
      <c r="H619" t="s">
        <v>72</v>
      </c>
      <c r="I619" t="s">
        <v>39</v>
      </c>
    </row>
    <row r="620" spans="1:9" x14ac:dyDescent="0.45">
      <c r="A620" t="s">
        <v>4903</v>
      </c>
      <c r="B620" s="2">
        <v>46092</v>
      </c>
      <c r="C620" t="s">
        <v>10</v>
      </c>
      <c r="D620" t="s">
        <v>4904</v>
      </c>
      <c r="E620" t="s">
        <v>30</v>
      </c>
      <c r="F620">
        <v>4</v>
      </c>
      <c r="G620" t="s">
        <v>24</v>
      </c>
      <c r="H620" t="s">
        <v>25</v>
      </c>
      <c r="I620" t="s">
        <v>26</v>
      </c>
    </row>
    <row r="621" spans="1:9" x14ac:dyDescent="0.45">
      <c r="A621" t="s">
        <v>4905</v>
      </c>
      <c r="B621" s="2">
        <v>46182</v>
      </c>
      <c r="C621" t="s">
        <v>49</v>
      </c>
      <c r="D621" t="s">
        <v>4906</v>
      </c>
      <c r="E621" t="s">
        <v>38</v>
      </c>
      <c r="F621">
        <v>11</v>
      </c>
      <c r="G621" t="s">
        <v>35</v>
      </c>
      <c r="H621" t="s">
        <v>25</v>
      </c>
      <c r="I621" t="s">
        <v>39</v>
      </c>
    </row>
    <row r="622" spans="1:9" x14ac:dyDescent="0.45">
      <c r="A622" t="s">
        <v>4907</v>
      </c>
      <c r="B622" s="2">
        <v>46044</v>
      </c>
      <c r="C622" t="s">
        <v>52</v>
      </c>
      <c r="D622" t="s">
        <v>4908</v>
      </c>
      <c r="E622" t="s">
        <v>34</v>
      </c>
      <c r="F622">
        <v>7</v>
      </c>
      <c r="G622" t="s">
        <v>35</v>
      </c>
      <c r="H622" t="s">
        <v>25</v>
      </c>
      <c r="I622" t="s">
        <v>39</v>
      </c>
    </row>
    <row r="623" spans="1:9" x14ac:dyDescent="0.45">
      <c r="A623" t="s">
        <v>4909</v>
      </c>
      <c r="B623" s="2">
        <v>46082</v>
      </c>
      <c r="C623" t="s">
        <v>99</v>
      </c>
      <c r="D623" t="s">
        <v>4910</v>
      </c>
      <c r="E623" t="s">
        <v>38</v>
      </c>
      <c r="F623">
        <v>7</v>
      </c>
      <c r="G623" t="s">
        <v>68</v>
      </c>
      <c r="H623" t="s">
        <v>25</v>
      </c>
      <c r="I623" t="s">
        <v>19</v>
      </c>
    </row>
    <row r="624" spans="1:9" x14ac:dyDescent="0.45">
      <c r="A624" t="s">
        <v>4911</v>
      </c>
      <c r="B624" s="2">
        <v>46160</v>
      </c>
      <c r="C624" t="s">
        <v>21</v>
      </c>
      <c r="D624" t="s">
        <v>4912</v>
      </c>
      <c r="E624" t="s">
        <v>46</v>
      </c>
      <c r="F624">
        <v>5</v>
      </c>
      <c r="G624" t="s">
        <v>24</v>
      </c>
      <c r="H624" t="s">
        <v>25</v>
      </c>
      <c r="I624" t="s">
        <v>31</v>
      </c>
    </row>
    <row r="625" spans="1:9" x14ac:dyDescent="0.45">
      <c r="A625" t="s">
        <v>4913</v>
      </c>
      <c r="B625" s="2">
        <v>46243</v>
      </c>
      <c r="C625" t="s">
        <v>52</v>
      </c>
      <c r="D625" t="s">
        <v>4914</v>
      </c>
      <c r="E625" t="s">
        <v>7974</v>
      </c>
      <c r="F625">
        <v>1</v>
      </c>
      <c r="G625" t="s">
        <v>68</v>
      </c>
      <c r="H625" t="s">
        <v>25</v>
      </c>
      <c r="I625" t="s">
        <v>39</v>
      </c>
    </row>
    <row r="626" spans="1:9" x14ac:dyDescent="0.45">
      <c r="A626" t="s">
        <v>4915</v>
      </c>
      <c r="B626" s="2">
        <v>46164</v>
      </c>
      <c r="C626" t="s">
        <v>28</v>
      </c>
      <c r="D626" t="s">
        <v>4916</v>
      </c>
      <c r="E626" t="s">
        <v>163</v>
      </c>
      <c r="F626">
        <v>11</v>
      </c>
      <c r="G626" t="s">
        <v>43</v>
      </c>
      <c r="H626" t="s">
        <v>14</v>
      </c>
      <c r="I626" t="s">
        <v>26</v>
      </c>
    </row>
    <row r="627" spans="1:9" x14ac:dyDescent="0.45">
      <c r="A627" t="s">
        <v>4917</v>
      </c>
      <c r="B627" s="2">
        <v>46177</v>
      </c>
      <c r="C627" t="s">
        <v>99</v>
      </c>
      <c r="D627" t="s">
        <v>4918</v>
      </c>
      <c r="E627" t="s">
        <v>58</v>
      </c>
      <c r="F627">
        <v>9</v>
      </c>
      <c r="G627" t="s">
        <v>18</v>
      </c>
      <c r="H627" t="s">
        <v>14</v>
      </c>
      <c r="I627" t="s">
        <v>47</v>
      </c>
    </row>
    <row r="628" spans="1:9" x14ac:dyDescent="0.45">
      <c r="A628" t="s">
        <v>4919</v>
      </c>
      <c r="B628" s="2">
        <v>46258</v>
      </c>
      <c r="C628" t="s">
        <v>10</v>
      </c>
      <c r="D628" t="s">
        <v>4920</v>
      </c>
      <c r="E628" t="s">
        <v>42</v>
      </c>
      <c r="F628">
        <v>11</v>
      </c>
      <c r="G628" t="s">
        <v>55</v>
      </c>
      <c r="H628" t="s">
        <v>72</v>
      </c>
      <c r="I628" t="s">
        <v>60</v>
      </c>
    </row>
    <row r="629" spans="1:9" x14ac:dyDescent="0.45">
      <c r="A629" t="s">
        <v>4921</v>
      </c>
      <c r="B629" s="2">
        <v>46050</v>
      </c>
      <c r="C629" t="s">
        <v>49</v>
      </c>
      <c r="D629" t="s">
        <v>4922</v>
      </c>
      <c r="E629" t="s">
        <v>71</v>
      </c>
      <c r="F629">
        <v>11</v>
      </c>
      <c r="G629" t="s">
        <v>18</v>
      </c>
      <c r="H629" t="s">
        <v>14</v>
      </c>
      <c r="I629" t="s">
        <v>26</v>
      </c>
    </row>
    <row r="630" spans="1:9" x14ac:dyDescent="0.45">
      <c r="A630" t="s">
        <v>4923</v>
      </c>
      <c r="B630" s="2">
        <v>46118</v>
      </c>
      <c r="C630" t="s">
        <v>99</v>
      </c>
      <c r="D630" t="s">
        <v>4924</v>
      </c>
      <c r="E630" t="s">
        <v>54</v>
      </c>
      <c r="F630">
        <v>1</v>
      </c>
      <c r="G630" t="s">
        <v>35</v>
      </c>
      <c r="H630" t="s">
        <v>25</v>
      </c>
      <c r="I630" t="s">
        <v>39</v>
      </c>
    </row>
    <row r="631" spans="1:9" x14ac:dyDescent="0.45">
      <c r="A631" t="s">
        <v>4925</v>
      </c>
      <c r="B631" s="2">
        <v>46243</v>
      </c>
      <c r="C631" t="s">
        <v>21</v>
      </c>
      <c r="D631" t="s">
        <v>4926</v>
      </c>
      <c r="E631" t="s">
        <v>58</v>
      </c>
      <c r="F631">
        <v>7</v>
      </c>
      <c r="G631" t="s">
        <v>55</v>
      </c>
      <c r="H631" t="s">
        <v>72</v>
      </c>
      <c r="I631" t="s">
        <v>31</v>
      </c>
    </row>
    <row r="632" spans="1:9" x14ac:dyDescent="0.45">
      <c r="A632" t="s">
        <v>4927</v>
      </c>
      <c r="B632" s="2">
        <v>46196</v>
      </c>
      <c r="C632" t="s">
        <v>52</v>
      </c>
      <c r="D632" t="s">
        <v>4928</v>
      </c>
      <c r="E632" t="s">
        <v>42</v>
      </c>
      <c r="F632">
        <v>2</v>
      </c>
      <c r="G632" t="s">
        <v>13</v>
      </c>
      <c r="H632" t="s">
        <v>14</v>
      </c>
      <c r="I632" t="s">
        <v>60</v>
      </c>
    </row>
    <row r="633" spans="1:9" x14ac:dyDescent="0.45">
      <c r="A633" t="s">
        <v>4929</v>
      </c>
      <c r="B633" s="2">
        <v>46053</v>
      </c>
      <c r="C633" t="s">
        <v>28</v>
      </c>
      <c r="D633" t="s">
        <v>4930</v>
      </c>
      <c r="E633" t="s">
        <v>71</v>
      </c>
      <c r="F633">
        <v>1</v>
      </c>
      <c r="G633" t="s">
        <v>13</v>
      </c>
      <c r="H633" t="s">
        <v>14</v>
      </c>
      <c r="I633" t="s">
        <v>60</v>
      </c>
    </row>
    <row r="634" spans="1:9" x14ac:dyDescent="0.45">
      <c r="A634" t="s">
        <v>4931</v>
      </c>
      <c r="B634" s="2">
        <v>46065</v>
      </c>
      <c r="C634" t="s">
        <v>52</v>
      </c>
      <c r="D634" t="s">
        <v>4932</v>
      </c>
      <c r="E634" t="s">
        <v>38</v>
      </c>
      <c r="F634">
        <v>3</v>
      </c>
      <c r="G634" t="s">
        <v>68</v>
      </c>
      <c r="H634" t="s">
        <v>25</v>
      </c>
      <c r="I634" t="s">
        <v>60</v>
      </c>
    </row>
    <row r="635" spans="1:9" x14ac:dyDescent="0.45">
      <c r="A635" t="s">
        <v>4933</v>
      </c>
      <c r="B635" s="2">
        <v>46226</v>
      </c>
      <c r="C635" t="s">
        <v>10</v>
      </c>
      <c r="D635" t="s">
        <v>4934</v>
      </c>
      <c r="E635" t="s">
        <v>46</v>
      </c>
      <c r="F635">
        <v>3</v>
      </c>
      <c r="G635" t="s">
        <v>43</v>
      </c>
      <c r="H635" t="s">
        <v>14</v>
      </c>
      <c r="I635" t="s">
        <v>47</v>
      </c>
    </row>
    <row r="636" spans="1:9" x14ac:dyDescent="0.45">
      <c r="A636" t="s">
        <v>4935</v>
      </c>
      <c r="B636" s="2">
        <v>46076</v>
      </c>
      <c r="C636" t="s">
        <v>66</v>
      </c>
      <c r="D636" t="s">
        <v>4936</v>
      </c>
      <c r="E636" t="s">
        <v>38</v>
      </c>
      <c r="F636">
        <v>11</v>
      </c>
      <c r="G636" t="s">
        <v>13</v>
      </c>
      <c r="H636" t="s">
        <v>14</v>
      </c>
      <c r="I636" t="s">
        <v>60</v>
      </c>
    </row>
    <row r="637" spans="1:9" x14ac:dyDescent="0.45">
      <c r="A637" t="s">
        <v>4937</v>
      </c>
      <c r="B637" s="2">
        <v>46209</v>
      </c>
      <c r="C637" t="s">
        <v>66</v>
      </c>
      <c r="D637" t="s">
        <v>4938</v>
      </c>
      <c r="E637" t="s">
        <v>7974</v>
      </c>
      <c r="F637">
        <v>6</v>
      </c>
      <c r="G637" t="s">
        <v>18</v>
      </c>
      <c r="H637" t="s">
        <v>14</v>
      </c>
      <c r="I637" t="s">
        <v>26</v>
      </c>
    </row>
    <row r="638" spans="1:9" x14ac:dyDescent="0.45">
      <c r="A638" t="s">
        <v>4939</v>
      </c>
      <c r="B638" s="2">
        <v>46104</v>
      </c>
      <c r="C638" t="s">
        <v>10</v>
      </c>
      <c r="D638" t="s">
        <v>4940</v>
      </c>
      <c r="E638" t="s">
        <v>7973</v>
      </c>
      <c r="F638">
        <v>12</v>
      </c>
      <c r="G638" t="s">
        <v>55</v>
      </c>
      <c r="H638" t="s">
        <v>72</v>
      </c>
      <c r="I638" t="s">
        <v>19</v>
      </c>
    </row>
    <row r="639" spans="1:9" x14ac:dyDescent="0.45">
      <c r="A639" t="s">
        <v>4941</v>
      </c>
      <c r="B639" s="2">
        <v>46219</v>
      </c>
      <c r="C639" t="s">
        <v>28</v>
      </c>
      <c r="D639" t="s">
        <v>4942</v>
      </c>
      <c r="E639" t="s">
        <v>34</v>
      </c>
      <c r="F639">
        <v>10</v>
      </c>
      <c r="G639" t="s">
        <v>18</v>
      </c>
      <c r="H639" t="s">
        <v>14</v>
      </c>
      <c r="I639" t="s">
        <v>60</v>
      </c>
    </row>
    <row r="640" spans="1:9" x14ac:dyDescent="0.45">
      <c r="A640" t="s">
        <v>4943</v>
      </c>
      <c r="B640" s="2">
        <v>46125</v>
      </c>
      <c r="C640" t="s">
        <v>28</v>
      </c>
      <c r="D640" t="s">
        <v>4944</v>
      </c>
      <c r="E640" t="s">
        <v>75</v>
      </c>
      <c r="F640">
        <v>11</v>
      </c>
      <c r="G640" t="s">
        <v>59</v>
      </c>
      <c r="H640" t="s">
        <v>14</v>
      </c>
      <c r="I640" t="s">
        <v>26</v>
      </c>
    </row>
    <row r="641" spans="1:9" x14ac:dyDescent="0.45">
      <c r="A641" t="s">
        <v>4945</v>
      </c>
      <c r="B641" s="2">
        <v>46163</v>
      </c>
      <c r="C641" t="s">
        <v>10</v>
      </c>
      <c r="D641" t="s">
        <v>4946</v>
      </c>
      <c r="E641" t="s">
        <v>30</v>
      </c>
      <c r="F641">
        <v>5</v>
      </c>
      <c r="G641" t="s">
        <v>35</v>
      </c>
      <c r="H641" t="s">
        <v>25</v>
      </c>
      <c r="I641" t="s">
        <v>39</v>
      </c>
    </row>
    <row r="642" spans="1:9" x14ac:dyDescent="0.45">
      <c r="A642" t="s">
        <v>4947</v>
      </c>
      <c r="B642" s="2">
        <v>46254</v>
      </c>
      <c r="C642" t="s">
        <v>66</v>
      </c>
      <c r="D642" t="s">
        <v>4948</v>
      </c>
      <c r="E642" t="s">
        <v>38</v>
      </c>
      <c r="F642">
        <v>8</v>
      </c>
      <c r="G642" t="s">
        <v>13</v>
      </c>
      <c r="H642" t="s">
        <v>14</v>
      </c>
      <c r="I642" t="s">
        <v>19</v>
      </c>
    </row>
    <row r="643" spans="1:9" x14ac:dyDescent="0.45">
      <c r="A643" t="s">
        <v>4949</v>
      </c>
      <c r="B643" s="2">
        <v>46224</v>
      </c>
      <c r="C643" t="s">
        <v>52</v>
      </c>
      <c r="D643" t="s">
        <v>4950</v>
      </c>
      <c r="E643" t="s">
        <v>7973</v>
      </c>
      <c r="F643">
        <v>11</v>
      </c>
      <c r="G643" t="s">
        <v>13</v>
      </c>
      <c r="H643" t="s">
        <v>14</v>
      </c>
      <c r="I643" t="s">
        <v>60</v>
      </c>
    </row>
    <row r="644" spans="1:9" x14ac:dyDescent="0.45">
      <c r="A644" t="s">
        <v>4951</v>
      </c>
      <c r="B644" s="2">
        <v>46183</v>
      </c>
      <c r="C644" t="s">
        <v>52</v>
      </c>
      <c r="D644" t="s">
        <v>4952</v>
      </c>
      <c r="E644" t="s">
        <v>7973</v>
      </c>
      <c r="F644">
        <v>9</v>
      </c>
      <c r="G644" t="s">
        <v>59</v>
      </c>
      <c r="H644" t="s">
        <v>14</v>
      </c>
      <c r="I644" t="s">
        <v>19</v>
      </c>
    </row>
    <row r="645" spans="1:9" x14ac:dyDescent="0.45">
      <c r="A645" t="s">
        <v>4953</v>
      </c>
      <c r="B645" s="2">
        <v>46261</v>
      </c>
      <c r="C645" t="s">
        <v>49</v>
      </c>
      <c r="D645" t="s">
        <v>4954</v>
      </c>
      <c r="E645" t="s">
        <v>46</v>
      </c>
      <c r="F645">
        <v>2</v>
      </c>
      <c r="G645" t="s">
        <v>59</v>
      </c>
      <c r="H645" t="s">
        <v>14</v>
      </c>
      <c r="I645" t="s">
        <v>60</v>
      </c>
    </row>
    <row r="646" spans="1:9" x14ac:dyDescent="0.45">
      <c r="A646" t="s">
        <v>4955</v>
      </c>
      <c r="B646" s="2">
        <v>46264</v>
      </c>
      <c r="C646" t="s">
        <v>28</v>
      </c>
      <c r="D646" t="s">
        <v>4956</v>
      </c>
      <c r="E646" t="s">
        <v>54</v>
      </c>
      <c r="F646">
        <v>1</v>
      </c>
      <c r="G646" t="s">
        <v>35</v>
      </c>
      <c r="H646" t="s">
        <v>25</v>
      </c>
      <c r="I646" t="s">
        <v>60</v>
      </c>
    </row>
    <row r="647" spans="1:9" x14ac:dyDescent="0.45">
      <c r="A647" t="s">
        <v>4957</v>
      </c>
      <c r="B647" s="2">
        <v>46205</v>
      </c>
      <c r="C647" t="s">
        <v>10</v>
      </c>
      <c r="D647" t="s">
        <v>4958</v>
      </c>
      <c r="E647" t="s">
        <v>54</v>
      </c>
      <c r="F647">
        <v>12</v>
      </c>
      <c r="G647" t="s">
        <v>68</v>
      </c>
      <c r="H647" t="s">
        <v>25</v>
      </c>
      <c r="I647" t="s">
        <v>39</v>
      </c>
    </row>
    <row r="648" spans="1:9" x14ac:dyDescent="0.45">
      <c r="A648" t="s">
        <v>4959</v>
      </c>
      <c r="B648" s="2">
        <v>46045</v>
      </c>
      <c r="C648" t="s">
        <v>52</v>
      </c>
      <c r="D648" t="s">
        <v>4960</v>
      </c>
      <c r="E648" t="s">
        <v>38</v>
      </c>
      <c r="F648">
        <v>1</v>
      </c>
      <c r="G648" t="s">
        <v>55</v>
      </c>
      <c r="H648" t="s">
        <v>72</v>
      </c>
      <c r="I648" t="s">
        <v>19</v>
      </c>
    </row>
    <row r="649" spans="1:9" x14ac:dyDescent="0.45">
      <c r="A649" t="s">
        <v>4961</v>
      </c>
      <c r="B649" s="2">
        <v>46030</v>
      </c>
      <c r="C649" t="s">
        <v>16</v>
      </c>
      <c r="D649" t="s">
        <v>4962</v>
      </c>
      <c r="E649" t="s">
        <v>34</v>
      </c>
      <c r="F649">
        <v>11</v>
      </c>
      <c r="G649" t="s">
        <v>24</v>
      </c>
      <c r="H649" t="s">
        <v>25</v>
      </c>
      <c r="I649" t="s">
        <v>31</v>
      </c>
    </row>
    <row r="650" spans="1:9" x14ac:dyDescent="0.45">
      <c r="A650" t="s">
        <v>4963</v>
      </c>
      <c r="B650" s="2">
        <v>46249</v>
      </c>
      <c r="C650" t="s">
        <v>66</v>
      </c>
      <c r="D650" t="s">
        <v>4964</v>
      </c>
      <c r="E650" t="s">
        <v>7974</v>
      </c>
      <c r="F650">
        <v>10</v>
      </c>
      <c r="G650" t="s">
        <v>35</v>
      </c>
      <c r="H650" t="s">
        <v>25</v>
      </c>
      <c r="I650" t="s">
        <v>60</v>
      </c>
    </row>
    <row r="651" spans="1:9" x14ac:dyDescent="0.45">
      <c r="A651" t="s">
        <v>4965</v>
      </c>
      <c r="B651" s="2">
        <v>46178</v>
      </c>
      <c r="C651" t="s">
        <v>66</v>
      </c>
      <c r="D651" t="s">
        <v>4966</v>
      </c>
      <c r="E651" t="s">
        <v>71</v>
      </c>
      <c r="F651">
        <v>7</v>
      </c>
      <c r="G651" t="s">
        <v>18</v>
      </c>
      <c r="H651" t="s">
        <v>14</v>
      </c>
      <c r="I651" t="s">
        <v>19</v>
      </c>
    </row>
    <row r="652" spans="1:9" x14ac:dyDescent="0.45">
      <c r="A652" t="s">
        <v>4967</v>
      </c>
      <c r="B652" s="2">
        <v>46198</v>
      </c>
      <c r="C652" t="s">
        <v>10</v>
      </c>
      <c r="D652" t="s">
        <v>4968</v>
      </c>
      <c r="E652" t="s">
        <v>7973</v>
      </c>
      <c r="F652">
        <v>11</v>
      </c>
      <c r="G652" t="s">
        <v>55</v>
      </c>
      <c r="H652" t="s">
        <v>72</v>
      </c>
      <c r="I652" t="s">
        <v>31</v>
      </c>
    </row>
    <row r="653" spans="1:9" x14ac:dyDescent="0.45">
      <c r="A653" t="s">
        <v>4969</v>
      </c>
      <c r="B653" s="2">
        <v>46145</v>
      </c>
      <c r="C653" t="s">
        <v>16</v>
      </c>
      <c r="D653" t="s">
        <v>4970</v>
      </c>
      <c r="E653" t="s">
        <v>7974</v>
      </c>
      <c r="F653">
        <v>7</v>
      </c>
      <c r="G653" t="s">
        <v>59</v>
      </c>
      <c r="H653" t="s">
        <v>14</v>
      </c>
      <c r="I653" t="s">
        <v>47</v>
      </c>
    </row>
    <row r="654" spans="1:9" x14ac:dyDescent="0.45">
      <c r="A654" t="s">
        <v>4971</v>
      </c>
      <c r="B654" s="2">
        <v>46060</v>
      </c>
      <c r="C654" t="s">
        <v>16</v>
      </c>
      <c r="D654" t="s">
        <v>4972</v>
      </c>
      <c r="E654" t="s">
        <v>54</v>
      </c>
      <c r="F654">
        <v>11</v>
      </c>
      <c r="G654" t="s">
        <v>35</v>
      </c>
      <c r="H654" t="s">
        <v>25</v>
      </c>
      <c r="I654" t="s">
        <v>60</v>
      </c>
    </row>
    <row r="655" spans="1:9" x14ac:dyDescent="0.45">
      <c r="A655" t="s">
        <v>4973</v>
      </c>
      <c r="B655" s="2">
        <v>46238</v>
      </c>
      <c r="C655" t="s">
        <v>21</v>
      </c>
      <c r="D655" t="s">
        <v>4974</v>
      </c>
      <c r="E655" t="s">
        <v>1370</v>
      </c>
      <c r="F655">
        <v>9</v>
      </c>
      <c r="G655" t="s">
        <v>59</v>
      </c>
      <c r="H655" t="s">
        <v>14</v>
      </c>
      <c r="I655" t="s">
        <v>31</v>
      </c>
    </row>
    <row r="656" spans="1:9" x14ac:dyDescent="0.45">
      <c r="A656" t="s">
        <v>4975</v>
      </c>
      <c r="B656" s="2">
        <v>46124</v>
      </c>
      <c r="C656" t="s">
        <v>52</v>
      </c>
      <c r="D656" t="s">
        <v>4976</v>
      </c>
      <c r="E656" t="s">
        <v>7974</v>
      </c>
      <c r="F656">
        <v>8</v>
      </c>
      <c r="G656" t="s">
        <v>68</v>
      </c>
      <c r="H656" t="s">
        <v>25</v>
      </c>
      <c r="I656" t="s">
        <v>60</v>
      </c>
    </row>
    <row r="657" spans="1:9" x14ac:dyDescent="0.45">
      <c r="A657" t="s">
        <v>4977</v>
      </c>
      <c r="B657" s="2">
        <v>46070</v>
      </c>
      <c r="C657" t="s">
        <v>49</v>
      </c>
      <c r="D657" t="s">
        <v>4978</v>
      </c>
      <c r="E657" t="s">
        <v>38</v>
      </c>
      <c r="F657">
        <v>5</v>
      </c>
      <c r="G657" t="s">
        <v>68</v>
      </c>
      <c r="H657" t="s">
        <v>25</v>
      </c>
      <c r="I657" t="s">
        <v>47</v>
      </c>
    </row>
    <row r="658" spans="1:9" x14ac:dyDescent="0.45">
      <c r="A658" t="s">
        <v>4979</v>
      </c>
      <c r="B658" s="2">
        <v>46189</v>
      </c>
      <c r="C658" t="s">
        <v>66</v>
      </c>
      <c r="D658" t="s">
        <v>4980</v>
      </c>
      <c r="E658" t="s">
        <v>54</v>
      </c>
      <c r="F658">
        <v>5</v>
      </c>
      <c r="G658" t="s">
        <v>68</v>
      </c>
      <c r="H658" t="s">
        <v>25</v>
      </c>
      <c r="I658" t="s">
        <v>31</v>
      </c>
    </row>
    <row r="659" spans="1:9" x14ac:dyDescent="0.45">
      <c r="A659" t="s">
        <v>4981</v>
      </c>
      <c r="B659" s="2">
        <v>46023</v>
      </c>
      <c r="C659" t="s">
        <v>21</v>
      </c>
      <c r="D659" t="s">
        <v>4982</v>
      </c>
      <c r="E659" t="s">
        <v>34</v>
      </c>
      <c r="F659">
        <v>6</v>
      </c>
      <c r="G659" t="s">
        <v>13</v>
      </c>
      <c r="H659" t="s">
        <v>14</v>
      </c>
      <c r="I659" t="s">
        <v>31</v>
      </c>
    </row>
    <row r="660" spans="1:9" x14ac:dyDescent="0.45">
      <c r="A660" t="s">
        <v>4983</v>
      </c>
      <c r="B660" s="2">
        <v>46163</v>
      </c>
      <c r="C660" t="s">
        <v>99</v>
      </c>
      <c r="D660" t="s">
        <v>4984</v>
      </c>
      <c r="E660" t="s">
        <v>7974</v>
      </c>
      <c r="F660">
        <v>1</v>
      </c>
      <c r="G660" t="s">
        <v>24</v>
      </c>
      <c r="H660" t="s">
        <v>25</v>
      </c>
      <c r="I660" t="s">
        <v>39</v>
      </c>
    </row>
    <row r="661" spans="1:9" x14ac:dyDescent="0.45">
      <c r="A661" t="s">
        <v>4985</v>
      </c>
      <c r="B661" s="2">
        <v>46024</v>
      </c>
      <c r="C661" t="s">
        <v>16</v>
      </c>
      <c r="D661" t="s">
        <v>4986</v>
      </c>
      <c r="E661" t="s">
        <v>30</v>
      </c>
      <c r="F661">
        <v>1</v>
      </c>
      <c r="G661" t="s">
        <v>35</v>
      </c>
      <c r="H661" t="s">
        <v>25</v>
      </c>
      <c r="I661" t="s">
        <v>39</v>
      </c>
    </row>
    <row r="662" spans="1:9" x14ac:dyDescent="0.45">
      <c r="A662" t="s">
        <v>4987</v>
      </c>
      <c r="B662" s="2">
        <v>46239</v>
      </c>
      <c r="C662" t="s">
        <v>28</v>
      </c>
      <c r="D662" t="s">
        <v>4988</v>
      </c>
      <c r="E662" t="s">
        <v>42</v>
      </c>
      <c r="F662">
        <v>12</v>
      </c>
      <c r="G662" t="s">
        <v>43</v>
      </c>
      <c r="H662" t="s">
        <v>14</v>
      </c>
      <c r="I662" t="s">
        <v>19</v>
      </c>
    </row>
    <row r="663" spans="1:9" x14ac:dyDescent="0.45">
      <c r="A663" t="s">
        <v>4989</v>
      </c>
      <c r="B663" s="2">
        <v>46161</v>
      </c>
      <c r="C663" t="s">
        <v>21</v>
      </c>
      <c r="D663" t="s">
        <v>4990</v>
      </c>
      <c r="E663" t="s">
        <v>71</v>
      </c>
      <c r="F663">
        <v>6</v>
      </c>
      <c r="G663" t="s">
        <v>24</v>
      </c>
      <c r="H663" t="s">
        <v>25</v>
      </c>
      <c r="I663" t="s">
        <v>31</v>
      </c>
    </row>
    <row r="664" spans="1:9" x14ac:dyDescent="0.45">
      <c r="A664" t="s">
        <v>4991</v>
      </c>
      <c r="B664" s="2">
        <v>46194</v>
      </c>
      <c r="C664" t="s">
        <v>10</v>
      </c>
      <c r="D664" t="s">
        <v>4992</v>
      </c>
      <c r="E664" t="s">
        <v>30</v>
      </c>
      <c r="F664">
        <v>2</v>
      </c>
      <c r="G664" t="s">
        <v>35</v>
      </c>
      <c r="H664" t="s">
        <v>25</v>
      </c>
      <c r="I664" t="s">
        <v>26</v>
      </c>
    </row>
    <row r="665" spans="1:9" x14ac:dyDescent="0.45">
      <c r="A665" t="s">
        <v>4993</v>
      </c>
      <c r="B665" s="2">
        <v>46026</v>
      </c>
      <c r="C665" t="s">
        <v>52</v>
      </c>
      <c r="D665" t="s">
        <v>4994</v>
      </c>
      <c r="E665" t="s">
        <v>23</v>
      </c>
      <c r="F665">
        <v>4</v>
      </c>
      <c r="G665" t="s">
        <v>35</v>
      </c>
      <c r="H665" t="s">
        <v>25</v>
      </c>
      <c r="I665" t="s">
        <v>26</v>
      </c>
    </row>
    <row r="666" spans="1:9" x14ac:dyDescent="0.45">
      <c r="A666" t="s">
        <v>4995</v>
      </c>
      <c r="B666" s="2">
        <v>46200</v>
      </c>
      <c r="C666" t="s">
        <v>49</v>
      </c>
      <c r="D666" t="s">
        <v>4996</v>
      </c>
      <c r="E666" t="s">
        <v>75</v>
      </c>
      <c r="F666">
        <v>11</v>
      </c>
      <c r="G666" t="s">
        <v>7967</v>
      </c>
      <c r="H666" t="s">
        <v>14</v>
      </c>
      <c r="I666" t="s">
        <v>60</v>
      </c>
    </row>
    <row r="667" spans="1:9" x14ac:dyDescent="0.45">
      <c r="A667" t="s">
        <v>4997</v>
      </c>
      <c r="B667" s="2">
        <v>46218</v>
      </c>
      <c r="C667" t="s">
        <v>66</v>
      </c>
      <c r="D667" t="s">
        <v>4998</v>
      </c>
      <c r="E667" t="s">
        <v>75</v>
      </c>
      <c r="F667">
        <v>12</v>
      </c>
      <c r="G667" t="s">
        <v>18</v>
      </c>
      <c r="H667" t="s">
        <v>14</v>
      </c>
      <c r="I667" t="s">
        <v>60</v>
      </c>
    </row>
    <row r="668" spans="1:9" x14ac:dyDescent="0.45">
      <c r="A668" t="s">
        <v>4999</v>
      </c>
      <c r="B668" s="2">
        <v>46082</v>
      </c>
      <c r="C668" t="s">
        <v>52</v>
      </c>
      <c r="D668" t="s">
        <v>5000</v>
      </c>
      <c r="E668" t="s">
        <v>30</v>
      </c>
      <c r="F668">
        <v>6</v>
      </c>
      <c r="G668" t="s">
        <v>59</v>
      </c>
      <c r="H668" t="s">
        <v>14</v>
      </c>
      <c r="I668" t="s">
        <v>39</v>
      </c>
    </row>
    <row r="669" spans="1:9" x14ac:dyDescent="0.45">
      <c r="A669" t="s">
        <v>5001</v>
      </c>
      <c r="B669" s="2">
        <v>46162</v>
      </c>
      <c r="C669" t="s">
        <v>16</v>
      </c>
      <c r="D669" t="s">
        <v>5002</v>
      </c>
      <c r="E669" t="s">
        <v>38</v>
      </c>
      <c r="F669">
        <v>12</v>
      </c>
      <c r="G669" t="s">
        <v>68</v>
      </c>
      <c r="H669" t="s">
        <v>25</v>
      </c>
      <c r="I669" t="s">
        <v>19</v>
      </c>
    </row>
    <row r="670" spans="1:9" x14ac:dyDescent="0.45">
      <c r="A670" t="s">
        <v>5003</v>
      </c>
      <c r="B670" s="2">
        <v>46129</v>
      </c>
      <c r="C670" t="s">
        <v>99</v>
      </c>
      <c r="D670" t="s">
        <v>5004</v>
      </c>
      <c r="E670" t="s">
        <v>42</v>
      </c>
      <c r="F670">
        <v>8</v>
      </c>
      <c r="G670" t="s">
        <v>43</v>
      </c>
      <c r="H670" t="s">
        <v>14</v>
      </c>
      <c r="I670" t="s">
        <v>26</v>
      </c>
    </row>
    <row r="671" spans="1:9" x14ac:dyDescent="0.45">
      <c r="A671" t="s">
        <v>5005</v>
      </c>
      <c r="B671" s="2">
        <v>46187</v>
      </c>
      <c r="C671" t="s">
        <v>99</v>
      </c>
      <c r="D671" t="s">
        <v>5006</v>
      </c>
      <c r="E671" t="s">
        <v>23</v>
      </c>
      <c r="F671">
        <v>9</v>
      </c>
      <c r="G671" t="s">
        <v>59</v>
      </c>
      <c r="H671" t="s">
        <v>14</v>
      </c>
      <c r="I671" t="s">
        <v>60</v>
      </c>
    </row>
    <row r="672" spans="1:9" x14ac:dyDescent="0.45">
      <c r="A672" t="s">
        <v>5007</v>
      </c>
      <c r="B672" s="2">
        <v>46182</v>
      </c>
      <c r="C672" t="s">
        <v>16</v>
      </c>
      <c r="D672" t="s">
        <v>5008</v>
      </c>
      <c r="E672" t="s">
        <v>42</v>
      </c>
      <c r="F672">
        <v>12</v>
      </c>
      <c r="G672" t="s">
        <v>55</v>
      </c>
      <c r="H672" t="s">
        <v>72</v>
      </c>
      <c r="I672" t="s">
        <v>26</v>
      </c>
    </row>
    <row r="673" spans="1:9" x14ac:dyDescent="0.45">
      <c r="A673" t="s">
        <v>5009</v>
      </c>
      <c r="B673" s="2">
        <v>46053</v>
      </c>
      <c r="C673" t="s">
        <v>52</v>
      </c>
      <c r="D673" t="s">
        <v>5010</v>
      </c>
      <c r="E673" t="s">
        <v>42</v>
      </c>
      <c r="F673">
        <v>3</v>
      </c>
      <c r="G673" t="s">
        <v>43</v>
      </c>
      <c r="H673" t="s">
        <v>14</v>
      </c>
      <c r="I673" t="s">
        <v>60</v>
      </c>
    </row>
    <row r="674" spans="1:9" x14ac:dyDescent="0.45">
      <c r="A674" t="s">
        <v>5011</v>
      </c>
      <c r="B674" s="2">
        <v>46064</v>
      </c>
      <c r="C674" t="s">
        <v>49</v>
      </c>
      <c r="D674" t="s">
        <v>5012</v>
      </c>
      <c r="E674" t="s">
        <v>30</v>
      </c>
      <c r="F674">
        <v>7</v>
      </c>
      <c r="G674" t="s">
        <v>68</v>
      </c>
      <c r="H674" t="s">
        <v>25</v>
      </c>
      <c r="I674" t="s">
        <v>26</v>
      </c>
    </row>
    <row r="675" spans="1:9" x14ac:dyDescent="0.45">
      <c r="A675" t="s">
        <v>5013</v>
      </c>
      <c r="B675" s="2">
        <v>46133</v>
      </c>
      <c r="C675" t="s">
        <v>66</v>
      </c>
      <c r="D675" t="s">
        <v>5014</v>
      </c>
      <c r="E675" t="s">
        <v>54</v>
      </c>
      <c r="F675">
        <v>3</v>
      </c>
      <c r="G675" t="s">
        <v>59</v>
      </c>
      <c r="H675" t="s">
        <v>14</v>
      </c>
      <c r="I675" t="s">
        <v>26</v>
      </c>
    </row>
    <row r="676" spans="1:9" x14ac:dyDescent="0.45">
      <c r="A676" t="s">
        <v>5015</v>
      </c>
      <c r="B676" s="2">
        <v>46075</v>
      </c>
      <c r="C676" t="s">
        <v>49</v>
      </c>
      <c r="D676" t="s">
        <v>5016</v>
      </c>
      <c r="E676" t="s">
        <v>23</v>
      </c>
      <c r="F676">
        <v>10</v>
      </c>
      <c r="G676" t="s">
        <v>35</v>
      </c>
      <c r="H676" t="s">
        <v>25</v>
      </c>
      <c r="I676" t="s">
        <v>26</v>
      </c>
    </row>
    <row r="677" spans="1:9" x14ac:dyDescent="0.45">
      <c r="A677" t="s">
        <v>5017</v>
      </c>
      <c r="B677" s="2">
        <v>46235</v>
      </c>
      <c r="C677" t="s">
        <v>21</v>
      </c>
      <c r="D677" t="s">
        <v>5018</v>
      </c>
      <c r="E677" t="s">
        <v>75</v>
      </c>
      <c r="F677">
        <v>2</v>
      </c>
      <c r="G677" t="s">
        <v>55</v>
      </c>
      <c r="H677" t="s">
        <v>72</v>
      </c>
      <c r="I677" t="s">
        <v>60</v>
      </c>
    </row>
    <row r="678" spans="1:9" x14ac:dyDescent="0.45">
      <c r="A678" t="s">
        <v>5019</v>
      </c>
      <c r="B678" s="2">
        <v>46128</v>
      </c>
      <c r="C678" t="s">
        <v>28</v>
      </c>
      <c r="D678" t="s">
        <v>5020</v>
      </c>
      <c r="E678" t="s">
        <v>42</v>
      </c>
      <c r="F678">
        <v>6</v>
      </c>
      <c r="G678" t="s">
        <v>43</v>
      </c>
      <c r="H678" t="s">
        <v>14</v>
      </c>
      <c r="I678" t="s">
        <v>60</v>
      </c>
    </row>
    <row r="679" spans="1:9" x14ac:dyDescent="0.45">
      <c r="A679" t="s">
        <v>5021</v>
      </c>
      <c r="B679" s="2">
        <v>46179</v>
      </c>
      <c r="C679" t="s">
        <v>16</v>
      </c>
      <c r="D679" t="s">
        <v>5022</v>
      </c>
      <c r="E679" t="s">
        <v>54</v>
      </c>
      <c r="F679">
        <v>7</v>
      </c>
      <c r="G679" t="s">
        <v>35</v>
      </c>
      <c r="H679" t="s">
        <v>25</v>
      </c>
      <c r="I679" t="s">
        <v>31</v>
      </c>
    </row>
    <row r="680" spans="1:9" x14ac:dyDescent="0.45">
      <c r="A680" t="s">
        <v>5023</v>
      </c>
      <c r="B680" s="2">
        <v>46091</v>
      </c>
      <c r="C680" t="s">
        <v>16</v>
      </c>
      <c r="D680" t="s">
        <v>5024</v>
      </c>
      <c r="E680" t="s">
        <v>23</v>
      </c>
      <c r="F680">
        <v>6</v>
      </c>
      <c r="G680" t="s">
        <v>59</v>
      </c>
      <c r="H680" t="s">
        <v>14</v>
      </c>
      <c r="I680" t="s">
        <v>26</v>
      </c>
    </row>
    <row r="681" spans="1:9" x14ac:dyDescent="0.45">
      <c r="A681" t="s">
        <v>5025</v>
      </c>
      <c r="B681" s="2">
        <v>46263</v>
      </c>
      <c r="C681" t="s">
        <v>10</v>
      </c>
      <c r="D681" t="s">
        <v>5026</v>
      </c>
      <c r="E681" t="s">
        <v>7973</v>
      </c>
      <c r="F681">
        <v>9</v>
      </c>
      <c r="G681" t="s">
        <v>55</v>
      </c>
      <c r="H681" t="s">
        <v>72</v>
      </c>
      <c r="I681" t="s">
        <v>31</v>
      </c>
    </row>
    <row r="682" spans="1:9" x14ac:dyDescent="0.45">
      <c r="A682" t="s">
        <v>5027</v>
      </c>
      <c r="B682" s="2">
        <v>46241</v>
      </c>
      <c r="C682" t="s">
        <v>99</v>
      </c>
      <c r="D682" t="s">
        <v>5028</v>
      </c>
      <c r="E682" t="s">
        <v>7973</v>
      </c>
      <c r="F682">
        <v>11</v>
      </c>
      <c r="G682" t="s">
        <v>68</v>
      </c>
      <c r="H682" t="s">
        <v>25</v>
      </c>
      <c r="I682" t="s">
        <v>31</v>
      </c>
    </row>
    <row r="683" spans="1:9" x14ac:dyDescent="0.45">
      <c r="A683" t="s">
        <v>5029</v>
      </c>
      <c r="B683" s="2">
        <v>46249</v>
      </c>
      <c r="C683" t="s">
        <v>21</v>
      </c>
      <c r="D683" t="s">
        <v>5030</v>
      </c>
      <c r="E683" t="s">
        <v>7973</v>
      </c>
      <c r="F683">
        <v>10</v>
      </c>
      <c r="G683" t="s">
        <v>13</v>
      </c>
      <c r="H683" t="s">
        <v>14</v>
      </c>
      <c r="I683" t="s">
        <v>60</v>
      </c>
    </row>
    <row r="684" spans="1:9" x14ac:dyDescent="0.45">
      <c r="A684" t="s">
        <v>5031</v>
      </c>
      <c r="B684" s="2">
        <v>46041</v>
      </c>
      <c r="C684" t="s">
        <v>10</v>
      </c>
      <c r="D684" t="s">
        <v>5032</v>
      </c>
      <c r="E684" t="s">
        <v>34</v>
      </c>
      <c r="F684">
        <v>8</v>
      </c>
      <c r="G684" t="s">
        <v>24</v>
      </c>
      <c r="H684" t="s">
        <v>25</v>
      </c>
      <c r="I684" t="s">
        <v>60</v>
      </c>
    </row>
    <row r="685" spans="1:9" x14ac:dyDescent="0.45">
      <c r="A685" t="s">
        <v>5033</v>
      </c>
      <c r="B685" s="2">
        <v>46177</v>
      </c>
      <c r="C685" t="s">
        <v>21</v>
      </c>
      <c r="D685" t="s">
        <v>5034</v>
      </c>
      <c r="E685" t="s">
        <v>7973</v>
      </c>
      <c r="F685">
        <v>2</v>
      </c>
      <c r="G685" t="s">
        <v>43</v>
      </c>
      <c r="H685" t="s">
        <v>14</v>
      </c>
      <c r="I685" t="s">
        <v>39</v>
      </c>
    </row>
    <row r="686" spans="1:9" x14ac:dyDescent="0.45">
      <c r="A686" t="s">
        <v>5035</v>
      </c>
      <c r="B686" s="2">
        <v>46092</v>
      </c>
      <c r="C686" t="s">
        <v>16</v>
      </c>
      <c r="D686" t="s">
        <v>5036</v>
      </c>
      <c r="E686" t="s">
        <v>54</v>
      </c>
      <c r="F686">
        <v>6</v>
      </c>
      <c r="G686" t="s">
        <v>13</v>
      </c>
      <c r="H686" t="s">
        <v>14</v>
      </c>
      <c r="I686" t="s">
        <v>19</v>
      </c>
    </row>
    <row r="687" spans="1:9" x14ac:dyDescent="0.45">
      <c r="A687" t="s">
        <v>5037</v>
      </c>
      <c r="B687" s="2">
        <v>46038</v>
      </c>
      <c r="C687" t="s">
        <v>52</v>
      </c>
      <c r="D687" t="s">
        <v>5038</v>
      </c>
      <c r="E687" t="s">
        <v>71</v>
      </c>
      <c r="F687">
        <v>8</v>
      </c>
      <c r="G687" t="s">
        <v>68</v>
      </c>
      <c r="H687" t="s">
        <v>25</v>
      </c>
      <c r="I687" t="s">
        <v>31</v>
      </c>
    </row>
    <row r="688" spans="1:9" x14ac:dyDescent="0.45">
      <c r="A688" t="s">
        <v>5039</v>
      </c>
      <c r="B688" s="2">
        <v>46210</v>
      </c>
      <c r="C688" t="s">
        <v>28</v>
      </c>
      <c r="D688" t="s">
        <v>5040</v>
      </c>
      <c r="E688" t="s">
        <v>23</v>
      </c>
      <c r="F688">
        <v>6</v>
      </c>
      <c r="G688" t="s">
        <v>35</v>
      </c>
      <c r="H688" t="s">
        <v>25</v>
      </c>
      <c r="I688" t="s">
        <v>47</v>
      </c>
    </row>
    <row r="689" spans="1:9" x14ac:dyDescent="0.45">
      <c r="A689" t="s">
        <v>5041</v>
      </c>
      <c r="B689" s="2">
        <v>46139</v>
      </c>
      <c r="C689" t="s">
        <v>49</v>
      </c>
      <c r="D689" t="s">
        <v>5042</v>
      </c>
      <c r="E689" t="s">
        <v>30</v>
      </c>
      <c r="F689">
        <v>11</v>
      </c>
      <c r="G689" t="s">
        <v>59</v>
      </c>
      <c r="H689" t="s">
        <v>14</v>
      </c>
      <c r="I689" t="s">
        <v>26</v>
      </c>
    </row>
    <row r="690" spans="1:9" x14ac:dyDescent="0.45">
      <c r="A690" t="s">
        <v>5043</v>
      </c>
      <c r="B690" s="2">
        <v>46152</v>
      </c>
      <c r="C690" t="s">
        <v>66</v>
      </c>
      <c r="D690" t="s">
        <v>5044</v>
      </c>
      <c r="E690" t="s">
        <v>23</v>
      </c>
      <c r="F690">
        <v>2</v>
      </c>
      <c r="G690" t="s">
        <v>13</v>
      </c>
      <c r="H690" t="s">
        <v>14</v>
      </c>
      <c r="I690" t="s">
        <v>39</v>
      </c>
    </row>
    <row r="691" spans="1:9" x14ac:dyDescent="0.45">
      <c r="A691" t="s">
        <v>5045</v>
      </c>
      <c r="B691" s="2">
        <v>46031</v>
      </c>
      <c r="C691" t="s">
        <v>52</v>
      </c>
      <c r="D691" t="s">
        <v>5046</v>
      </c>
      <c r="E691" t="s">
        <v>71</v>
      </c>
      <c r="F691">
        <v>11</v>
      </c>
      <c r="G691" t="s">
        <v>59</v>
      </c>
      <c r="H691" t="s">
        <v>14</v>
      </c>
      <c r="I691" t="s">
        <v>47</v>
      </c>
    </row>
    <row r="692" spans="1:9" x14ac:dyDescent="0.45">
      <c r="A692" t="s">
        <v>5047</v>
      </c>
      <c r="B692" s="2">
        <v>46175</v>
      </c>
      <c r="C692" t="s">
        <v>10</v>
      </c>
      <c r="D692" t="s">
        <v>5048</v>
      </c>
      <c r="E692" t="s">
        <v>30</v>
      </c>
      <c r="F692">
        <v>2</v>
      </c>
      <c r="G692" t="s">
        <v>43</v>
      </c>
      <c r="H692" t="s">
        <v>14</v>
      </c>
      <c r="I692" t="s">
        <v>47</v>
      </c>
    </row>
    <row r="693" spans="1:9" x14ac:dyDescent="0.45">
      <c r="A693" t="s">
        <v>5049</v>
      </c>
      <c r="B693" s="2">
        <v>46256</v>
      </c>
      <c r="C693" t="s">
        <v>52</v>
      </c>
      <c r="D693" t="s">
        <v>5050</v>
      </c>
      <c r="E693" t="s">
        <v>58</v>
      </c>
      <c r="F693">
        <v>10</v>
      </c>
      <c r="G693" t="s">
        <v>35</v>
      </c>
      <c r="H693" t="s">
        <v>25</v>
      </c>
      <c r="I693" t="s">
        <v>39</v>
      </c>
    </row>
    <row r="694" spans="1:9" x14ac:dyDescent="0.45">
      <c r="A694" t="s">
        <v>5051</v>
      </c>
      <c r="B694" s="2">
        <v>46220</v>
      </c>
      <c r="C694" t="s">
        <v>10</v>
      </c>
      <c r="D694" t="s">
        <v>5052</v>
      </c>
      <c r="E694" t="s">
        <v>54</v>
      </c>
      <c r="F694">
        <v>3</v>
      </c>
      <c r="G694" t="s">
        <v>68</v>
      </c>
      <c r="H694" t="s">
        <v>25</v>
      </c>
      <c r="I694" t="s">
        <v>31</v>
      </c>
    </row>
    <row r="695" spans="1:9" x14ac:dyDescent="0.45">
      <c r="A695" t="s">
        <v>5053</v>
      </c>
      <c r="B695" s="2">
        <v>46084</v>
      </c>
      <c r="C695" t="s">
        <v>49</v>
      </c>
      <c r="D695" t="s">
        <v>5054</v>
      </c>
      <c r="E695" t="s">
        <v>7973</v>
      </c>
      <c r="F695">
        <v>10</v>
      </c>
      <c r="G695" t="s">
        <v>35</v>
      </c>
      <c r="H695" t="s">
        <v>25</v>
      </c>
      <c r="I695" t="s">
        <v>26</v>
      </c>
    </row>
    <row r="696" spans="1:9" x14ac:dyDescent="0.45">
      <c r="A696" t="s">
        <v>5055</v>
      </c>
      <c r="B696" s="2">
        <v>46151</v>
      </c>
      <c r="C696" t="s">
        <v>99</v>
      </c>
      <c r="D696" t="s">
        <v>5056</v>
      </c>
      <c r="E696" t="s">
        <v>34</v>
      </c>
      <c r="F696">
        <v>3</v>
      </c>
      <c r="G696" t="s">
        <v>43</v>
      </c>
      <c r="H696" t="s">
        <v>14</v>
      </c>
      <c r="I696" t="s">
        <v>7967</v>
      </c>
    </row>
    <row r="697" spans="1:9" x14ac:dyDescent="0.45">
      <c r="A697" t="s">
        <v>5057</v>
      </c>
      <c r="B697" s="2">
        <v>46178</v>
      </c>
      <c r="C697" t="s">
        <v>28</v>
      </c>
      <c r="D697" t="s">
        <v>5058</v>
      </c>
      <c r="E697" t="s">
        <v>7974</v>
      </c>
      <c r="F697">
        <v>4</v>
      </c>
      <c r="G697" t="s">
        <v>55</v>
      </c>
      <c r="H697" t="s">
        <v>72</v>
      </c>
      <c r="I697" t="s">
        <v>47</v>
      </c>
    </row>
    <row r="698" spans="1:9" x14ac:dyDescent="0.45">
      <c r="A698" t="s">
        <v>5059</v>
      </c>
      <c r="B698" s="2">
        <v>46200</v>
      </c>
      <c r="C698" t="s">
        <v>52</v>
      </c>
      <c r="D698" t="s">
        <v>5060</v>
      </c>
      <c r="E698" t="s">
        <v>7974</v>
      </c>
      <c r="F698">
        <v>1</v>
      </c>
      <c r="G698" t="s">
        <v>35</v>
      </c>
      <c r="H698" t="s">
        <v>25</v>
      </c>
      <c r="I698" t="s">
        <v>39</v>
      </c>
    </row>
    <row r="699" spans="1:9" x14ac:dyDescent="0.45">
      <c r="A699" t="s">
        <v>5061</v>
      </c>
      <c r="B699" s="2">
        <v>46232</v>
      </c>
      <c r="C699" t="s">
        <v>99</v>
      </c>
      <c r="D699" t="s">
        <v>5062</v>
      </c>
      <c r="E699" t="s">
        <v>7974</v>
      </c>
      <c r="F699">
        <v>2</v>
      </c>
      <c r="G699" t="s">
        <v>18</v>
      </c>
      <c r="H699" t="s">
        <v>14</v>
      </c>
      <c r="I699" t="s">
        <v>39</v>
      </c>
    </row>
    <row r="700" spans="1:9" x14ac:dyDescent="0.45">
      <c r="A700" t="s">
        <v>5063</v>
      </c>
      <c r="B700" s="2">
        <v>46067</v>
      </c>
      <c r="C700" t="s">
        <v>99</v>
      </c>
      <c r="D700" t="s">
        <v>5064</v>
      </c>
      <c r="E700" t="s">
        <v>42</v>
      </c>
      <c r="F700">
        <v>1</v>
      </c>
      <c r="G700" t="s">
        <v>18</v>
      </c>
      <c r="H700" t="s">
        <v>14</v>
      </c>
      <c r="I700" t="s">
        <v>19</v>
      </c>
    </row>
    <row r="701" spans="1:9" x14ac:dyDescent="0.45">
      <c r="A701" t="s">
        <v>5065</v>
      </c>
      <c r="B701" s="2">
        <v>46028</v>
      </c>
      <c r="C701" t="s">
        <v>66</v>
      </c>
      <c r="D701" t="s">
        <v>5066</v>
      </c>
      <c r="E701" t="s">
        <v>71</v>
      </c>
      <c r="F701">
        <v>5</v>
      </c>
      <c r="G701" t="s">
        <v>55</v>
      </c>
      <c r="H701" t="s">
        <v>72</v>
      </c>
      <c r="I701" t="s">
        <v>47</v>
      </c>
    </row>
    <row r="702" spans="1:9" x14ac:dyDescent="0.45">
      <c r="A702" t="s">
        <v>5067</v>
      </c>
      <c r="B702" s="2">
        <v>46052</v>
      </c>
      <c r="C702" t="s">
        <v>10</v>
      </c>
      <c r="D702" t="s">
        <v>5068</v>
      </c>
      <c r="E702" t="s">
        <v>23</v>
      </c>
      <c r="F702">
        <v>6</v>
      </c>
      <c r="G702" t="s">
        <v>35</v>
      </c>
      <c r="H702" t="s">
        <v>25</v>
      </c>
      <c r="I702" t="s">
        <v>31</v>
      </c>
    </row>
    <row r="703" spans="1:9" x14ac:dyDescent="0.45">
      <c r="A703" t="s">
        <v>5069</v>
      </c>
      <c r="B703" s="2">
        <v>46234</v>
      </c>
      <c r="C703" t="s">
        <v>10</v>
      </c>
      <c r="D703" t="s">
        <v>5070</v>
      </c>
      <c r="E703" t="s">
        <v>71</v>
      </c>
      <c r="F703">
        <v>10</v>
      </c>
      <c r="G703" t="s">
        <v>24</v>
      </c>
      <c r="H703" t="s">
        <v>25</v>
      </c>
      <c r="I703" t="s">
        <v>31</v>
      </c>
    </row>
    <row r="704" spans="1:9" x14ac:dyDescent="0.45">
      <c r="A704" t="s">
        <v>5071</v>
      </c>
      <c r="B704" s="2">
        <v>46178</v>
      </c>
      <c r="C704" t="s">
        <v>10</v>
      </c>
      <c r="D704" t="s">
        <v>5072</v>
      </c>
      <c r="E704" t="s">
        <v>54</v>
      </c>
      <c r="F704">
        <v>10</v>
      </c>
      <c r="G704" t="s">
        <v>18</v>
      </c>
      <c r="H704" t="s">
        <v>14</v>
      </c>
      <c r="I704" t="s">
        <v>47</v>
      </c>
    </row>
    <row r="705" spans="1:9" x14ac:dyDescent="0.45">
      <c r="A705" t="s">
        <v>5073</v>
      </c>
      <c r="B705" s="2">
        <v>46241</v>
      </c>
      <c r="C705" t="s">
        <v>49</v>
      </c>
      <c r="D705" t="s">
        <v>5074</v>
      </c>
      <c r="E705" t="s">
        <v>75</v>
      </c>
      <c r="F705">
        <v>10</v>
      </c>
      <c r="G705" t="s">
        <v>55</v>
      </c>
      <c r="H705" t="s">
        <v>72</v>
      </c>
      <c r="I705" t="s">
        <v>47</v>
      </c>
    </row>
    <row r="706" spans="1:9" x14ac:dyDescent="0.45">
      <c r="A706" t="s">
        <v>5075</v>
      </c>
      <c r="B706" s="2">
        <v>46182</v>
      </c>
      <c r="C706" t="s">
        <v>52</v>
      </c>
      <c r="D706" t="s">
        <v>5076</v>
      </c>
      <c r="E706" t="s">
        <v>23</v>
      </c>
      <c r="F706">
        <v>2</v>
      </c>
      <c r="G706" t="s">
        <v>7967</v>
      </c>
      <c r="H706" t="s">
        <v>25</v>
      </c>
      <c r="I706" t="s">
        <v>60</v>
      </c>
    </row>
    <row r="707" spans="1:9" x14ac:dyDescent="0.45">
      <c r="A707" t="s">
        <v>5077</v>
      </c>
      <c r="B707" s="2">
        <v>46269</v>
      </c>
      <c r="C707" t="s">
        <v>99</v>
      </c>
      <c r="D707" t="s">
        <v>5078</v>
      </c>
      <c r="E707" t="s">
        <v>34</v>
      </c>
      <c r="F707">
        <v>1</v>
      </c>
      <c r="G707" t="s">
        <v>59</v>
      </c>
      <c r="H707" t="s">
        <v>14</v>
      </c>
      <c r="I707" t="s">
        <v>31</v>
      </c>
    </row>
    <row r="708" spans="1:9" x14ac:dyDescent="0.45">
      <c r="A708" t="s">
        <v>5079</v>
      </c>
      <c r="B708" s="2">
        <v>46235</v>
      </c>
      <c r="C708" t="s">
        <v>28</v>
      </c>
      <c r="D708" t="s">
        <v>5080</v>
      </c>
      <c r="E708" t="s">
        <v>7973</v>
      </c>
      <c r="F708">
        <v>6</v>
      </c>
      <c r="G708" t="s">
        <v>59</v>
      </c>
      <c r="H708" t="s">
        <v>14</v>
      </c>
      <c r="I708" t="s">
        <v>19</v>
      </c>
    </row>
    <row r="709" spans="1:9" x14ac:dyDescent="0.45">
      <c r="A709" t="s">
        <v>5081</v>
      </c>
      <c r="B709" s="2">
        <v>46160</v>
      </c>
      <c r="C709" t="s">
        <v>10</v>
      </c>
      <c r="D709" t="s">
        <v>5082</v>
      </c>
      <c r="E709" t="s">
        <v>42</v>
      </c>
      <c r="F709">
        <v>2</v>
      </c>
      <c r="G709" t="s">
        <v>43</v>
      </c>
      <c r="H709" t="s">
        <v>14</v>
      </c>
      <c r="I709" t="s">
        <v>19</v>
      </c>
    </row>
    <row r="710" spans="1:9" x14ac:dyDescent="0.45">
      <c r="A710" t="s">
        <v>5083</v>
      </c>
      <c r="B710" s="2">
        <v>46153</v>
      </c>
      <c r="C710" t="s">
        <v>49</v>
      </c>
      <c r="D710" t="s">
        <v>5084</v>
      </c>
      <c r="E710" t="s">
        <v>54</v>
      </c>
      <c r="F710">
        <v>6</v>
      </c>
      <c r="G710" t="s">
        <v>18</v>
      </c>
      <c r="H710" t="s">
        <v>14</v>
      </c>
      <c r="I710" t="s">
        <v>39</v>
      </c>
    </row>
    <row r="711" spans="1:9" x14ac:dyDescent="0.45">
      <c r="A711" t="s">
        <v>5085</v>
      </c>
      <c r="B711" s="2">
        <v>46251</v>
      </c>
      <c r="C711" t="s">
        <v>49</v>
      </c>
      <c r="D711" t="s">
        <v>5086</v>
      </c>
      <c r="E711" t="s">
        <v>38</v>
      </c>
      <c r="F711">
        <v>6</v>
      </c>
      <c r="G711" t="s">
        <v>55</v>
      </c>
      <c r="H711" t="s">
        <v>72</v>
      </c>
      <c r="I711" t="s">
        <v>47</v>
      </c>
    </row>
    <row r="712" spans="1:9" x14ac:dyDescent="0.45">
      <c r="A712" t="s">
        <v>5087</v>
      </c>
      <c r="B712" s="2">
        <v>46107</v>
      </c>
      <c r="C712" t="s">
        <v>21</v>
      </c>
      <c r="D712" t="s">
        <v>5088</v>
      </c>
      <c r="E712" t="s">
        <v>46</v>
      </c>
      <c r="F712">
        <v>11</v>
      </c>
      <c r="G712" t="s">
        <v>43</v>
      </c>
      <c r="H712" t="s">
        <v>14</v>
      </c>
      <c r="I712" t="s">
        <v>19</v>
      </c>
    </row>
    <row r="713" spans="1:9" x14ac:dyDescent="0.45">
      <c r="A713" t="s">
        <v>5089</v>
      </c>
      <c r="B713" s="2">
        <v>46162</v>
      </c>
      <c r="C713" t="s">
        <v>99</v>
      </c>
      <c r="D713" t="s">
        <v>5090</v>
      </c>
      <c r="E713" t="s">
        <v>7973</v>
      </c>
      <c r="F713">
        <v>10</v>
      </c>
      <c r="G713" t="s">
        <v>13</v>
      </c>
      <c r="H713" t="s">
        <v>14</v>
      </c>
      <c r="I713" t="s">
        <v>60</v>
      </c>
    </row>
    <row r="714" spans="1:9" x14ac:dyDescent="0.45">
      <c r="A714" t="s">
        <v>5091</v>
      </c>
      <c r="B714" s="2">
        <v>46150</v>
      </c>
      <c r="C714" t="s">
        <v>66</v>
      </c>
      <c r="D714" t="s">
        <v>5092</v>
      </c>
      <c r="E714" t="s">
        <v>42</v>
      </c>
      <c r="F714">
        <v>3</v>
      </c>
      <c r="G714" t="s">
        <v>18</v>
      </c>
      <c r="H714" t="s">
        <v>14</v>
      </c>
      <c r="I714" t="s">
        <v>26</v>
      </c>
    </row>
    <row r="715" spans="1:9" x14ac:dyDescent="0.45">
      <c r="A715" t="s">
        <v>5093</v>
      </c>
      <c r="B715" s="2">
        <v>46145</v>
      </c>
      <c r="C715" t="s">
        <v>52</v>
      </c>
      <c r="D715" t="s">
        <v>5094</v>
      </c>
      <c r="E715" t="s">
        <v>23</v>
      </c>
      <c r="F715">
        <v>4</v>
      </c>
      <c r="G715" t="s">
        <v>43</v>
      </c>
      <c r="H715" t="s">
        <v>14</v>
      </c>
      <c r="I715" t="s">
        <v>7967</v>
      </c>
    </row>
    <row r="716" spans="1:9" x14ac:dyDescent="0.45">
      <c r="A716" t="s">
        <v>5095</v>
      </c>
      <c r="B716" s="2">
        <v>46104</v>
      </c>
      <c r="C716" t="s">
        <v>10</v>
      </c>
      <c r="D716" t="s">
        <v>5096</v>
      </c>
      <c r="E716" t="s">
        <v>23</v>
      </c>
      <c r="F716">
        <v>10</v>
      </c>
      <c r="G716" t="s">
        <v>24</v>
      </c>
      <c r="H716" t="s">
        <v>25</v>
      </c>
      <c r="I716" t="s">
        <v>26</v>
      </c>
    </row>
    <row r="717" spans="1:9" x14ac:dyDescent="0.45">
      <c r="A717" t="s">
        <v>5097</v>
      </c>
      <c r="B717" s="2">
        <v>46263</v>
      </c>
      <c r="C717" t="s">
        <v>28</v>
      </c>
      <c r="D717" t="s">
        <v>5098</v>
      </c>
      <c r="E717" t="s">
        <v>58</v>
      </c>
      <c r="F717">
        <v>10</v>
      </c>
      <c r="G717" t="s">
        <v>35</v>
      </c>
      <c r="H717" t="s">
        <v>25</v>
      </c>
      <c r="I717" t="s">
        <v>31</v>
      </c>
    </row>
    <row r="718" spans="1:9" x14ac:dyDescent="0.45">
      <c r="A718" t="s">
        <v>5099</v>
      </c>
      <c r="B718" s="2">
        <v>46180</v>
      </c>
      <c r="C718" t="s">
        <v>66</v>
      </c>
      <c r="D718" t="s">
        <v>5100</v>
      </c>
      <c r="E718" t="s">
        <v>75</v>
      </c>
      <c r="F718">
        <v>11</v>
      </c>
      <c r="G718" t="s">
        <v>43</v>
      </c>
      <c r="H718" t="s">
        <v>14</v>
      </c>
      <c r="I718" t="s">
        <v>19</v>
      </c>
    </row>
    <row r="719" spans="1:9" x14ac:dyDescent="0.45">
      <c r="A719" t="s">
        <v>5101</v>
      </c>
      <c r="B719" s="2">
        <v>46246</v>
      </c>
      <c r="C719" t="s">
        <v>52</v>
      </c>
      <c r="D719" t="s">
        <v>5102</v>
      </c>
      <c r="E719" t="s">
        <v>34</v>
      </c>
      <c r="F719">
        <v>9</v>
      </c>
      <c r="G719" t="s">
        <v>35</v>
      </c>
      <c r="H719" t="s">
        <v>25</v>
      </c>
      <c r="I719" t="s">
        <v>19</v>
      </c>
    </row>
    <row r="720" spans="1:9" x14ac:dyDescent="0.45">
      <c r="A720" t="s">
        <v>5103</v>
      </c>
      <c r="B720" s="2">
        <v>46102</v>
      </c>
      <c r="C720" t="s">
        <v>52</v>
      </c>
      <c r="D720" t="s">
        <v>5104</v>
      </c>
      <c r="E720" t="s">
        <v>71</v>
      </c>
      <c r="F720">
        <v>12</v>
      </c>
      <c r="G720" t="s">
        <v>18</v>
      </c>
      <c r="H720" t="s">
        <v>14</v>
      </c>
      <c r="I720" t="s">
        <v>39</v>
      </c>
    </row>
    <row r="721" spans="1:9" x14ac:dyDescent="0.45">
      <c r="A721" t="s">
        <v>5105</v>
      </c>
      <c r="B721" s="2">
        <v>46083</v>
      </c>
      <c r="C721" t="s">
        <v>28</v>
      </c>
      <c r="D721" t="s">
        <v>5106</v>
      </c>
      <c r="E721" t="s">
        <v>54</v>
      </c>
      <c r="F721">
        <v>5</v>
      </c>
      <c r="G721" t="s">
        <v>18</v>
      </c>
      <c r="H721" t="s">
        <v>14</v>
      </c>
      <c r="I721" t="s">
        <v>26</v>
      </c>
    </row>
    <row r="722" spans="1:9" x14ac:dyDescent="0.45">
      <c r="A722" t="s">
        <v>5107</v>
      </c>
      <c r="B722" s="2">
        <v>46035</v>
      </c>
      <c r="C722" t="s">
        <v>28</v>
      </c>
      <c r="D722" t="s">
        <v>5108</v>
      </c>
      <c r="E722" t="s">
        <v>30</v>
      </c>
      <c r="F722">
        <v>4</v>
      </c>
      <c r="G722" t="s">
        <v>55</v>
      </c>
      <c r="H722" t="s">
        <v>72</v>
      </c>
      <c r="I722" t="s">
        <v>60</v>
      </c>
    </row>
    <row r="723" spans="1:9" x14ac:dyDescent="0.45">
      <c r="A723" t="s">
        <v>5109</v>
      </c>
      <c r="B723" s="2">
        <v>46092</v>
      </c>
      <c r="C723" t="s">
        <v>16</v>
      </c>
      <c r="D723" t="s">
        <v>5110</v>
      </c>
      <c r="E723" t="s">
        <v>7973</v>
      </c>
      <c r="F723">
        <v>11</v>
      </c>
      <c r="G723" t="s">
        <v>59</v>
      </c>
      <c r="H723" t="s">
        <v>14</v>
      </c>
      <c r="I723" t="s">
        <v>39</v>
      </c>
    </row>
    <row r="724" spans="1:9" x14ac:dyDescent="0.45">
      <c r="A724" t="s">
        <v>5111</v>
      </c>
      <c r="B724" s="2">
        <v>46235</v>
      </c>
      <c r="C724" t="s">
        <v>49</v>
      </c>
      <c r="D724" t="s">
        <v>5112</v>
      </c>
      <c r="E724" t="s">
        <v>42</v>
      </c>
      <c r="F724">
        <v>9</v>
      </c>
      <c r="G724" t="s">
        <v>55</v>
      </c>
      <c r="H724" t="s">
        <v>72</v>
      </c>
      <c r="I724" t="s">
        <v>47</v>
      </c>
    </row>
    <row r="725" spans="1:9" x14ac:dyDescent="0.45">
      <c r="A725" t="s">
        <v>5113</v>
      </c>
      <c r="B725" s="2">
        <v>46119</v>
      </c>
      <c r="C725" t="s">
        <v>28</v>
      </c>
      <c r="D725" t="s">
        <v>5114</v>
      </c>
      <c r="E725" t="s">
        <v>71</v>
      </c>
      <c r="F725">
        <v>4</v>
      </c>
      <c r="G725" t="s">
        <v>13</v>
      </c>
      <c r="H725" t="s">
        <v>14</v>
      </c>
      <c r="I725" t="s">
        <v>19</v>
      </c>
    </row>
    <row r="726" spans="1:9" x14ac:dyDescent="0.45">
      <c r="A726" t="s">
        <v>5115</v>
      </c>
      <c r="B726" s="2">
        <v>46163</v>
      </c>
      <c r="C726" t="s">
        <v>10</v>
      </c>
      <c r="D726" t="s">
        <v>5116</v>
      </c>
      <c r="E726" t="s">
        <v>7973</v>
      </c>
      <c r="F726">
        <v>1</v>
      </c>
      <c r="G726" t="s">
        <v>55</v>
      </c>
      <c r="H726" t="s">
        <v>72</v>
      </c>
      <c r="I726" t="s">
        <v>19</v>
      </c>
    </row>
    <row r="727" spans="1:9" x14ac:dyDescent="0.45">
      <c r="A727" t="s">
        <v>5117</v>
      </c>
      <c r="B727" s="2">
        <v>46108</v>
      </c>
      <c r="C727" t="s">
        <v>21</v>
      </c>
      <c r="D727" t="s">
        <v>5118</v>
      </c>
      <c r="E727" t="s">
        <v>42</v>
      </c>
      <c r="F727">
        <v>3</v>
      </c>
      <c r="G727" t="s">
        <v>13</v>
      </c>
      <c r="H727" t="s">
        <v>14</v>
      </c>
      <c r="I727" t="s">
        <v>26</v>
      </c>
    </row>
    <row r="728" spans="1:9" x14ac:dyDescent="0.45">
      <c r="A728" t="s">
        <v>5119</v>
      </c>
      <c r="B728" s="2">
        <v>46050</v>
      </c>
      <c r="C728" t="s">
        <v>49</v>
      </c>
      <c r="D728" t="s">
        <v>5120</v>
      </c>
      <c r="E728" t="s">
        <v>34</v>
      </c>
      <c r="F728">
        <v>1</v>
      </c>
      <c r="G728" t="s">
        <v>43</v>
      </c>
      <c r="H728" t="s">
        <v>14</v>
      </c>
      <c r="I728" t="s">
        <v>26</v>
      </c>
    </row>
    <row r="729" spans="1:9" x14ac:dyDescent="0.45">
      <c r="A729" t="s">
        <v>5121</v>
      </c>
      <c r="B729" s="2">
        <v>46243</v>
      </c>
      <c r="C729" t="s">
        <v>16</v>
      </c>
      <c r="D729" t="s">
        <v>5122</v>
      </c>
      <c r="E729" t="s">
        <v>75</v>
      </c>
      <c r="F729">
        <v>3</v>
      </c>
      <c r="G729" t="s">
        <v>55</v>
      </c>
      <c r="H729" t="s">
        <v>72</v>
      </c>
      <c r="I729" t="s">
        <v>26</v>
      </c>
    </row>
    <row r="730" spans="1:9" x14ac:dyDescent="0.45">
      <c r="A730" t="s">
        <v>5123</v>
      </c>
      <c r="B730" s="2">
        <v>46076</v>
      </c>
      <c r="C730" t="s">
        <v>49</v>
      </c>
      <c r="D730" t="s">
        <v>5124</v>
      </c>
      <c r="E730" t="s">
        <v>38</v>
      </c>
      <c r="F730">
        <v>10</v>
      </c>
      <c r="G730" t="s">
        <v>68</v>
      </c>
      <c r="H730" t="s">
        <v>25</v>
      </c>
      <c r="I730" t="s">
        <v>19</v>
      </c>
    </row>
    <row r="731" spans="1:9" x14ac:dyDescent="0.45">
      <c r="A731" t="s">
        <v>5125</v>
      </c>
      <c r="B731" s="2">
        <v>46230</v>
      </c>
      <c r="C731" t="s">
        <v>16</v>
      </c>
      <c r="D731" t="s">
        <v>5126</v>
      </c>
      <c r="E731" t="s">
        <v>46</v>
      </c>
      <c r="F731">
        <v>12</v>
      </c>
      <c r="G731" t="s">
        <v>35</v>
      </c>
      <c r="H731" t="s">
        <v>25</v>
      </c>
      <c r="I731" t="s">
        <v>19</v>
      </c>
    </row>
    <row r="732" spans="1:9" x14ac:dyDescent="0.45">
      <c r="A732" t="s">
        <v>5127</v>
      </c>
      <c r="B732" s="2">
        <v>46225</v>
      </c>
      <c r="C732" t="s">
        <v>28</v>
      </c>
      <c r="D732" t="s">
        <v>5128</v>
      </c>
      <c r="E732" t="s">
        <v>58</v>
      </c>
      <c r="F732">
        <v>12</v>
      </c>
      <c r="G732" t="s">
        <v>13</v>
      </c>
      <c r="H732" t="s">
        <v>14</v>
      </c>
      <c r="I732" t="s">
        <v>31</v>
      </c>
    </row>
    <row r="733" spans="1:9" x14ac:dyDescent="0.45">
      <c r="A733" t="s">
        <v>5129</v>
      </c>
      <c r="B733" s="2">
        <v>46179</v>
      </c>
      <c r="C733" t="s">
        <v>66</v>
      </c>
      <c r="D733" t="s">
        <v>5130</v>
      </c>
      <c r="E733" t="s">
        <v>75</v>
      </c>
      <c r="F733">
        <v>3</v>
      </c>
      <c r="G733" t="s">
        <v>24</v>
      </c>
      <c r="H733" t="s">
        <v>25</v>
      </c>
      <c r="I733" t="s">
        <v>47</v>
      </c>
    </row>
    <row r="734" spans="1:9" x14ac:dyDescent="0.45">
      <c r="A734" t="s">
        <v>5131</v>
      </c>
      <c r="B734" s="2">
        <v>46170</v>
      </c>
      <c r="C734" t="s">
        <v>49</v>
      </c>
      <c r="D734" t="s">
        <v>5132</v>
      </c>
      <c r="E734" t="s">
        <v>42</v>
      </c>
      <c r="F734">
        <v>7</v>
      </c>
      <c r="G734" t="s">
        <v>55</v>
      </c>
      <c r="H734" t="s">
        <v>72</v>
      </c>
      <c r="I734" t="s">
        <v>39</v>
      </c>
    </row>
    <row r="735" spans="1:9" x14ac:dyDescent="0.45">
      <c r="A735" t="s">
        <v>5133</v>
      </c>
      <c r="B735" s="2">
        <v>46200</v>
      </c>
      <c r="C735" t="s">
        <v>66</v>
      </c>
      <c r="D735" t="s">
        <v>5134</v>
      </c>
      <c r="E735" t="s">
        <v>75</v>
      </c>
      <c r="F735">
        <v>3</v>
      </c>
      <c r="G735" t="s">
        <v>13</v>
      </c>
      <c r="H735" t="s">
        <v>14</v>
      </c>
      <c r="I735" t="s">
        <v>39</v>
      </c>
    </row>
    <row r="736" spans="1:9" x14ac:dyDescent="0.45">
      <c r="A736" t="s">
        <v>5135</v>
      </c>
      <c r="B736" s="2">
        <v>46056</v>
      </c>
      <c r="C736" t="s">
        <v>52</v>
      </c>
      <c r="D736" t="s">
        <v>5136</v>
      </c>
      <c r="E736" t="s">
        <v>30</v>
      </c>
      <c r="F736">
        <v>5</v>
      </c>
      <c r="G736" t="s">
        <v>13</v>
      </c>
      <c r="H736" t="s">
        <v>14</v>
      </c>
      <c r="I736" t="s">
        <v>47</v>
      </c>
    </row>
    <row r="737" spans="1:9" x14ac:dyDescent="0.45">
      <c r="A737" t="s">
        <v>5137</v>
      </c>
      <c r="B737" s="2">
        <v>46183</v>
      </c>
      <c r="C737" t="s">
        <v>49</v>
      </c>
      <c r="D737" t="s">
        <v>5138</v>
      </c>
      <c r="E737" t="s">
        <v>46</v>
      </c>
      <c r="F737">
        <v>9</v>
      </c>
      <c r="G737" t="s">
        <v>18</v>
      </c>
      <c r="H737" t="s">
        <v>14</v>
      </c>
      <c r="I737" t="s">
        <v>31</v>
      </c>
    </row>
    <row r="738" spans="1:9" x14ac:dyDescent="0.45">
      <c r="A738" t="s">
        <v>5139</v>
      </c>
      <c r="B738" s="2">
        <v>46110</v>
      </c>
      <c r="C738" t="s">
        <v>52</v>
      </c>
      <c r="D738" t="s">
        <v>5140</v>
      </c>
      <c r="E738" t="s">
        <v>46</v>
      </c>
      <c r="F738">
        <v>1</v>
      </c>
      <c r="G738" t="s">
        <v>68</v>
      </c>
      <c r="H738" t="s">
        <v>25</v>
      </c>
      <c r="I738" t="s">
        <v>60</v>
      </c>
    </row>
    <row r="739" spans="1:9" x14ac:dyDescent="0.45">
      <c r="A739" t="s">
        <v>5141</v>
      </c>
      <c r="B739" s="2">
        <v>46129</v>
      </c>
      <c r="C739" t="s">
        <v>66</v>
      </c>
      <c r="D739" t="s">
        <v>5142</v>
      </c>
      <c r="E739" t="s">
        <v>75</v>
      </c>
      <c r="F739">
        <v>1</v>
      </c>
      <c r="G739" t="s">
        <v>35</v>
      </c>
      <c r="H739" t="s">
        <v>25</v>
      </c>
      <c r="I739" t="s">
        <v>47</v>
      </c>
    </row>
    <row r="740" spans="1:9" x14ac:dyDescent="0.45">
      <c r="A740" t="s">
        <v>5143</v>
      </c>
      <c r="B740" s="2">
        <v>46117</v>
      </c>
      <c r="C740" t="s">
        <v>16</v>
      </c>
      <c r="D740" t="s">
        <v>5144</v>
      </c>
      <c r="E740" t="s">
        <v>7974</v>
      </c>
      <c r="F740">
        <v>5</v>
      </c>
      <c r="G740" t="s">
        <v>55</v>
      </c>
      <c r="H740" t="s">
        <v>72</v>
      </c>
      <c r="I740" t="s">
        <v>39</v>
      </c>
    </row>
    <row r="741" spans="1:9" x14ac:dyDescent="0.45">
      <c r="A741" t="s">
        <v>5145</v>
      </c>
      <c r="B741" s="2">
        <v>46244</v>
      </c>
      <c r="C741" t="s">
        <v>52</v>
      </c>
      <c r="D741" t="s">
        <v>5146</v>
      </c>
      <c r="E741" t="s">
        <v>1495</v>
      </c>
      <c r="F741">
        <v>12</v>
      </c>
      <c r="G741" t="s">
        <v>35</v>
      </c>
      <c r="H741" t="s">
        <v>25</v>
      </c>
      <c r="I741" t="s">
        <v>47</v>
      </c>
    </row>
    <row r="742" spans="1:9" x14ac:dyDescent="0.45">
      <c r="A742" t="s">
        <v>5147</v>
      </c>
      <c r="B742" s="2">
        <v>46245</v>
      </c>
      <c r="C742" t="s">
        <v>52</v>
      </c>
      <c r="D742" t="s">
        <v>5148</v>
      </c>
      <c r="E742" t="s">
        <v>46</v>
      </c>
      <c r="F742">
        <v>2</v>
      </c>
      <c r="G742" t="s">
        <v>35</v>
      </c>
      <c r="H742" t="s">
        <v>25</v>
      </c>
      <c r="I742" t="s">
        <v>39</v>
      </c>
    </row>
    <row r="743" spans="1:9" x14ac:dyDescent="0.45">
      <c r="A743" t="s">
        <v>5149</v>
      </c>
      <c r="B743" s="2">
        <v>46063</v>
      </c>
      <c r="C743" t="s">
        <v>28</v>
      </c>
      <c r="D743" t="s">
        <v>5150</v>
      </c>
      <c r="E743" t="s">
        <v>23</v>
      </c>
      <c r="F743">
        <v>7</v>
      </c>
      <c r="G743" t="s">
        <v>24</v>
      </c>
      <c r="H743" t="s">
        <v>25</v>
      </c>
      <c r="I743" t="s">
        <v>31</v>
      </c>
    </row>
    <row r="744" spans="1:9" x14ac:dyDescent="0.45">
      <c r="A744" t="s">
        <v>5151</v>
      </c>
      <c r="B744" s="2">
        <v>46172</v>
      </c>
      <c r="C744" t="s">
        <v>66</v>
      </c>
      <c r="D744" t="s">
        <v>5152</v>
      </c>
      <c r="E744" t="s">
        <v>30</v>
      </c>
      <c r="F744">
        <v>12</v>
      </c>
      <c r="G744" t="s">
        <v>55</v>
      </c>
      <c r="H744" t="s">
        <v>72</v>
      </c>
      <c r="I744" t="s">
        <v>39</v>
      </c>
    </row>
    <row r="745" spans="1:9" x14ac:dyDescent="0.45">
      <c r="A745" t="s">
        <v>5153</v>
      </c>
      <c r="B745" s="2">
        <v>46027</v>
      </c>
      <c r="C745" t="s">
        <v>16</v>
      </c>
      <c r="D745" t="s">
        <v>5154</v>
      </c>
      <c r="E745" t="s">
        <v>23</v>
      </c>
      <c r="F745">
        <v>11</v>
      </c>
      <c r="G745" t="s">
        <v>43</v>
      </c>
      <c r="H745" t="s">
        <v>14</v>
      </c>
      <c r="I745" t="s">
        <v>19</v>
      </c>
    </row>
    <row r="746" spans="1:9" x14ac:dyDescent="0.45">
      <c r="A746" t="s">
        <v>5155</v>
      </c>
      <c r="B746" s="2">
        <v>46077</v>
      </c>
      <c r="C746" t="s">
        <v>21</v>
      </c>
      <c r="D746" t="s">
        <v>5156</v>
      </c>
      <c r="E746" t="s">
        <v>34</v>
      </c>
      <c r="F746">
        <v>7</v>
      </c>
      <c r="G746" t="s">
        <v>55</v>
      </c>
      <c r="H746" t="s">
        <v>72</v>
      </c>
      <c r="I746" t="s">
        <v>47</v>
      </c>
    </row>
    <row r="747" spans="1:9" x14ac:dyDescent="0.45">
      <c r="A747" t="s">
        <v>5157</v>
      </c>
      <c r="B747" s="2">
        <v>46245</v>
      </c>
      <c r="C747" t="s">
        <v>28</v>
      </c>
      <c r="D747" t="s">
        <v>5158</v>
      </c>
      <c r="E747" t="s">
        <v>7974</v>
      </c>
      <c r="F747">
        <v>10</v>
      </c>
      <c r="G747" t="s">
        <v>35</v>
      </c>
      <c r="H747" t="s">
        <v>25</v>
      </c>
      <c r="I747" t="s">
        <v>47</v>
      </c>
    </row>
    <row r="748" spans="1:9" x14ac:dyDescent="0.45">
      <c r="A748" t="s">
        <v>5159</v>
      </c>
      <c r="B748" s="2">
        <v>46073</v>
      </c>
      <c r="C748" t="s">
        <v>16</v>
      </c>
      <c r="D748" t="s">
        <v>5160</v>
      </c>
      <c r="E748" t="s">
        <v>38</v>
      </c>
      <c r="F748">
        <v>7</v>
      </c>
      <c r="G748" t="s">
        <v>18</v>
      </c>
      <c r="H748" t="s">
        <v>14</v>
      </c>
      <c r="I748" t="s">
        <v>31</v>
      </c>
    </row>
    <row r="749" spans="1:9" x14ac:dyDescent="0.45">
      <c r="A749" t="s">
        <v>5161</v>
      </c>
      <c r="B749" s="2">
        <v>46201</v>
      </c>
      <c r="C749" t="s">
        <v>66</v>
      </c>
      <c r="D749" t="s">
        <v>5162</v>
      </c>
      <c r="E749" t="s">
        <v>7973</v>
      </c>
      <c r="F749">
        <v>2</v>
      </c>
      <c r="G749" t="s">
        <v>13</v>
      </c>
      <c r="H749" t="s">
        <v>14</v>
      </c>
      <c r="I749" t="s">
        <v>60</v>
      </c>
    </row>
    <row r="750" spans="1:9" x14ac:dyDescent="0.45">
      <c r="A750" t="s">
        <v>5163</v>
      </c>
      <c r="B750" s="2">
        <v>46056</v>
      </c>
      <c r="C750" t="s">
        <v>28</v>
      </c>
      <c r="D750" t="s">
        <v>5164</v>
      </c>
      <c r="E750" t="s">
        <v>46</v>
      </c>
      <c r="F750">
        <v>9</v>
      </c>
      <c r="G750" t="s">
        <v>59</v>
      </c>
      <c r="H750" t="s">
        <v>14</v>
      </c>
      <c r="I750" t="s">
        <v>60</v>
      </c>
    </row>
    <row r="751" spans="1:9" x14ac:dyDescent="0.45">
      <c r="A751" t="s">
        <v>5165</v>
      </c>
      <c r="B751" s="2">
        <v>46099</v>
      </c>
      <c r="C751" t="s">
        <v>10</v>
      </c>
      <c r="D751" t="s">
        <v>5166</v>
      </c>
      <c r="E751" t="s">
        <v>30</v>
      </c>
      <c r="F751">
        <v>9</v>
      </c>
      <c r="G751" t="s">
        <v>24</v>
      </c>
      <c r="H751" t="s">
        <v>25</v>
      </c>
      <c r="I751" t="s">
        <v>26</v>
      </c>
    </row>
    <row r="752" spans="1:9" x14ac:dyDescent="0.45">
      <c r="A752" t="s">
        <v>5167</v>
      </c>
      <c r="B752" s="2">
        <v>46259</v>
      </c>
      <c r="C752" t="s">
        <v>99</v>
      </c>
      <c r="D752" t="s">
        <v>5168</v>
      </c>
      <c r="E752" t="s">
        <v>75</v>
      </c>
      <c r="F752">
        <v>5</v>
      </c>
      <c r="G752" t="s">
        <v>43</v>
      </c>
      <c r="H752" t="s">
        <v>14</v>
      </c>
      <c r="I752" t="s">
        <v>47</v>
      </c>
    </row>
    <row r="753" spans="1:9" x14ac:dyDescent="0.45">
      <c r="A753" t="s">
        <v>5169</v>
      </c>
      <c r="B753" s="2">
        <v>46253</v>
      </c>
      <c r="C753" t="s">
        <v>52</v>
      </c>
      <c r="D753" t="s">
        <v>5170</v>
      </c>
      <c r="E753" t="s">
        <v>42</v>
      </c>
      <c r="F753">
        <v>7</v>
      </c>
      <c r="G753" t="s">
        <v>68</v>
      </c>
      <c r="H753" t="s">
        <v>25</v>
      </c>
      <c r="I753" t="s">
        <v>31</v>
      </c>
    </row>
    <row r="754" spans="1:9" x14ac:dyDescent="0.45">
      <c r="A754" t="s">
        <v>5171</v>
      </c>
      <c r="B754" s="2">
        <v>46226</v>
      </c>
      <c r="C754" t="s">
        <v>28</v>
      </c>
      <c r="D754" t="s">
        <v>5172</v>
      </c>
      <c r="E754" t="s">
        <v>75</v>
      </c>
      <c r="F754">
        <v>7</v>
      </c>
      <c r="G754" t="s">
        <v>55</v>
      </c>
      <c r="H754" t="s">
        <v>72</v>
      </c>
      <c r="I754" t="s">
        <v>60</v>
      </c>
    </row>
    <row r="755" spans="1:9" x14ac:dyDescent="0.45">
      <c r="A755" t="s">
        <v>5173</v>
      </c>
      <c r="B755" s="2">
        <v>46211</v>
      </c>
      <c r="C755" t="s">
        <v>52</v>
      </c>
      <c r="D755" t="s">
        <v>5174</v>
      </c>
      <c r="E755" t="s">
        <v>38</v>
      </c>
      <c r="F755">
        <v>12</v>
      </c>
      <c r="G755" t="s">
        <v>13</v>
      </c>
      <c r="H755" t="s">
        <v>14</v>
      </c>
      <c r="I755" t="s">
        <v>31</v>
      </c>
    </row>
    <row r="756" spans="1:9" x14ac:dyDescent="0.45">
      <c r="A756" t="s">
        <v>5175</v>
      </c>
      <c r="B756" s="2">
        <v>46104</v>
      </c>
      <c r="C756" t="s">
        <v>52</v>
      </c>
      <c r="D756" t="s">
        <v>5176</v>
      </c>
      <c r="E756" t="s">
        <v>1370</v>
      </c>
      <c r="F756">
        <v>8</v>
      </c>
      <c r="G756" t="s">
        <v>18</v>
      </c>
      <c r="H756" t="s">
        <v>14</v>
      </c>
      <c r="I756" t="s">
        <v>31</v>
      </c>
    </row>
    <row r="757" spans="1:9" x14ac:dyDescent="0.45">
      <c r="A757" t="s">
        <v>5177</v>
      </c>
      <c r="B757" s="2">
        <v>46185</v>
      </c>
      <c r="C757" t="s">
        <v>16</v>
      </c>
      <c r="D757" t="s">
        <v>5178</v>
      </c>
      <c r="E757" t="s">
        <v>7973</v>
      </c>
      <c r="F757">
        <v>12</v>
      </c>
      <c r="G757" t="s">
        <v>59</v>
      </c>
      <c r="H757" t="s">
        <v>14</v>
      </c>
      <c r="I757" t="s">
        <v>19</v>
      </c>
    </row>
    <row r="758" spans="1:9" x14ac:dyDescent="0.45">
      <c r="A758" t="s">
        <v>5179</v>
      </c>
      <c r="B758" s="2">
        <v>46182</v>
      </c>
      <c r="C758" t="s">
        <v>28</v>
      </c>
      <c r="D758" t="s">
        <v>5180</v>
      </c>
      <c r="E758" t="s">
        <v>23</v>
      </c>
      <c r="F758">
        <v>3</v>
      </c>
      <c r="G758" t="s">
        <v>13</v>
      </c>
      <c r="H758" t="s">
        <v>14</v>
      </c>
      <c r="I758" t="s">
        <v>39</v>
      </c>
    </row>
    <row r="759" spans="1:9" x14ac:dyDescent="0.45">
      <c r="A759" t="s">
        <v>5181</v>
      </c>
      <c r="B759" s="2">
        <v>46194</v>
      </c>
      <c r="C759" t="s">
        <v>28</v>
      </c>
      <c r="D759" t="s">
        <v>5182</v>
      </c>
      <c r="E759" t="s">
        <v>71</v>
      </c>
      <c r="F759">
        <v>9</v>
      </c>
      <c r="G759" t="s">
        <v>68</v>
      </c>
      <c r="H759" t="s">
        <v>25</v>
      </c>
      <c r="I759" t="s">
        <v>31</v>
      </c>
    </row>
    <row r="760" spans="1:9" x14ac:dyDescent="0.45">
      <c r="A760" t="s">
        <v>5183</v>
      </c>
      <c r="B760" s="2">
        <v>46044</v>
      </c>
      <c r="C760" t="s">
        <v>66</v>
      </c>
      <c r="D760" t="s">
        <v>5184</v>
      </c>
      <c r="E760" t="s">
        <v>23</v>
      </c>
      <c r="F760">
        <v>8</v>
      </c>
      <c r="G760" t="s">
        <v>59</v>
      </c>
      <c r="H760" t="s">
        <v>14</v>
      </c>
      <c r="I760" t="s">
        <v>31</v>
      </c>
    </row>
    <row r="761" spans="1:9" x14ac:dyDescent="0.45">
      <c r="A761" t="s">
        <v>5185</v>
      </c>
      <c r="B761" s="2">
        <v>46032</v>
      </c>
      <c r="C761" t="s">
        <v>10</v>
      </c>
      <c r="D761" t="s">
        <v>5186</v>
      </c>
      <c r="E761" t="s">
        <v>23</v>
      </c>
      <c r="F761">
        <v>4</v>
      </c>
      <c r="G761" t="s">
        <v>7967</v>
      </c>
      <c r="H761" t="s">
        <v>25</v>
      </c>
      <c r="I761" t="s">
        <v>39</v>
      </c>
    </row>
    <row r="762" spans="1:9" x14ac:dyDescent="0.45">
      <c r="A762" t="s">
        <v>5187</v>
      </c>
      <c r="B762" s="2">
        <v>46035</v>
      </c>
      <c r="C762" t="s">
        <v>16</v>
      </c>
      <c r="D762" t="s">
        <v>5188</v>
      </c>
      <c r="E762" t="s">
        <v>75</v>
      </c>
      <c r="F762">
        <v>2</v>
      </c>
      <c r="G762" t="s">
        <v>55</v>
      </c>
      <c r="H762" t="s">
        <v>72</v>
      </c>
      <c r="I762" t="s">
        <v>60</v>
      </c>
    </row>
    <row r="763" spans="1:9" x14ac:dyDescent="0.45">
      <c r="A763" t="s">
        <v>5189</v>
      </c>
      <c r="B763" s="2">
        <v>46086</v>
      </c>
      <c r="C763" t="s">
        <v>28</v>
      </c>
      <c r="D763" t="s">
        <v>5190</v>
      </c>
      <c r="E763" t="s">
        <v>34</v>
      </c>
      <c r="F763">
        <v>10</v>
      </c>
      <c r="G763" t="s">
        <v>43</v>
      </c>
      <c r="H763" t="s">
        <v>14</v>
      </c>
      <c r="I763" t="s">
        <v>47</v>
      </c>
    </row>
    <row r="764" spans="1:9" x14ac:dyDescent="0.45">
      <c r="A764" t="s">
        <v>5191</v>
      </c>
      <c r="B764" s="2">
        <v>46043</v>
      </c>
      <c r="C764" t="s">
        <v>16</v>
      </c>
      <c r="D764" t="s">
        <v>5192</v>
      </c>
      <c r="E764" t="s">
        <v>30</v>
      </c>
      <c r="F764">
        <v>3</v>
      </c>
      <c r="G764" t="s">
        <v>55</v>
      </c>
      <c r="H764" t="s">
        <v>72</v>
      </c>
      <c r="I764" t="s">
        <v>31</v>
      </c>
    </row>
    <row r="765" spans="1:9" x14ac:dyDescent="0.45">
      <c r="A765" t="s">
        <v>5193</v>
      </c>
      <c r="B765" s="2">
        <v>46041</v>
      </c>
      <c r="C765" t="s">
        <v>66</v>
      </c>
      <c r="D765" t="s">
        <v>5194</v>
      </c>
      <c r="E765" t="s">
        <v>30</v>
      </c>
      <c r="F765">
        <v>4</v>
      </c>
      <c r="G765" t="s">
        <v>59</v>
      </c>
      <c r="H765" t="s">
        <v>14</v>
      </c>
      <c r="I765" t="s">
        <v>26</v>
      </c>
    </row>
    <row r="766" spans="1:9" x14ac:dyDescent="0.45">
      <c r="A766" t="s">
        <v>5195</v>
      </c>
      <c r="B766" s="2">
        <v>46130</v>
      </c>
      <c r="C766" t="s">
        <v>66</v>
      </c>
      <c r="D766" t="s">
        <v>5196</v>
      </c>
      <c r="E766" t="s">
        <v>71</v>
      </c>
      <c r="F766">
        <v>10</v>
      </c>
      <c r="G766" t="s">
        <v>24</v>
      </c>
      <c r="H766" t="s">
        <v>25</v>
      </c>
      <c r="I766" t="s">
        <v>26</v>
      </c>
    </row>
    <row r="767" spans="1:9" x14ac:dyDescent="0.45">
      <c r="A767" t="s">
        <v>5197</v>
      </c>
      <c r="B767" s="2">
        <v>46187</v>
      </c>
      <c r="C767" t="s">
        <v>66</v>
      </c>
      <c r="D767" t="s">
        <v>5198</v>
      </c>
      <c r="E767" t="s">
        <v>58</v>
      </c>
      <c r="F767">
        <v>3</v>
      </c>
      <c r="G767" t="s">
        <v>68</v>
      </c>
      <c r="H767" t="s">
        <v>25</v>
      </c>
      <c r="I767" t="s">
        <v>31</v>
      </c>
    </row>
    <row r="768" spans="1:9" x14ac:dyDescent="0.45">
      <c r="A768" t="s">
        <v>5199</v>
      </c>
      <c r="B768" s="2">
        <v>46187</v>
      </c>
      <c r="C768" t="s">
        <v>49</v>
      </c>
      <c r="D768" t="s">
        <v>5200</v>
      </c>
      <c r="E768" t="s">
        <v>75</v>
      </c>
      <c r="F768">
        <v>8</v>
      </c>
      <c r="G768" t="s">
        <v>18</v>
      </c>
      <c r="H768" t="s">
        <v>14</v>
      </c>
      <c r="I768" t="s">
        <v>47</v>
      </c>
    </row>
    <row r="769" spans="1:9" x14ac:dyDescent="0.45">
      <c r="A769" t="s">
        <v>5201</v>
      </c>
      <c r="B769" s="2">
        <v>46046</v>
      </c>
      <c r="C769" t="s">
        <v>66</v>
      </c>
      <c r="D769" t="s">
        <v>5202</v>
      </c>
      <c r="E769" t="s">
        <v>34</v>
      </c>
      <c r="F769">
        <v>4</v>
      </c>
      <c r="G769" t="s">
        <v>13</v>
      </c>
      <c r="H769" t="s">
        <v>14</v>
      </c>
      <c r="I769" t="s">
        <v>39</v>
      </c>
    </row>
    <row r="770" spans="1:9" x14ac:dyDescent="0.45">
      <c r="A770" t="s">
        <v>5203</v>
      </c>
      <c r="B770" s="2">
        <v>46175</v>
      </c>
      <c r="C770" t="s">
        <v>66</v>
      </c>
      <c r="D770" t="s">
        <v>5204</v>
      </c>
      <c r="E770" t="s">
        <v>42</v>
      </c>
      <c r="F770">
        <v>12</v>
      </c>
      <c r="G770" t="s">
        <v>18</v>
      </c>
      <c r="H770" t="s">
        <v>14</v>
      </c>
      <c r="I770" t="s">
        <v>60</v>
      </c>
    </row>
    <row r="771" spans="1:9" x14ac:dyDescent="0.45">
      <c r="A771" t="s">
        <v>5205</v>
      </c>
      <c r="B771" s="2">
        <v>46196</v>
      </c>
      <c r="C771" t="s">
        <v>21</v>
      </c>
      <c r="D771" t="s">
        <v>5206</v>
      </c>
      <c r="E771" t="s">
        <v>7974</v>
      </c>
      <c r="F771">
        <v>2</v>
      </c>
      <c r="G771" t="s">
        <v>68</v>
      </c>
      <c r="H771" t="s">
        <v>25</v>
      </c>
      <c r="I771" t="s">
        <v>39</v>
      </c>
    </row>
    <row r="772" spans="1:9" x14ac:dyDescent="0.45">
      <c r="A772" t="s">
        <v>5207</v>
      </c>
      <c r="B772" s="2">
        <v>46051</v>
      </c>
      <c r="C772" t="s">
        <v>49</v>
      </c>
      <c r="D772" t="s">
        <v>5208</v>
      </c>
      <c r="E772" t="s">
        <v>58</v>
      </c>
      <c r="F772">
        <v>1</v>
      </c>
      <c r="G772" t="s">
        <v>18</v>
      </c>
      <c r="H772" t="s">
        <v>14</v>
      </c>
      <c r="I772" t="s">
        <v>26</v>
      </c>
    </row>
    <row r="773" spans="1:9" x14ac:dyDescent="0.45">
      <c r="A773" t="s">
        <v>5209</v>
      </c>
      <c r="B773" s="2">
        <v>46161</v>
      </c>
      <c r="C773" t="s">
        <v>10</v>
      </c>
      <c r="D773" t="s">
        <v>5210</v>
      </c>
      <c r="E773" t="s">
        <v>58</v>
      </c>
      <c r="F773">
        <v>4</v>
      </c>
      <c r="G773" t="s">
        <v>35</v>
      </c>
      <c r="H773" t="s">
        <v>25</v>
      </c>
      <c r="I773" t="s">
        <v>60</v>
      </c>
    </row>
    <row r="774" spans="1:9" x14ac:dyDescent="0.45">
      <c r="A774" t="s">
        <v>5211</v>
      </c>
      <c r="B774" s="2">
        <v>46221</v>
      </c>
      <c r="C774" t="s">
        <v>16</v>
      </c>
      <c r="D774" t="s">
        <v>5212</v>
      </c>
      <c r="E774" t="s">
        <v>7973</v>
      </c>
      <c r="F774">
        <v>4</v>
      </c>
      <c r="G774" t="s">
        <v>18</v>
      </c>
      <c r="H774" t="s">
        <v>14</v>
      </c>
      <c r="I774" t="s">
        <v>47</v>
      </c>
    </row>
    <row r="775" spans="1:9" x14ac:dyDescent="0.45">
      <c r="A775" t="s">
        <v>5213</v>
      </c>
      <c r="B775" s="2">
        <v>46183</v>
      </c>
      <c r="C775" t="s">
        <v>66</v>
      </c>
      <c r="D775" t="s">
        <v>5214</v>
      </c>
      <c r="E775" t="s">
        <v>7973</v>
      </c>
      <c r="F775">
        <v>1</v>
      </c>
      <c r="G775" t="s">
        <v>68</v>
      </c>
      <c r="H775" t="s">
        <v>25</v>
      </c>
      <c r="I775" t="s">
        <v>60</v>
      </c>
    </row>
    <row r="776" spans="1:9" x14ac:dyDescent="0.45">
      <c r="A776" t="s">
        <v>5215</v>
      </c>
      <c r="B776" s="2">
        <v>46049</v>
      </c>
      <c r="C776" t="s">
        <v>52</v>
      </c>
      <c r="D776" t="s">
        <v>5216</v>
      </c>
      <c r="E776" t="s">
        <v>7974</v>
      </c>
      <c r="F776">
        <v>7</v>
      </c>
      <c r="G776" t="s">
        <v>59</v>
      </c>
      <c r="H776" t="s">
        <v>14</v>
      </c>
      <c r="I776" t="s">
        <v>31</v>
      </c>
    </row>
    <row r="777" spans="1:9" x14ac:dyDescent="0.45">
      <c r="A777" t="s">
        <v>5217</v>
      </c>
      <c r="B777" s="2">
        <v>46047</v>
      </c>
      <c r="C777" t="s">
        <v>28</v>
      </c>
      <c r="D777" t="s">
        <v>5218</v>
      </c>
      <c r="E777" t="s">
        <v>75</v>
      </c>
      <c r="F777">
        <v>8</v>
      </c>
      <c r="G777" t="s">
        <v>18</v>
      </c>
      <c r="H777" t="s">
        <v>14</v>
      </c>
      <c r="I777" t="s">
        <v>26</v>
      </c>
    </row>
    <row r="778" spans="1:9" x14ac:dyDescent="0.45">
      <c r="A778" t="s">
        <v>5219</v>
      </c>
      <c r="B778" s="2">
        <v>46165</v>
      </c>
      <c r="C778" t="s">
        <v>16</v>
      </c>
      <c r="D778" t="s">
        <v>5220</v>
      </c>
      <c r="E778" t="s">
        <v>58</v>
      </c>
      <c r="F778">
        <v>11</v>
      </c>
      <c r="G778" t="s">
        <v>13</v>
      </c>
      <c r="H778" t="s">
        <v>14</v>
      </c>
      <c r="I778" t="s">
        <v>19</v>
      </c>
    </row>
    <row r="779" spans="1:9" x14ac:dyDescent="0.45">
      <c r="A779" t="s">
        <v>5221</v>
      </c>
      <c r="B779" s="2">
        <v>46141</v>
      </c>
      <c r="C779" t="s">
        <v>99</v>
      </c>
      <c r="D779" t="s">
        <v>5222</v>
      </c>
      <c r="E779" t="s">
        <v>34</v>
      </c>
      <c r="F779">
        <v>1</v>
      </c>
      <c r="G779" t="s">
        <v>13</v>
      </c>
      <c r="H779" t="s">
        <v>14</v>
      </c>
      <c r="I779" t="s">
        <v>60</v>
      </c>
    </row>
    <row r="780" spans="1:9" x14ac:dyDescent="0.45">
      <c r="A780" t="s">
        <v>5223</v>
      </c>
      <c r="B780" s="2">
        <v>46116</v>
      </c>
      <c r="C780" t="s">
        <v>16</v>
      </c>
      <c r="D780" t="s">
        <v>5224</v>
      </c>
      <c r="E780" t="s">
        <v>866</v>
      </c>
      <c r="F780">
        <v>10</v>
      </c>
      <c r="G780" t="s">
        <v>68</v>
      </c>
      <c r="H780" t="s">
        <v>25</v>
      </c>
      <c r="I780" t="s">
        <v>31</v>
      </c>
    </row>
    <row r="781" spans="1:9" x14ac:dyDescent="0.45">
      <c r="A781" t="s">
        <v>5225</v>
      </c>
      <c r="B781" s="2">
        <v>46238</v>
      </c>
      <c r="C781" t="s">
        <v>16</v>
      </c>
      <c r="D781" t="s">
        <v>5226</v>
      </c>
      <c r="E781" t="s">
        <v>42</v>
      </c>
      <c r="F781">
        <v>8</v>
      </c>
      <c r="G781" t="s">
        <v>24</v>
      </c>
      <c r="H781" t="s">
        <v>25</v>
      </c>
      <c r="I781" t="s">
        <v>47</v>
      </c>
    </row>
    <row r="782" spans="1:9" x14ac:dyDescent="0.45">
      <c r="A782" t="s">
        <v>5227</v>
      </c>
      <c r="B782" s="2">
        <v>46228</v>
      </c>
      <c r="C782" t="s">
        <v>21</v>
      </c>
      <c r="D782" t="s">
        <v>5228</v>
      </c>
      <c r="E782" t="s">
        <v>58</v>
      </c>
      <c r="F782">
        <v>2</v>
      </c>
      <c r="G782" t="s">
        <v>24</v>
      </c>
      <c r="H782" t="s">
        <v>25</v>
      </c>
      <c r="I782" t="s">
        <v>60</v>
      </c>
    </row>
    <row r="783" spans="1:9" x14ac:dyDescent="0.45">
      <c r="A783" t="s">
        <v>5229</v>
      </c>
      <c r="B783" s="2">
        <v>46197</v>
      </c>
      <c r="C783" t="s">
        <v>28</v>
      </c>
      <c r="D783" t="s">
        <v>5230</v>
      </c>
      <c r="E783" t="s">
        <v>58</v>
      </c>
      <c r="F783">
        <v>7</v>
      </c>
      <c r="G783" t="s">
        <v>24</v>
      </c>
      <c r="H783" t="s">
        <v>25</v>
      </c>
      <c r="I783" t="s">
        <v>39</v>
      </c>
    </row>
    <row r="784" spans="1:9" x14ac:dyDescent="0.45">
      <c r="A784" t="s">
        <v>5231</v>
      </c>
      <c r="B784" s="2">
        <v>46150</v>
      </c>
      <c r="C784" t="s">
        <v>10</v>
      </c>
      <c r="D784" t="s">
        <v>5232</v>
      </c>
      <c r="E784" t="s">
        <v>58</v>
      </c>
      <c r="F784">
        <v>9</v>
      </c>
      <c r="G784" t="s">
        <v>18</v>
      </c>
      <c r="H784" t="s">
        <v>14</v>
      </c>
      <c r="I784" t="s">
        <v>39</v>
      </c>
    </row>
    <row r="785" spans="1:9" x14ac:dyDescent="0.45">
      <c r="A785" t="s">
        <v>5233</v>
      </c>
      <c r="B785" s="2">
        <v>46098</v>
      </c>
      <c r="C785" t="s">
        <v>16</v>
      </c>
      <c r="D785" t="s">
        <v>5234</v>
      </c>
      <c r="E785" t="s">
        <v>42</v>
      </c>
      <c r="F785">
        <v>12</v>
      </c>
      <c r="G785" t="s">
        <v>24</v>
      </c>
      <c r="H785" t="s">
        <v>25</v>
      </c>
      <c r="I785" t="s">
        <v>39</v>
      </c>
    </row>
    <row r="786" spans="1:9" x14ac:dyDescent="0.45">
      <c r="A786" t="s">
        <v>5235</v>
      </c>
      <c r="B786" s="2">
        <v>46032</v>
      </c>
      <c r="C786" t="s">
        <v>66</v>
      </c>
      <c r="D786" t="s">
        <v>5236</v>
      </c>
      <c r="E786" t="s">
        <v>1370</v>
      </c>
      <c r="F786">
        <v>9</v>
      </c>
      <c r="G786" t="s">
        <v>35</v>
      </c>
      <c r="H786" t="s">
        <v>25</v>
      </c>
      <c r="I786" t="s">
        <v>47</v>
      </c>
    </row>
    <row r="787" spans="1:9" x14ac:dyDescent="0.45">
      <c r="A787" t="s">
        <v>5237</v>
      </c>
      <c r="B787" s="2">
        <v>46109</v>
      </c>
      <c r="C787" t="s">
        <v>16</v>
      </c>
      <c r="D787" t="s">
        <v>5238</v>
      </c>
      <c r="E787" t="s">
        <v>34</v>
      </c>
      <c r="F787">
        <v>8</v>
      </c>
      <c r="G787" t="s">
        <v>55</v>
      </c>
      <c r="H787" t="s">
        <v>72</v>
      </c>
      <c r="I787" t="s">
        <v>60</v>
      </c>
    </row>
    <row r="788" spans="1:9" x14ac:dyDescent="0.45">
      <c r="A788" t="s">
        <v>5239</v>
      </c>
      <c r="B788" s="2">
        <v>46239</v>
      </c>
      <c r="C788" t="s">
        <v>99</v>
      </c>
      <c r="D788" t="s">
        <v>5240</v>
      </c>
      <c r="E788" t="s">
        <v>71</v>
      </c>
      <c r="F788">
        <v>10</v>
      </c>
      <c r="G788" t="s">
        <v>59</v>
      </c>
      <c r="H788" t="s">
        <v>14</v>
      </c>
      <c r="I788" t="s">
        <v>47</v>
      </c>
    </row>
    <row r="789" spans="1:9" x14ac:dyDescent="0.45">
      <c r="A789" t="s">
        <v>5241</v>
      </c>
      <c r="B789" s="2">
        <v>46099</v>
      </c>
      <c r="C789" t="s">
        <v>49</v>
      </c>
      <c r="D789" t="s">
        <v>5242</v>
      </c>
      <c r="E789" t="s">
        <v>42</v>
      </c>
      <c r="F789">
        <v>4</v>
      </c>
      <c r="G789" t="s">
        <v>13</v>
      </c>
      <c r="H789" t="s">
        <v>14</v>
      </c>
      <c r="I789" t="s">
        <v>60</v>
      </c>
    </row>
    <row r="790" spans="1:9" x14ac:dyDescent="0.45">
      <c r="A790" t="s">
        <v>5243</v>
      </c>
      <c r="B790" s="2">
        <v>46268</v>
      </c>
      <c r="C790" t="s">
        <v>52</v>
      </c>
      <c r="D790" t="s">
        <v>5244</v>
      </c>
      <c r="E790" t="s">
        <v>30</v>
      </c>
      <c r="F790">
        <v>12</v>
      </c>
      <c r="G790" t="s">
        <v>68</v>
      </c>
      <c r="H790" t="s">
        <v>25</v>
      </c>
      <c r="I790" t="s">
        <v>26</v>
      </c>
    </row>
    <row r="791" spans="1:9" x14ac:dyDescent="0.45">
      <c r="A791" t="s">
        <v>5245</v>
      </c>
      <c r="B791" s="2">
        <v>46056</v>
      </c>
      <c r="C791" t="s">
        <v>21</v>
      </c>
      <c r="D791" t="s">
        <v>5246</v>
      </c>
      <c r="E791" t="s">
        <v>58</v>
      </c>
      <c r="F791">
        <v>1</v>
      </c>
      <c r="G791" t="s">
        <v>24</v>
      </c>
      <c r="H791" t="s">
        <v>25</v>
      </c>
      <c r="I791" t="s">
        <v>19</v>
      </c>
    </row>
    <row r="792" spans="1:9" x14ac:dyDescent="0.45">
      <c r="A792" t="s">
        <v>5247</v>
      </c>
      <c r="B792" s="2">
        <v>46244</v>
      </c>
      <c r="C792" t="s">
        <v>52</v>
      </c>
      <c r="D792" t="s">
        <v>5248</v>
      </c>
      <c r="E792" t="s">
        <v>42</v>
      </c>
      <c r="F792">
        <v>11</v>
      </c>
      <c r="G792" t="s">
        <v>13</v>
      </c>
      <c r="H792" t="s">
        <v>14</v>
      </c>
      <c r="I792" t="s">
        <v>39</v>
      </c>
    </row>
    <row r="793" spans="1:9" x14ac:dyDescent="0.45">
      <c r="A793" t="s">
        <v>5249</v>
      </c>
      <c r="B793" s="2">
        <v>46249</v>
      </c>
      <c r="C793" t="s">
        <v>28</v>
      </c>
      <c r="D793" t="s">
        <v>5250</v>
      </c>
      <c r="E793" t="s">
        <v>46</v>
      </c>
      <c r="F793">
        <v>6</v>
      </c>
      <c r="G793" t="s">
        <v>68</v>
      </c>
      <c r="H793" t="s">
        <v>25</v>
      </c>
      <c r="I793" t="s">
        <v>39</v>
      </c>
    </row>
    <row r="794" spans="1:9" x14ac:dyDescent="0.45">
      <c r="A794" t="s">
        <v>5251</v>
      </c>
      <c r="B794" s="2">
        <v>46266</v>
      </c>
      <c r="C794" t="s">
        <v>52</v>
      </c>
      <c r="D794" t="s">
        <v>5252</v>
      </c>
      <c r="E794" t="s">
        <v>449</v>
      </c>
      <c r="F794">
        <v>8</v>
      </c>
      <c r="G794" t="s">
        <v>13</v>
      </c>
      <c r="H794" t="s">
        <v>14</v>
      </c>
      <c r="I794" t="s">
        <v>19</v>
      </c>
    </row>
    <row r="795" spans="1:9" x14ac:dyDescent="0.45">
      <c r="A795" t="s">
        <v>5253</v>
      </c>
      <c r="B795" s="2">
        <v>46201</v>
      </c>
      <c r="C795" t="s">
        <v>52</v>
      </c>
      <c r="D795" t="s">
        <v>5254</v>
      </c>
      <c r="E795" t="s">
        <v>46</v>
      </c>
      <c r="F795">
        <v>12</v>
      </c>
      <c r="G795" t="s">
        <v>18</v>
      </c>
      <c r="H795" t="s">
        <v>14</v>
      </c>
      <c r="I795" t="s">
        <v>31</v>
      </c>
    </row>
    <row r="796" spans="1:9" x14ac:dyDescent="0.45">
      <c r="A796" t="s">
        <v>5255</v>
      </c>
      <c r="B796" s="2">
        <v>46115</v>
      </c>
      <c r="C796" t="s">
        <v>10</v>
      </c>
      <c r="D796" t="s">
        <v>5256</v>
      </c>
      <c r="E796" t="s">
        <v>71</v>
      </c>
      <c r="F796">
        <v>7</v>
      </c>
      <c r="G796" t="s">
        <v>24</v>
      </c>
      <c r="H796" t="s">
        <v>25</v>
      </c>
      <c r="I796" t="s">
        <v>39</v>
      </c>
    </row>
    <row r="797" spans="1:9" x14ac:dyDescent="0.45">
      <c r="A797" t="s">
        <v>5257</v>
      </c>
      <c r="B797" s="2">
        <v>46220</v>
      </c>
      <c r="C797" t="s">
        <v>10</v>
      </c>
      <c r="D797" t="s">
        <v>5258</v>
      </c>
      <c r="E797" t="s">
        <v>7973</v>
      </c>
      <c r="F797">
        <v>1</v>
      </c>
      <c r="G797" t="s">
        <v>68</v>
      </c>
      <c r="H797" t="s">
        <v>25</v>
      </c>
      <c r="I797" t="s">
        <v>26</v>
      </c>
    </row>
    <row r="798" spans="1:9" x14ac:dyDescent="0.45">
      <c r="A798" t="s">
        <v>5259</v>
      </c>
      <c r="B798" s="2">
        <v>46050</v>
      </c>
      <c r="C798" t="s">
        <v>10</v>
      </c>
      <c r="D798" t="s">
        <v>5260</v>
      </c>
      <c r="E798" t="s">
        <v>23</v>
      </c>
      <c r="F798">
        <v>11</v>
      </c>
      <c r="G798" t="s">
        <v>13</v>
      </c>
      <c r="H798" t="s">
        <v>14</v>
      </c>
      <c r="I798" t="s">
        <v>47</v>
      </c>
    </row>
    <row r="799" spans="1:9" x14ac:dyDescent="0.45">
      <c r="A799" t="s">
        <v>5261</v>
      </c>
      <c r="B799" s="2">
        <v>46226</v>
      </c>
      <c r="C799" t="s">
        <v>52</v>
      </c>
      <c r="D799" t="s">
        <v>5262</v>
      </c>
      <c r="E799" t="s">
        <v>42</v>
      </c>
      <c r="F799">
        <v>10</v>
      </c>
      <c r="G799" t="s">
        <v>35</v>
      </c>
      <c r="H799" t="s">
        <v>25</v>
      </c>
      <c r="I799" t="s">
        <v>31</v>
      </c>
    </row>
    <row r="800" spans="1:9" x14ac:dyDescent="0.45">
      <c r="A800" t="s">
        <v>5263</v>
      </c>
      <c r="B800" s="2">
        <v>46032</v>
      </c>
      <c r="C800" t="s">
        <v>10</v>
      </c>
      <c r="D800" t="s">
        <v>5264</v>
      </c>
      <c r="E800" t="s">
        <v>30</v>
      </c>
      <c r="F800">
        <v>2</v>
      </c>
      <c r="G800" t="s">
        <v>18</v>
      </c>
      <c r="H800" t="s">
        <v>14</v>
      </c>
      <c r="I800" t="s">
        <v>47</v>
      </c>
    </row>
    <row r="801" spans="1:9" x14ac:dyDescent="0.45">
      <c r="A801" t="s">
        <v>5265</v>
      </c>
      <c r="B801" s="2">
        <v>46137</v>
      </c>
      <c r="C801" t="s">
        <v>49</v>
      </c>
      <c r="D801" t="s">
        <v>5266</v>
      </c>
      <c r="E801" t="s">
        <v>42</v>
      </c>
      <c r="F801">
        <v>1</v>
      </c>
      <c r="G801" t="s">
        <v>68</v>
      </c>
      <c r="H801" t="s">
        <v>25</v>
      </c>
      <c r="I801" t="s">
        <v>47</v>
      </c>
    </row>
    <row r="802" spans="1:9" x14ac:dyDescent="0.45">
      <c r="A802" t="s">
        <v>5267</v>
      </c>
      <c r="B802" s="2">
        <v>46257</v>
      </c>
      <c r="C802" t="s">
        <v>16</v>
      </c>
      <c r="D802" t="s">
        <v>5268</v>
      </c>
      <c r="E802" t="s">
        <v>30</v>
      </c>
      <c r="F802">
        <v>4</v>
      </c>
      <c r="G802" t="s">
        <v>43</v>
      </c>
      <c r="H802" t="s">
        <v>14</v>
      </c>
      <c r="I802" t="s">
        <v>19</v>
      </c>
    </row>
    <row r="803" spans="1:9" x14ac:dyDescent="0.45">
      <c r="A803" t="s">
        <v>5269</v>
      </c>
      <c r="B803" s="2">
        <v>46169</v>
      </c>
      <c r="C803" t="s">
        <v>66</v>
      </c>
      <c r="D803" t="s">
        <v>5270</v>
      </c>
      <c r="E803" t="s">
        <v>42</v>
      </c>
      <c r="F803">
        <v>5</v>
      </c>
      <c r="G803" t="s">
        <v>24</v>
      </c>
      <c r="H803" t="s">
        <v>25</v>
      </c>
      <c r="I803" t="s">
        <v>60</v>
      </c>
    </row>
    <row r="804" spans="1:9" x14ac:dyDescent="0.45">
      <c r="A804" t="s">
        <v>5271</v>
      </c>
      <c r="B804" s="2">
        <v>46223</v>
      </c>
      <c r="C804" t="s">
        <v>99</v>
      </c>
      <c r="D804" t="s">
        <v>5272</v>
      </c>
      <c r="E804" t="s">
        <v>38</v>
      </c>
      <c r="F804">
        <v>11</v>
      </c>
      <c r="G804" t="s">
        <v>59</v>
      </c>
      <c r="H804" t="s">
        <v>14</v>
      </c>
      <c r="I804" t="s">
        <v>39</v>
      </c>
    </row>
    <row r="805" spans="1:9" x14ac:dyDescent="0.45">
      <c r="A805" t="s">
        <v>5273</v>
      </c>
      <c r="B805" s="2">
        <v>46083</v>
      </c>
      <c r="C805" t="s">
        <v>21</v>
      </c>
      <c r="D805" t="s">
        <v>5274</v>
      </c>
      <c r="E805" t="s">
        <v>449</v>
      </c>
      <c r="F805">
        <v>12</v>
      </c>
      <c r="G805" t="s">
        <v>68</v>
      </c>
      <c r="H805" t="s">
        <v>25</v>
      </c>
      <c r="I805" t="s">
        <v>19</v>
      </c>
    </row>
    <row r="806" spans="1:9" x14ac:dyDescent="0.45">
      <c r="A806" t="s">
        <v>5275</v>
      </c>
      <c r="B806" s="2">
        <v>46105</v>
      </c>
      <c r="C806" t="s">
        <v>10</v>
      </c>
      <c r="D806" t="s">
        <v>5276</v>
      </c>
      <c r="E806" t="s">
        <v>58</v>
      </c>
      <c r="F806">
        <v>4</v>
      </c>
      <c r="G806" t="s">
        <v>13</v>
      </c>
      <c r="H806" t="s">
        <v>14</v>
      </c>
      <c r="I806" t="s">
        <v>31</v>
      </c>
    </row>
    <row r="807" spans="1:9" x14ac:dyDescent="0.45">
      <c r="A807" t="s">
        <v>5277</v>
      </c>
      <c r="B807" s="2">
        <v>46264</v>
      </c>
      <c r="C807" t="s">
        <v>21</v>
      </c>
      <c r="D807" t="s">
        <v>5278</v>
      </c>
      <c r="E807" t="s">
        <v>54</v>
      </c>
      <c r="F807">
        <v>7</v>
      </c>
      <c r="G807" t="s">
        <v>13</v>
      </c>
      <c r="H807" t="s">
        <v>14</v>
      </c>
      <c r="I807" t="s">
        <v>31</v>
      </c>
    </row>
    <row r="808" spans="1:9" x14ac:dyDescent="0.45">
      <c r="A808" t="s">
        <v>5279</v>
      </c>
      <c r="B808" s="2">
        <v>46042</v>
      </c>
      <c r="C808" t="s">
        <v>10</v>
      </c>
      <c r="D808" t="s">
        <v>5280</v>
      </c>
      <c r="E808" t="s">
        <v>7974</v>
      </c>
      <c r="F808">
        <v>3</v>
      </c>
      <c r="G808" t="s">
        <v>59</v>
      </c>
      <c r="H808" t="s">
        <v>14</v>
      </c>
      <c r="I808" t="s">
        <v>47</v>
      </c>
    </row>
    <row r="809" spans="1:9" x14ac:dyDescent="0.45">
      <c r="A809" t="s">
        <v>5281</v>
      </c>
      <c r="B809" s="2">
        <v>46074</v>
      </c>
      <c r="C809" t="s">
        <v>99</v>
      </c>
      <c r="D809" t="s">
        <v>5282</v>
      </c>
      <c r="E809" t="s">
        <v>23</v>
      </c>
      <c r="F809">
        <v>6</v>
      </c>
      <c r="G809" t="s">
        <v>18</v>
      </c>
      <c r="H809" t="s">
        <v>14</v>
      </c>
      <c r="I809" t="s">
        <v>31</v>
      </c>
    </row>
    <row r="810" spans="1:9" x14ac:dyDescent="0.45">
      <c r="A810" t="s">
        <v>5283</v>
      </c>
      <c r="B810" s="2">
        <v>46058</v>
      </c>
      <c r="C810" t="s">
        <v>49</v>
      </c>
      <c r="D810" t="s">
        <v>5284</v>
      </c>
      <c r="E810" t="s">
        <v>34</v>
      </c>
      <c r="F810">
        <v>10</v>
      </c>
      <c r="G810" t="s">
        <v>59</v>
      </c>
      <c r="H810" t="s">
        <v>14</v>
      </c>
      <c r="I810" t="s">
        <v>26</v>
      </c>
    </row>
    <row r="811" spans="1:9" x14ac:dyDescent="0.45">
      <c r="A811" t="s">
        <v>5285</v>
      </c>
      <c r="B811" s="2">
        <v>46113</v>
      </c>
      <c r="C811" t="s">
        <v>10</v>
      </c>
      <c r="D811" t="s">
        <v>5286</v>
      </c>
      <c r="E811" t="s">
        <v>46</v>
      </c>
      <c r="F811">
        <v>6</v>
      </c>
      <c r="G811" t="s">
        <v>35</v>
      </c>
      <c r="H811" t="s">
        <v>25</v>
      </c>
      <c r="I811" t="s">
        <v>26</v>
      </c>
    </row>
    <row r="812" spans="1:9" x14ac:dyDescent="0.45">
      <c r="A812" t="s">
        <v>5287</v>
      </c>
      <c r="B812" s="2">
        <v>46105</v>
      </c>
      <c r="C812" t="s">
        <v>21</v>
      </c>
      <c r="D812" t="s">
        <v>5288</v>
      </c>
      <c r="E812" t="s">
        <v>71</v>
      </c>
      <c r="F812">
        <v>4</v>
      </c>
      <c r="G812" t="s">
        <v>43</v>
      </c>
      <c r="H812" t="s">
        <v>14</v>
      </c>
      <c r="I812" t="s">
        <v>26</v>
      </c>
    </row>
    <row r="813" spans="1:9" x14ac:dyDescent="0.45">
      <c r="A813" t="s">
        <v>5289</v>
      </c>
      <c r="B813" s="2">
        <v>46144</v>
      </c>
      <c r="C813" t="s">
        <v>66</v>
      </c>
      <c r="D813" t="s">
        <v>5290</v>
      </c>
      <c r="E813" t="s">
        <v>23</v>
      </c>
      <c r="F813">
        <v>3</v>
      </c>
      <c r="G813" t="s">
        <v>43</v>
      </c>
      <c r="H813" t="s">
        <v>14</v>
      </c>
      <c r="I813" t="s">
        <v>60</v>
      </c>
    </row>
    <row r="814" spans="1:9" x14ac:dyDescent="0.45">
      <c r="A814" t="s">
        <v>5291</v>
      </c>
      <c r="B814" s="2">
        <v>46048</v>
      </c>
      <c r="C814" t="s">
        <v>10</v>
      </c>
      <c r="D814" t="s">
        <v>5292</v>
      </c>
      <c r="E814" t="s">
        <v>30</v>
      </c>
      <c r="F814">
        <v>6</v>
      </c>
      <c r="G814" t="s">
        <v>55</v>
      </c>
      <c r="H814" t="s">
        <v>72</v>
      </c>
      <c r="I814" t="s">
        <v>60</v>
      </c>
    </row>
    <row r="815" spans="1:9" x14ac:dyDescent="0.45">
      <c r="A815" t="s">
        <v>5293</v>
      </c>
      <c r="B815" s="2">
        <v>46184</v>
      </c>
      <c r="C815" t="s">
        <v>52</v>
      </c>
      <c r="D815" t="s">
        <v>5294</v>
      </c>
      <c r="E815" t="s">
        <v>58</v>
      </c>
      <c r="F815">
        <v>3</v>
      </c>
      <c r="G815" t="s">
        <v>18</v>
      </c>
      <c r="H815" t="s">
        <v>14</v>
      </c>
      <c r="I815" t="s">
        <v>39</v>
      </c>
    </row>
    <row r="816" spans="1:9" x14ac:dyDescent="0.45">
      <c r="A816" t="s">
        <v>5295</v>
      </c>
      <c r="B816" s="2">
        <v>46224</v>
      </c>
      <c r="C816" t="s">
        <v>16</v>
      </c>
      <c r="D816" t="s">
        <v>5296</v>
      </c>
      <c r="E816" t="s">
        <v>75</v>
      </c>
      <c r="F816">
        <v>1</v>
      </c>
      <c r="G816" t="s">
        <v>35</v>
      </c>
      <c r="H816" t="s">
        <v>25</v>
      </c>
      <c r="I816" t="s">
        <v>60</v>
      </c>
    </row>
    <row r="817" spans="1:9" x14ac:dyDescent="0.45">
      <c r="A817" t="s">
        <v>5297</v>
      </c>
      <c r="B817" s="2">
        <v>46131</v>
      </c>
      <c r="C817" t="s">
        <v>66</v>
      </c>
      <c r="D817" t="s">
        <v>5298</v>
      </c>
      <c r="E817" t="s">
        <v>38</v>
      </c>
      <c r="F817">
        <v>5</v>
      </c>
      <c r="G817" t="s">
        <v>59</v>
      </c>
      <c r="H817" t="s">
        <v>14</v>
      </c>
      <c r="I817" t="s">
        <v>19</v>
      </c>
    </row>
    <row r="818" spans="1:9" x14ac:dyDescent="0.45">
      <c r="A818" t="s">
        <v>5299</v>
      </c>
      <c r="B818" s="2">
        <v>46057</v>
      </c>
      <c r="C818" t="s">
        <v>21</v>
      </c>
      <c r="D818" t="s">
        <v>5300</v>
      </c>
      <c r="E818" t="s">
        <v>7967</v>
      </c>
      <c r="F818">
        <v>12</v>
      </c>
      <c r="G818" t="s">
        <v>18</v>
      </c>
      <c r="H818" t="s">
        <v>14</v>
      </c>
      <c r="I818" t="s">
        <v>26</v>
      </c>
    </row>
    <row r="819" spans="1:9" x14ac:dyDescent="0.45">
      <c r="A819" t="s">
        <v>5301</v>
      </c>
      <c r="B819" s="2">
        <v>46246</v>
      </c>
      <c r="C819" t="s">
        <v>16</v>
      </c>
      <c r="D819" t="s">
        <v>5302</v>
      </c>
      <c r="E819" t="s">
        <v>38</v>
      </c>
      <c r="F819">
        <v>6</v>
      </c>
      <c r="G819" t="s">
        <v>35</v>
      </c>
      <c r="H819" t="s">
        <v>25</v>
      </c>
      <c r="I819" t="s">
        <v>19</v>
      </c>
    </row>
    <row r="820" spans="1:9" x14ac:dyDescent="0.45">
      <c r="A820" t="s">
        <v>5303</v>
      </c>
      <c r="B820" s="2">
        <v>46175</v>
      </c>
      <c r="C820" t="s">
        <v>16</v>
      </c>
      <c r="D820" t="s">
        <v>5304</v>
      </c>
      <c r="E820" t="s">
        <v>30</v>
      </c>
      <c r="F820">
        <v>5</v>
      </c>
      <c r="G820" t="s">
        <v>68</v>
      </c>
      <c r="H820" t="s">
        <v>25</v>
      </c>
      <c r="I820" t="s">
        <v>19</v>
      </c>
    </row>
    <row r="821" spans="1:9" x14ac:dyDescent="0.45">
      <c r="A821" t="s">
        <v>5305</v>
      </c>
      <c r="B821" s="2">
        <v>46153</v>
      </c>
      <c r="C821" t="s">
        <v>49</v>
      </c>
      <c r="D821" t="s">
        <v>5306</v>
      </c>
      <c r="E821" t="s">
        <v>42</v>
      </c>
      <c r="F821">
        <v>2</v>
      </c>
      <c r="G821" t="s">
        <v>55</v>
      </c>
      <c r="H821" t="s">
        <v>72</v>
      </c>
      <c r="I821" t="s">
        <v>19</v>
      </c>
    </row>
    <row r="822" spans="1:9" x14ac:dyDescent="0.45">
      <c r="A822" t="s">
        <v>5307</v>
      </c>
      <c r="B822" s="2">
        <v>46100</v>
      </c>
      <c r="C822" t="s">
        <v>52</v>
      </c>
      <c r="D822" t="s">
        <v>5308</v>
      </c>
      <c r="E822" t="s">
        <v>30</v>
      </c>
      <c r="F822">
        <v>6</v>
      </c>
      <c r="G822" t="s">
        <v>35</v>
      </c>
      <c r="H822" t="s">
        <v>25</v>
      </c>
      <c r="I822" t="s">
        <v>31</v>
      </c>
    </row>
    <row r="823" spans="1:9" x14ac:dyDescent="0.45">
      <c r="A823" t="s">
        <v>5309</v>
      </c>
      <c r="B823" s="2">
        <v>46223</v>
      </c>
      <c r="C823" t="s">
        <v>10</v>
      </c>
      <c r="D823" t="s">
        <v>5310</v>
      </c>
      <c r="E823" t="s">
        <v>42</v>
      </c>
      <c r="F823">
        <v>10</v>
      </c>
      <c r="G823" t="s">
        <v>55</v>
      </c>
      <c r="H823" t="s">
        <v>72</v>
      </c>
      <c r="I823" t="s">
        <v>47</v>
      </c>
    </row>
    <row r="824" spans="1:9" x14ac:dyDescent="0.45">
      <c r="A824" t="s">
        <v>5311</v>
      </c>
      <c r="B824" s="2">
        <v>46173</v>
      </c>
      <c r="C824" t="s">
        <v>21</v>
      </c>
      <c r="D824" t="s">
        <v>5312</v>
      </c>
      <c r="E824" t="s">
        <v>23</v>
      </c>
      <c r="F824">
        <v>8</v>
      </c>
      <c r="G824" t="s">
        <v>35</v>
      </c>
      <c r="H824" t="s">
        <v>25</v>
      </c>
      <c r="I824" t="s">
        <v>26</v>
      </c>
    </row>
    <row r="825" spans="1:9" x14ac:dyDescent="0.45">
      <c r="A825" t="s">
        <v>5313</v>
      </c>
      <c r="B825" s="2">
        <v>46155</v>
      </c>
      <c r="C825" t="s">
        <v>49</v>
      </c>
      <c r="D825" t="s">
        <v>5314</v>
      </c>
      <c r="E825" t="s">
        <v>23</v>
      </c>
      <c r="F825">
        <v>1</v>
      </c>
      <c r="G825" t="s">
        <v>13</v>
      </c>
      <c r="H825" t="s">
        <v>14</v>
      </c>
      <c r="I825" t="s">
        <v>7967</v>
      </c>
    </row>
    <row r="826" spans="1:9" x14ac:dyDescent="0.45">
      <c r="A826" t="s">
        <v>5315</v>
      </c>
      <c r="B826" s="2">
        <v>46098</v>
      </c>
      <c r="C826" t="s">
        <v>52</v>
      </c>
      <c r="D826" t="s">
        <v>5316</v>
      </c>
      <c r="E826" t="s">
        <v>54</v>
      </c>
      <c r="F826">
        <v>8</v>
      </c>
      <c r="G826" t="s">
        <v>68</v>
      </c>
      <c r="H826" t="s">
        <v>25</v>
      </c>
      <c r="I826" t="s">
        <v>60</v>
      </c>
    </row>
    <row r="827" spans="1:9" x14ac:dyDescent="0.45">
      <c r="A827" t="s">
        <v>5317</v>
      </c>
      <c r="B827" s="2">
        <v>46116</v>
      </c>
      <c r="C827" t="s">
        <v>49</v>
      </c>
      <c r="D827" t="s">
        <v>5318</v>
      </c>
      <c r="E827" t="s">
        <v>75</v>
      </c>
      <c r="F827">
        <v>12</v>
      </c>
      <c r="G827" t="s">
        <v>43</v>
      </c>
      <c r="H827" t="s">
        <v>14</v>
      </c>
      <c r="I827" t="s">
        <v>39</v>
      </c>
    </row>
    <row r="828" spans="1:9" x14ac:dyDescent="0.45">
      <c r="A828" t="s">
        <v>5319</v>
      </c>
      <c r="B828" s="2">
        <v>46128</v>
      </c>
      <c r="C828" t="s">
        <v>66</v>
      </c>
      <c r="D828" t="s">
        <v>5320</v>
      </c>
      <c r="E828" t="s">
        <v>7973</v>
      </c>
      <c r="F828">
        <v>3</v>
      </c>
      <c r="G828" t="s">
        <v>55</v>
      </c>
      <c r="H828" t="s">
        <v>72</v>
      </c>
      <c r="I828" t="s">
        <v>47</v>
      </c>
    </row>
    <row r="829" spans="1:9" x14ac:dyDescent="0.45">
      <c r="A829" t="s">
        <v>5321</v>
      </c>
      <c r="B829" s="2">
        <v>46165</v>
      </c>
      <c r="C829" t="s">
        <v>21</v>
      </c>
      <c r="D829" t="s">
        <v>5322</v>
      </c>
      <c r="E829" t="s">
        <v>23</v>
      </c>
      <c r="F829">
        <v>9</v>
      </c>
      <c r="G829" t="s">
        <v>59</v>
      </c>
      <c r="H829" t="s">
        <v>14</v>
      </c>
      <c r="I829" t="s">
        <v>47</v>
      </c>
    </row>
    <row r="830" spans="1:9" x14ac:dyDescent="0.45">
      <c r="A830" t="s">
        <v>5323</v>
      </c>
      <c r="B830" s="2">
        <v>46067</v>
      </c>
      <c r="C830" t="s">
        <v>21</v>
      </c>
      <c r="D830" t="s">
        <v>5324</v>
      </c>
      <c r="E830" t="s">
        <v>71</v>
      </c>
      <c r="F830">
        <v>11</v>
      </c>
      <c r="G830" t="s">
        <v>13</v>
      </c>
      <c r="H830" t="s">
        <v>14</v>
      </c>
      <c r="I830" t="s">
        <v>19</v>
      </c>
    </row>
    <row r="831" spans="1:9" x14ac:dyDescent="0.45">
      <c r="A831" t="s">
        <v>5325</v>
      </c>
      <c r="B831" s="2">
        <v>46078</v>
      </c>
      <c r="C831" t="s">
        <v>10</v>
      </c>
      <c r="D831" t="s">
        <v>5326</v>
      </c>
      <c r="E831" t="s">
        <v>7974</v>
      </c>
      <c r="F831">
        <v>9</v>
      </c>
      <c r="G831" t="s">
        <v>59</v>
      </c>
      <c r="H831" t="s">
        <v>14</v>
      </c>
      <c r="I831" t="s">
        <v>19</v>
      </c>
    </row>
    <row r="832" spans="1:9" x14ac:dyDescent="0.45">
      <c r="A832" t="s">
        <v>5327</v>
      </c>
      <c r="B832" s="2">
        <v>46025</v>
      </c>
      <c r="C832" t="s">
        <v>10</v>
      </c>
      <c r="D832" t="s">
        <v>5328</v>
      </c>
      <c r="E832" t="s">
        <v>54</v>
      </c>
      <c r="F832">
        <v>8</v>
      </c>
      <c r="G832" t="s">
        <v>18</v>
      </c>
      <c r="H832" t="s">
        <v>14</v>
      </c>
      <c r="I832" t="s">
        <v>47</v>
      </c>
    </row>
    <row r="833" spans="1:9" x14ac:dyDescent="0.45">
      <c r="A833" t="s">
        <v>5329</v>
      </c>
      <c r="B833" s="2">
        <v>46034</v>
      </c>
      <c r="C833" t="s">
        <v>21</v>
      </c>
      <c r="D833" t="s">
        <v>5330</v>
      </c>
      <c r="E833" t="s">
        <v>23</v>
      </c>
      <c r="F833">
        <v>12</v>
      </c>
      <c r="G833" t="s">
        <v>13</v>
      </c>
      <c r="H833" t="s">
        <v>14</v>
      </c>
      <c r="I833" t="s">
        <v>47</v>
      </c>
    </row>
    <row r="834" spans="1:9" x14ac:dyDescent="0.45">
      <c r="A834" t="s">
        <v>5331</v>
      </c>
      <c r="B834" s="2">
        <v>46168</v>
      </c>
      <c r="C834" t="s">
        <v>66</v>
      </c>
      <c r="D834" t="s">
        <v>5332</v>
      </c>
      <c r="E834" t="s">
        <v>42</v>
      </c>
      <c r="F834">
        <v>4</v>
      </c>
      <c r="G834" t="s">
        <v>18</v>
      </c>
      <c r="H834" t="s">
        <v>14</v>
      </c>
      <c r="I834" t="s">
        <v>47</v>
      </c>
    </row>
    <row r="835" spans="1:9" x14ac:dyDescent="0.45">
      <c r="A835" t="s">
        <v>5333</v>
      </c>
      <c r="B835" s="2">
        <v>46224</v>
      </c>
      <c r="C835" t="s">
        <v>52</v>
      </c>
      <c r="D835" t="s">
        <v>5334</v>
      </c>
      <c r="E835" t="s">
        <v>75</v>
      </c>
      <c r="F835">
        <v>10</v>
      </c>
      <c r="G835" t="s">
        <v>55</v>
      </c>
      <c r="H835" t="s">
        <v>72</v>
      </c>
      <c r="I835" t="s">
        <v>60</v>
      </c>
    </row>
    <row r="836" spans="1:9" x14ac:dyDescent="0.45">
      <c r="A836" t="s">
        <v>5335</v>
      </c>
      <c r="B836" s="2">
        <v>46163</v>
      </c>
      <c r="C836" t="s">
        <v>16</v>
      </c>
      <c r="D836" t="s">
        <v>5336</v>
      </c>
      <c r="E836" t="s">
        <v>46</v>
      </c>
      <c r="F836">
        <v>9</v>
      </c>
      <c r="G836" t="s">
        <v>43</v>
      </c>
      <c r="H836" t="s">
        <v>14</v>
      </c>
      <c r="I836" t="s">
        <v>19</v>
      </c>
    </row>
    <row r="837" spans="1:9" x14ac:dyDescent="0.45">
      <c r="A837" t="s">
        <v>5337</v>
      </c>
      <c r="B837" s="2">
        <v>46151</v>
      </c>
      <c r="C837" t="s">
        <v>52</v>
      </c>
      <c r="D837" t="s">
        <v>5338</v>
      </c>
      <c r="E837" t="s">
        <v>23</v>
      </c>
      <c r="F837">
        <v>6</v>
      </c>
      <c r="G837" t="s">
        <v>24</v>
      </c>
      <c r="H837" t="s">
        <v>25</v>
      </c>
      <c r="I837" t="s">
        <v>26</v>
      </c>
    </row>
    <row r="838" spans="1:9" x14ac:dyDescent="0.45">
      <c r="A838" t="s">
        <v>5339</v>
      </c>
      <c r="B838" s="2">
        <v>46198</v>
      </c>
      <c r="C838" t="s">
        <v>10</v>
      </c>
      <c r="D838" t="s">
        <v>5340</v>
      </c>
      <c r="E838" t="s">
        <v>75</v>
      </c>
      <c r="F838">
        <v>2</v>
      </c>
      <c r="G838" t="s">
        <v>35</v>
      </c>
      <c r="H838" t="s">
        <v>25</v>
      </c>
      <c r="I838" t="s">
        <v>31</v>
      </c>
    </row>
    <row r="839" spans="1:9" x14ac:dyDescent="0.45">
      <c r="A839" t="s">
        <v>5341</v>
      </c>
      <c r="B839" s="2">
        <v>46023</v>
      </c>
      <c r="C839" t="s">
        <v>52</v>
      </c>
      <c r="D839" t="s">
        <v>5342</v>
      </c>
      <c r="E839" t="s">
        <v>71</v>
      </c>
      <c r="F839">
        <v>6</v>
      </c>
      <c r="G839" t="s">
        <v>55</v>
      </c>
      <c r="H839" t="s">
        <v>72</v>
      </c>
      <c r="I839" t="s">
        <v>31</v>
      </c>
    </row>
    <row r="840" spans="1:9" x14ac:dyDescent="0.45">
      <c r="A840" t="s">
        <v>5343</v>
      </c>
      <c r="B840" s="2">
        <v>46220</v>
      </c>
      <c r="C840" t="s">
        <v>66</v>
      </c>
      <c r="D840" t="s">
        <v>5344</v>
      </c>
      <c r="E840" t="s">
        <v>58</v>
      </c>
      <c r="F840">
        <v>3</v>
      </c>
      <c r="G840" t="s">
        <v>68</v>
      </c>
      <c r="H840" t="s">
        <v>25</v>
      </c>
      <c r="I840" t="s">
        <v>26</v>
      </c>
    </row>
    <row r="841" spans="1:9" x14ac:dyDescent="0.45">
      <c r="A841" t="s">
        <v>5345</v>
      </c>
      <c r="B841" s="2">
        <v>46221</v>
      </c>
      <c r="C841" t="s">
        <v>28</v>
      </c>
      <c r="D841" t="s">
        <v>5346</v>
      </c>
      <c r="E841" t="s">
        <v>30</v>
      </c>
      <c r="F841">
        <v>1</v>
      </c>
      <c r="G841" t="s">
        <v>59</v>
      </c>
      <c r="H841" t="s">
        <v>14</v>
      </c>
      <c r="I841" t="s">
        <v>39</v>
      </c>
    </row>
    <row r="842" spans="1:9" x14ac:dyDescent="0.45">
      <c r="A842" t="s">
        <v>5347</v>
      </c>
      <c r="B842" s="2">
        <v>46142</v>
      </c>
      <c r="C842" t="s">
        <v>16</v>
      </c>
      <c r="D842" t="s">
        <v>5348</v>
      </c>
      <c r="E842" t="s">
        <v>58</v>
      </c>
      <c r="F842">
        <v>12</v>
      </c>
      <c r="G842" t="s">
        <v>18</v>
      </c>
      <c r="H842" t="s">
        <v>14</v>
      </c>
      <c r="I842" t="s">
        <v>39</v>
      </c>
    </row>
    <row r="843" spans="1:9" x14ac:dyDescent="0.45">
      <c r="A843" t="s">
        <v>5349</v>
      </c>
      <c r="B843" s="2">
        <v>46213</v>
      </c>
      <c r="C843" t="s">
        <v>16</v>
      </c>
      <c r="D843" t="s">
        <v>5350</v>
      </c>
      <c r="E843" t="s">
        <v>34</v>
      </c>
      <c r="F843">
        <v>12</v>
      </c>
      <c r="G843" t="s">
        <v>55</v>
      </c>
      <c r="H843" t="s">
        <v>72</v>
      </c>
      <c r="I843" t="s">
        <v>19</v>
      </c>
    </row>
    <row r="844" spans="1:9" x14ac:dyDescent="0.45">
      <c r="A844" t="s">
        <v>5351</v>
      </c>
      <c r="B844" s="2">
        <v>46072</v>
      </c>
      <c r="C844" t="s">
        <v>66</v>
      </c>
      <c r="D844" t="s">
        <v>5352</v>
      </c>
      <c r="E844" t="s">
        <v>30</v>
      </c>
      <c r="F844">
        <v>2</v>
      </c>
      <c r="G844" t="s">
        <v>35</v>
      </c>
      <c r="H844" t="s">
        <v>25</v>
      </c>
      <c r="I844" t="s">
        <v>26</v>
      </c>
    </row>
    <row r="845" spans="1:9" x14ac:dyDescent="0.45">
      <c r="A845" t="s">
        <v>5353</v>
      </c>
      <c r="B845" s="2">
        <v>46050</v>
      </c>
      <c r="C845" t="s">
        <v>28</v>
      </c>
      <c r="D845" t="s">
        <v>5354</v>
      </c>
      <c r="E845" t="s">
        <v>23</v>
      </c>
      <c r="F845">
        <v>6</v>
      </c>
      <c r="G845" t="s">
        <v>59</v>
      </c>
      <c r="H845" t="s">
        <v>14</v>
      </c>
      <c r="I845" t="s">
        <v>39</v>
      </c>
    </row>
    <row r="846" spans="1:9" x14ac:dyDescent="0.45">
      <c r="A846" t="s">
        <v>5355</v>
      </c>
      <c r="B846" s="2">
        <v>46173</v>
      </c>
      <c r="C846" t="s">
        <v>10</v>
      </c>
      <c r="D846" t="s">
        <v>5356</v>
      </c>
      <c r="E846" t="s">
        <v>42</v>
      </c>
      <c r="F846">
        <v>12</v>
      </c>
      <c r="G846" t="s">
        <v>24</v>
      </c>
      <c r="H846" t="s">
        <v>25</v>
      </c>
      <c r="I846" t="s">
        <v>60</v>
      </c>
    </row>
    <row r="847" spans="1:9" x14ac:dyDescent="0.45">
      <c r="A847" t="s">
        <v>5357</v>
      </c>
      <c r="B847" s="2">
        <v>46198</v>
      </c>
      <c r="C847" t="s">
        <v>28</v>
      </c>
      <c r="D847" t="s">
        <v>5358</v>
      </c>
      <c r="E847" t="s">
        <v>54</v>
      </c>
      <c r="F847">
        <v>12</v>
      </c>
      <c r="G847" t="s">
        <v>13</v>
      </c>
      <c r="H847" t="s">
        <v>14</v>
      </c>
      <c r="I847" t="s">
        <v>26</v>
      </c>
    </row>
    <row r="848" spans="1:9" x14ac:dyDescent="0.45">
      <c r="A848" t="s">
        <v>5359</v>
      </c>
      <c r="B848" s="2">
        <v>46108</v>
      </c>
      <c r="C848" t="s">
        <v>49</v>
      </c>
      <c r="D848" t="s">
        <v>5360</v>
      </c>
      <c r="E848" t="s">
        <v>42</v>
      </c>
      <c r="F848">
        <v>10</v>
      </c>
      <c r="G848" t="s">
        <v>68</v>
      </c>
      <c r="H848" t="s">
        <v>25</v>
      </c>
      <c r="I848" t="s">
        <v>19</v>
      </c>
    </row>
    <row r="849" spans="1:9" x14ac:dyDescent="0.45">
      <c r="A849" t="s">
        <v>5361</v>
      </c>
      <c r="B849" s="2">
        <v>46232</v>
      </c>
      <c r="C849" t="s">
        <v>10</v>
      </c>
      <c r="D849" t="s">
        <v>5362</v>
      </c>
      <c r="E849" t="s">
        <v>7974</v>
      </c>
      <c r="F849">
        <v>8</v>
      </c>
      <c r="G849" t="s">
        <v>35</v>
      </c>
      <c r="H849" t="s">
        <v>25</v>
      </c>
      <c r="I849" t="s">
        <v>60</v>
      </c>
    </row>
    <row r="850" spans="1:9" x14ac:dyDescent="0.45">
      <c r="A850" t="s">
        <v>5363</v>
      </c>
      <c r="B850" s="2">
        <v>46199</v>
      </c>
      <c r="C850" t="s">
        <v>49</v>
      </c>
      <c r="D850" t="s">
        <v>5364</v>
      </c>
      <c r="E850" t="s">
        <v>54</v>
      </c>
      <c r="F850">
        <v>4</v>
      </c>
      <c r="G850" t="s">
        <v>55</v>
      </c>
      <c r="H850" t="s">
        <v>72</v>
      </c>
      <c r="I850" t="s">
        <v>19</v>
      </c>
    </row>
    <row r="851" spans="1:9" x14ac:dyDescent="0.45">
      <c r="A851" t="s">
        <v>5365</v>
      </c>
      <c r="B851" s="2">
        <v>46128</v>
      </c>
      <c r="C851" t="s">
        <v>10</v>
      </c>
      <c r="D851" t="s">
        <v>5366</v>
      </c>
      <c r="E851" t="s">
        <v>34</v>
      </c>
      <c r="F851">
        <v>5</v>
      </c>
      <c r="G851" t="s">
        <v>18</v>
      </c>
      <c r="H851" t="s">
        <v>14</v>
      </c>
      <c r="I851" t="s">
        <v>19</v>
      </c>
    </row>
    <row r="852" spans="1:9" x14ac:dyDescent="0.45">
      <c r="A852" t="s">
        <v>5367</v>
      </c>
      <c r="B852" s="2">
        <v>46267</v>
      </c>
      <c r="C852" t="s">
        <v>16</v>
      </c>
      <c r="D852" t="s">
        <v>5368</v>
      </c>
      <c r="E852" t="s">
        <v>71</v>
      </c>
      <c r="F852">
        <v>10</v>
      </c>
      <c r="G852" t="s">
        <v>18</v>
      </c>
      <c r="H852" t="s">
        <v>14</v>
      </c>
      <c r="I852" t="s">
        <v>47</v>
      </c>
    </row>
    <row r="853" spans="1:9" x14ac:dyDescent="0.45">
      <c r="A853" t="s">
        <v>5369</v>
      </c>
      <c r="B853" s="2">
        <v>46123</v>
      </c>
      <c r="C853" t="s">
        <v>52</v>
      </c>
      <c r="D853" t="s">
        <v>5370</v>
      </c>
      <c r="E853" t="s">
        <v>54</v>
      </c>
      <c r="F853">
        <v>2</v>
      </c>
      <c r="G853" t="s">
        <v>24</v>
      </c>
      <c r="H853" t="s">
        <v>25</v>
      </c>
      <c r="I853" t="s">
        <v>31</v>
      </c>
    </row>
    <row r="854" spans="1:9" x14ac:dyDescent="0.45">
      <c r="A854" t="s">
        <v>5371</v>
      </c>
      <c r="B854" s="2">
        <v>46054</v>
      </c>
      <c r="C854" t="s">
        <v>10</v>
      </c>
      <c r="D854" t="s">
        <v>5372</v>
      </c>
      <c r="E854" t="s">
        <v>54</v>
      </c>
      <c r="F854">
        <v>5</v>
      </c>
      <c r="G854" t="s">
        <v>43</v>
      </c>
      <c r="H854" t="s">
        <v>14</v>
      </c>
      <c r="I854" t="s">
        <v>39</v>
      </c>
    </row>
    <row r="855" spans="1:9" x14ac:dyDescent="0.45">
      <c r="A855" t="s">
        <v>5373</v>
      </c>
      <c r="B855" s="2">
        <v>46267</v>
      </c>
      <c r="C855" t="s">
        <v>16</v>
      </c>
      <c r="D855" t="s">
        <v>5374</v>
      </c>
      <c r="E855" t="s">
        <v>46</v>
      </c>
      <c r="F855">
        <v>10</v>
      </c>
      <c r="G855" t="s">
        <v>55</v>
      </c>
      <c r="H855" t="s">
        <v>72</v>
      </c>
      <c r="I855" t="s">
        <v>39</v>
      </c>
    </row>
    <row r="856" spans="1:9" x14ac:dyDescent="0.45">
      <c r="A856" t="s">
        <v>5375</v>
      </c>
      <c r="B856" s="2">
        <v>46041</v>
      </c>
      <c r="C856" t="s">
        <v>52</v>
      </c>
      <c r="D856" t="s">
        <v>5376</v>
      </c>
      <c r="E856" t="s">
        <v>71</v>
      </c>
      <c r="F856">
        <v>8</v>
      </c>
      <c r="G856" t="s">
        <v>68</v>
      </c>
      <c r="H856" t="s">
        <v>25</v>
      </c>
      <c r="I856" t="s">
        <v>31</v>
      </c>
    </row>
    <row r="857" spans="1:9" x14ac:dyDescent="0.45">
      <c r="A857" t="s">
        <v>5377</v>
      </c>
      <c r="B857" s="2">
        <v>46091</v>
      </c>
      <c r="C857" t="s">
        <v>52</v>
      </c>
      <c r="D857" t="s">
        <v>5378</v>
      </c>
      <c r="E857" t="s">
        <v>46</v>
      </c>
      <c r="F857">
        <v>9</v>
      </c>
      <c r="G857" t="s">
        <v>18</v>
      </c>
      <c r="H857" t="s">
        <v>14</v>
      </c>
      <c r="I857" t="s">
        <v>47</v>
      </c>
    </row>
    <row r="858" spans="1:9" x14ac:dyDescent="0.45">
      <c r="A858" t="s">
        <v>5379</v>
      </c>
      <c r="B858" s="2">
        <v>46176</v>
      </c>
      <c r="C858" t="s">
        <v>99</v>
      </c>
      <c r="D858" t="s">
        <v>5380</v>
      </c>
      <c r="E858" t="s">
        <v>54</v>
      </c>
      <c r="F858">
        <v>10</v>
      </c>
      <c r="G858" t="s">
        <v>35</v>
      </c>
      <c r="H858" t="s">
        <v>25</v>
      </c>
      <c r="I858" t="s">
        <v>47</v>
      </c>
    </row>
    <row r="859" spans="1:9" x14ac:dyDescent="0.45">
      <c r="A859" t="s">
        <v>5381</v>
      </c>
      <c r="B859" s="2">
        <v>46125</v>
      </c>
      <c r="C859" t="s">
        <v>16</v>
      </c>
      <c r="D859" t="s">
        <v>5382</v>
      </c>
      <c r="E859" t="s">
        <v>7973</v>
      </c>
      <c r="F859">
        <v>1</v>
      </c>
      <c r="G859" t="s">
        <v>43</v>
      </c>
      <c r="H859" t="s">
        <v>14</v>
      </c>
      <c r="I859" t="s">
        <v>47</v>
      </c>
    </row>
    <row r="860" spans="1:9" x14ac:dyDescent="0.45">
      <c r="A860" t="s">
        <v>5383</v>
      </c>
      <c r="B860" s="2">
        <v>46189</v>
      </c>
      <c r="C860" t="s">
        <v>28</v>
      </c>
      <c r="D860" t="s">
        <v>5384</v>
      </c>
      <c r="E860" t="s">
        <v>7973</v>
      </c>
      <c r="F860">
        <v>1</v>
      </c>
      <c r="G860" t="s">
        <v>59</v>
      </c>
      <c r="H860" t="s">
        <v>14</v>
      </c>
      <c r="I860" t="s">
        <v>39</v>
      </c>
    </row>
    <row r="861" spans="1:9" x14ac:dyDescent="0.45">
      <c r="A861" t="s">
        <v>5385</v>
      </c>
      <c r="B861" s="2">
        <v>46121</v>
      </c>
      <c r="C861" t="s">
        <v>16</v>
      </c>
      <c r="D861" t="s">
        <v>5386</v>
      </c>
      <c r="E861" t="s">
        <v>30</v>
      </c>
      <c r="F861">
        <v>8</v>
      </c>
      <c r="G861" t="s">
        <v>55</v>
      </c>
      <c r="H861" t="s">
        <v>72</v>
      </c>
      <c r="I861" t="s">
        <v>31</v>
      </c>
    </row>
    <row r="862" spans="1:9" x14ac:dyDescent="0.45">
      <c r="A862" t="s">
        <v>5387</v>
      </c>
      <c r="B862" s="2">
        <v>46145</v>
      </c>
      <c r="C862" t="s">
        <v>21</v>
      </c>
      <c r="D862" t="s">
        <v>5388</v>
      </c>
      <c r="E862" t="s">
        <v>38</v>
      </c>
      <c r="F862">
        <v>1</v>
      </c>
      <c r="G862" t="s">
        <v>35</v>
      </c>
      <c r="H862" t="s">
        <v>25</v>
      </c>
      <c r="I862" t="s">
        <v>26</v>
      </c>
    </row>
    <row r="863" spans="1:9" x14ac:dyDescent="0.45">
      <c r="A863" t="s">
        <v>5389</v>
      </c>
      <c r="B863" s="2">
        <v>46128</v>
      </c>
      <c r="C863" t="s">
        <v>28</v>
      </c>
      <c r="D863" t="s">
        <v>5390</v>
      </c>
      <c r="E863" t="s">
        <v>30</v>
      </c>
      <c r="F863">
        <v>5</v>
      </c>
      <c r="G863" t="s">
        <v>24</v>
      </c>
      <c r="H863" t="s">
        <v>25</v>
      </c>
      <c r="I863" t="s">
        <v>26</v>
      </c>
    </row>
    <row r="864" spans="1:9" x14ac:dyDescent="0.45">
      <c r="A864" t="s">
        <v>5391</v>
      </c>
      <c r="B864" s="2">
        <v>46132</v>
      </c>
      <c r="C864" t="s">
        <v>10</v>
      </c>
      <c r="D864" t="s">
        <v>5392</v>
      </c>
      <c r="E864" t="s">
        <v>58</v>
      </c>
      <c r="F864">
        <v>2</v>
      </c>
      <c r="G864" t="s">
        <v>18</v>
      </c>
      <c r="H864" t="s">
        <v>14</v>
      </c>
      <c r="I864" t="s">
        <v>31</v>
      </c>
    </row>
    <row r="865" spans="1:9" x14ac:dyDescent="0.45">
      <c r="A865" t="s">
        <v>5393</v>
      </c>
      <c r="B865" s="2">
        <v>46165</v>
      </c>
      <c r="C865" t="s">
        <v>10</v>
      </c>
      <c r="D865" t="s">
        <v>5394</v>
      </c>
      <c r="E865" t="s">
        <v>7974</v>
      </c>
      <c r="F865">
        <v>8</v>
      </c>
      <c r="G865" t="s">
        <v>68</v>
      </c>
      <c r="H865" t="s">
        <v>25</v>
      </c>
      <c r="I865" t="s">
        <v>47</v>
      </c>
    </row>
    <row r="866" spans="1:9" x14ac:dyDescent="0.45">
      <c r="A866" t="s">
        <v>5395</v>
      </c>
      <c r="B866" s="2">
        <v>46211</v>
      </c>
      <c r="C866" t="s">
        <v>52</v>
      </c>
      <c r="D866" t="s">
        <v>5396</v>
      </c>
      <c r="E866" t="s">
        <v>75</v>
      </c>
      <c r="F866">
        <v>7</v>
      </c>
      <c r="G866" t="s">
        <v>18</v>
      </c>
      <c r="H866" t="s">
        <v>14</v>
      </c>
      <c r="I866" t="s">
        <v>47</v>
      </c>
    </row>
    <row r="867" spans="1:9" x14ac:dyDescent="0.45">
      <c r="A867" t="s">
        <v>5397</v>
      </c>
      <c r="B867" s="2">
        <v>46133</v>
      </c>
      <c r="C867" t="s">
        <v>21</v>
      </c>
      <c r="D867" t="s">
        <v>5398</v>
      </c>
      <c r="E867" t="s">
        <v>7974</v>
      </c>
      <c r="F867">
        <v>10</v>
      </c>
      <c r="G867" t="s">
        <v>55</v>
      </c>
      <c r="H867" t="s">
        <v>72</v>
      </c>
      <c r="I867" t="s">
        <v>39</v>
      </c>
    </row>
    <row r="868" spans="1:9" x14ac:dyDescent="0.45">
      <c r="A868" t="s">
        <v>5399</v>
      </c>
      <c r="B868" s="2">
        <v>46155</v>
      </c>
      <c r="C868" t="s">
        <v>66</v>
      </c>
      <c r="D868" t="s">
        <v>5400</v>
      </c>
      <c r="E868" t="s">
        <v>46</v>
      </c>
      <c r="F868">
        <v>2</v>
      </c>
      <c r="G868" t="s">
        <v>55</v>
      </c>
      <c r="H868" t="s">
        <v>72</v>
      </c>
      <c r="I868" t="s">
        <v>31</v>
      </c>
    </row>
    <row r="869" spans="1:9" x14ac:dyDescent="0.45">
      <c r="A869" t="s">
        <v>5401</v>
      </c>
      <c r="B869" s="2">
        <v>46078</v>
      </c>
      <c r="C869" t="s">
        <v>16</v>
      </c>
      <c r="D869" t="s">
        <v>5402</v>
      </c>
      <c r="E869" t="s">
        <v>30</v>
      </c>
      <c r="F869">
        <v>6</v>
      </c>
      <c r="G869" t="s">
        <v>18</v>
      </c>
      <c r="H869" t="s">
        <v>14</v>
      </c>
      <c r="I869" t="s">
        <v>60</v>
      </c>
    </row>
    <row r="870" spans="1:9" x14ac:dyDescent="0.45">
      <c r="A870" t="s">
        <v>5403</v>
      </c>
      <c r="B870" s="2">
        <v>46138</v>
      </c>
      <c r="C870" t="s">
        <v>16</v>
      </c>
      <c r="D870" t="s">
        <v>5404</v>
      </c>
      <c r="E870" t="s">
        <v>46</v>
      </c>
      <c r="F870">
        <v>2</v>
      </c>
      <c r="G870" t="s">
        <v>35</v>
      </c>
      <c r="H870" t="s">
        <v>25</v>
      </c>
      <c r="I870" t="s">
        <v>26</v>
      </c>
    </row>
    <row r="871" spans="1:9" x14ac:dyDescent="0.45">
      <c r="A871" t="s">
        <v>5405</v>
      </c>
      <c r="B871" s="2">
        <v>46072</v>
      </c>
      <c r="C871" t="s">
        <v>16</v>
      </c>
      <c r="D871" t="s">
        <v>5406</v>
      </c>
      <c r="E871" t="s">
        <v>42</v>
      </c>
      <c r="F871">
        <v>7</v>
      </c>
      <c r="G871" t="s">
        <v>24</v>
      </c>
      <c r="H871" t="s">
        <v>25</v>
      </c>
      <c r="I871" t="s">
        <v>39</v>
      </c>
    </row>
    <row r="872" spans="1:9" x14ac:dyDescent="0.45">
      <c r="A872" t="s">
        <v>5407</v>
      </c>
      <c r="B872" s="2">
        <v>46252</v>
      </c>
      <c r="C872" t="s">
        <v>99</v>
      </c>
      <c r="D872" t="s">
        <v>5408</v>
      </c>
      <c r="E872" t="s">
        <v>46</v>
      </c>
      <c r="F872">
        <v>8</v>
      </c>
      <c r="G872" t="s">
        <v>24</v>
      </c>
      <c r="H872" t="s">
        <v>25</v>
      </c>
      <c r="I872" t="s">
        <v>39</v>
      </c>
    </row>
    <row r="873" spans="1:9" x14ac:dyDescent="0.45">
      <c r="A873" t="s">
        <v>5409</v>
      </c>
      <c r="B873" s="2">
        <v>46208</v>
      </c>
      <c r="C873" t="s">
        <v>49</v>
      </c>
      <c r="D873" t="s">
        <v>5410</v>
      </c>
      <c r="E873" t="s">
        <v>46</v>
      </c>
      <c r="F873">
        <v>6</v>
      </c>
      <c r="G873" t="s">
        <v>55</v>
      </c>
      <c r="H873" t="s">
        <v>72</v>
      </c>
      <c r="I873" t="s">
        <v>31</v>
      </c>
    </row>
    <row r="874" spans="1:9" x14ac:dyDescent="0.45">
      <c r="A874" t="s">
        <v>5411</v>
      </c>
      <c r="B874" s="2">
        <v>46227</v>
      </c>
      <c r="C874" t="s">
        <v>99</v>
      </c>
      <c r="D874" t="s">
        <v>5412</v>
      </c>
      <c r="E874" t="s">
        <v>38</v>
      </c>
      <c r="F874">
        <v>9</v>
      </c>
      <c r="G874" t="s">
        <v>35</v>
      </c>
      <c r="H874" t="s">
        <v>25</v>
      </c>
      <c r="I874" t="s">
        <v>19</v>
      </c>
    </row>
    <row r="875" spans="1:9" x14ac:dyDescent="0.45">
      <c r="A875" t="s">
        <v>5413</v>
      </c>
      <c r="B875" s="2">
        <v>46152</v>
      </c>
      <c r="C875" t="s">
        <v>10</v>
      </c>
      <c r="D875" t="s">
        <v>5414</v>
      </c>
      <c r="E875" t="s">
        <v>7967</v>
      </c>
      <c r="F875">
        <v>3</v>
      </c>
      <c r="G875" t="s">
        <v>24</v>
      </c>
      <c r="H875" t="s">
        <v>25</v>
      </c>
      <c r="I875" t="s">
        <v>60</v>
      </c>
    </row>
    <row r="876" spans="1:9" x14ac:dyDescent="0.45">
      <c r="A876" t="s">
        <v>5415</v>
      </c>
      <c r="B876" s="2">
        <v>46260</v>
      </c>
      <c r="C876" t="s">
        <v>66</v>
      </c>
      <c r="D876" t="s">
        <v>5416</v>
      </c>
      <c r="E876" t="s">
        <v>42</v>
      </c>
      <c r="F876">
        <v>5</v>
      </c>
      <c r="G876" t="s">
        <v>68</v>
      </c>
      <c r="H876" t="s">
        <v>25</v>
      </c>
      <c r="I876" t="s">
        <v>60</v>
      </c>
    </row>
    <row r="877" spans="1:9" x14ac:dyDescent="0.45">
      <c r="A877" t="s">
        <v>5417</v>
      </c>
      <c r="B877" s="2">
        <v>46053</v>
      </c>
      <c r="C877" t="s">
        <v>49</v>
      </c>
      <c r="D877" t="s">
        <v>5418</v>
      </c>
      <c r="E877" t="s">
        <v>38</v>
      </c>
      <c r="F877">
        <v>12</v>
      </c>
      <c r="G877" t="s">
        <v>68</v>
      </c>
      <c r="H877" t="s">
        <v>25</v>
      </c>
      <c r="I877" t="s">
        <v>26</v>
      </c>
    </row>
    <row r="878" spans="1:9" x14ac:dyDescent="0.45">
      <c r="A878" t="s">
        <v>5419</v>
      </c>
      <c r="B878" s="2">
        <v>46145</v>
      </c>
      <c r="C878" t="s">
        <v>16</v>
      </c>
      <c r="D878" t="s">
        <v>5420</v>
      </c>
      <c r="E878" t="s">
        <v>46</v>
      </c>
      <c r="F878">
        <v>7</v>
      </c>
      <c r="G878" t="s">
        <v>55</v>
      </c>
      <c r="H878" t="s">
        <v>72</v>
      </c>
      <c r="I878" t="s">
        <v>60</v>
      </c>
    </row>
    <row r="879" spans="1:9" x14ac:dyDescent="0.45">
      <c r="A879" t="s">
        <v>5421</v>
      </c>
      <c r="B879" s="2">
        <v>46260</v>
      </c>
      <c r="C879" t="s">
        <v>21</v>
      </c>
      <c r="D879" t="s">
        <v>5422</v>
      </c>
      <c r="E879" t="s">
        <v>38</v>
      </c>
      <c r="F879">
        <v>2</v>
      </c>
      <c r="G879" t="s">
        <v>68</v>
      </c>
      <c r="H879" t="s">
        <v>25</v>
      </c>
      <c r="I879" t="s">
        <v>31</v>
      </c>
    </row>
    <row r="880" spans="1:9" x14ac:dyDescent="0.45">
      <c r="A880" t="s">
        <v>5423</v>
      </c>
      <c r="B880" s="2">
        <v>46191</v>
      </c>
      <c r="C880" t="s">
        <v>16</v>
      </c>
      <c r="D880" t="s">
        <v>5424</v>
      </c>
      <c r="E880" t="s">
        <v>30</v>
      </c>
      <c r="F880">
        <v>1</v>
      </c>
      <c r="G880" t="s">
        <v>68</v>
      </c>
      <c r="H880" t="s">
        <v>25</v>
      </c>
      <c r="I880" t="s">
        <v>31</v>
      </c>
    </row>
    <row r="881" spans="1:9" x14ac:dyDescent="0.45">
      <c r="A881" t="s">
        <v>5425</v>
      </c>
      <c r="B881" s="2">
        <v>46063</v>
      </c>
      <c r="C881" t="s">
        <v>16</v>
      </c>
      <c r="D881" t="s">
        <v>5426</v>
      </c>
      <c r="E881" t="s">
        <v>7973</v>
      </c>
      <c r="F881">
        <v>11</v>
      </c>
      <c r="G881" t="s">
        <v>68</v>
      </c>
      <c r="H881" t="s">
        <v>25</v>
      </c>
      <c r="I881" t="s">
        <v>60</v>
      </c>
    </row>
    <row r="882" spans="1:9" x14ac:dyDescent="0.45">
      <c r="A882" t="s">
        <v>5427</v>
      </c>
      <c r="B882" s="2">
        <v>46232</v>
      </c>
      <c r="C882" t="s">
        <v>21</v>
      </c>
      <c r="D882" t="s">
        <v>5428</v>
      </c>
      <c r="E882" t="s">
        <v>7973</v>
      </c>
      <c r="F882">
        <v>12</v>
      </c>
      <c r="G882" t="s">
        <v>35</v>
      </c>
      <c r="H882" t="s">
        <v>25</v>
      </c>
      <c r="I882" t="s">
        <v>47</v>
      </c>
    </row>
    <row r="883" spans="1:9" x14ac:dyDescent="0.45">
      <c r="A883" t="s">
        <v>5429</v>
      </c>
      <c r="B883" s="2">
        <v>46160</v>
      </c>
      <c r="C883" t="s">
        <v>28</v>
      </c>
      <c r="D883" t="s">
        <v>5430</v>
      </c>
      <c r="E883" t="s">
        <v>46</v>
      </c>
      <c r="F883">
        <v>2</v>
      </c>
      <c r="G883" t="s">
        <v>43</v>
      </c>
      <c r="H883" t="s">
        <v>14</v>
      </c>
      <c r="I883" t="s">
        <v>39</v>
      </c>
    </row>
    <row r="884" spans="1:9" x14ac:dyDescent="0.45">
      <c r="A884" t="s">
        <v>5431</v>
      </c>
      <c r="B884" s="2">
        <v>46233</v>
      </c>
      <c r="C884" t="s">
        <v>52</v>
      </c>
      <c r="D884" t="s">
        <v>5432</v>
      </c>
      <c r="E884" t="s">
        <v>54</v>
      </c>
      <c r="F884">
        <v>8</v>
      </c>
      <c r="G884" t="s">
        <v>13</v>
      </c>
      <c r="H884" t="s">
        <v>14</v>
      </c>
      <c r="I884" t="s">
        <v>19</v>
      </c>
    </row>
    <row r="885" spans="1:9" x14ac:dyDescent="0.45">
      <c r="A885" t="s">
        <v>5433</v>
      </c>
      <c r="B885" s="2">
        <v>46139</v>
      </c>
      <c r="C885" t="s">
        <v>49</v>
      </c>
      <c r="D885" t="s">
        <v>5434</v>
      </c>
      <c r="E885" t="s">
        <v>75</v>
      </c>
      <c r="F885">
        <v>6</v>
      </c>
      <c r="G885" t="s">
        <v>35</v>
      </c>
      <c r="H885" t="s">
        <v>25</v>
      </c>
      <c r="I885" t="s">
        <v>60</v>
      </c>
    </row>
    <row r="886" spans="1:9" x14ac:dyDescent="0.45">
      <c r="A886" t="s">
        <v>5435</v>
      </c>
      <c r="B886" s="2">
        <v>46074</v>
      </c>
      <c r="C886" t="s">
        <v>28</v>
      </c>
      <c r="D886" t="s">
        <v>5436</v>
      </c>
      <c r="E886" t="s">
        <v>75</v>
      </c>
      <c r="F886">
        <v>6</v>
      </c>
      <c r="G886" t="s">
        <v>68</v>
      </c>
      <c r="H886" t="s">
        <v>25</v>
      </c>
      <c r="I886" t="s">
        <v>39</v>
      </c>
    </row>
    <row r="887" spans="1:9" x14ac:dyDescent="0.45">
      <c r="A887" t="s">
        <v>5437</v>
      </c>
      <c r="B887" s="2">
        <v>46046</v>
      </c>
      <c r="C887" t="s">
        <v>16</v>
      </c>
      <c r="D887" t="s">
        <v>5438</v>
      </c>
      <c r="E887" t="s">
        <v>71</v>
      </c>
      <c r="F887">
        <v>6</v>
      </c>
      <c r="G887" t="s">
        <v>43</v>
      </c>
      <c r="H887" t="s">
        <v>14</v>
      </c>
      <c r="I887" t="s">
        <v>60</v>
      </c>
    </row>
    <row r="888" spans="1:9" x14ac:dyDescent="0.45">
      <c r="A888" t="s">
        <v>5439</v>
      </c>
      <c r="B888" s="2">
        <v>46265</v>
      </c>
      <c r="C888" t="s">
        <v>21</v>
      </c>
      <c r="D888" t="s">
        <v>5440</v>
      </c>
      <c r="E888" t="s">
        <v>7973</v>
      </c>
      <c r="F888">
        <v>10</v>
      </c>
      <c r="G888" t="s">
        <v>24</v>
      </c>
      <c r="H888" t="s">
        <v>25</v>
      </c>
      <c r="I888" t="s">
        <v>60</v>
      </c>
    </row>
    <row r="889" spans="1:9" x14ac:dyDescent="0.45">
      <c r="A889" t="s">
        <v>5441</v>
      </c>
      <c r="B889" s="2">
        <v>46089</v>
      </c>
      <c r="C889" t="s">
        <v>28</v>
      </c>
      <c r="D889" t="s">
        <v>5442</v>
      </c>
      <c r="E889" t="s">
        <v>34</v>
      </c>
      <c r="F889">
        <v>10</v>
      </c>
      <c r="G889" t="s">
        <v>55</v>
      </c>
      <c r="H889" t="s">
        <v>72</v>
      </c>
      <c r="I889" t="s">
        <v>39</v>
      </c>
    </row>
    <row r="890" spans="1:9" x14ac:dyDescent="0.45">
      <c r="A890" t="s">
        <v>5443</v>
      </c>
      <c r="B890" s="2">
        <v>46171</v>
      </c>
      <c r="C890" t="s">
        <v>99</v>
      </c>
      <c r="D890" t="s">
        <v>5444</v>
      </c>
      <c r="E890" t="s">
        <v>30</v>
      </c>
      <c r="F890">
        <v>6</v>
      </c>
      <c r="G890" t="s">
        <v>35</v>
      </c>
      <c r="H890" t="s">
        <v>25</v>
      </c>
      <c r="I890" t="s">
        <v>39</v>
      </c>
    </row>
    <row r="891" spans="1:9" x14ac:dyDescent="0.45">
      <c r="A891" t="s">
        <v>5445</v>
      </c>
      <c r="B891" s="2">
        <v>46220</v>
      </c>
      <c r="C891" t="s">
        <v>16</v>
      </c>
      <c r="D891" t="s">
        <v>5446</v>
      </c>
      <c r="E891" t="s">
        <v>58</v>
      </c>
      <c r="F891">
        <v>5</v>
      </c>
      <c r="G891" t="s">
        <v>24</v>
      </c>
      <c r="H891" t="s">
        <v>25</v>
      </c>
      <c r="I891" t="s">
        <v>31</v>
      </c>
    </row>
    <row r="892" spans="1:9" x14ac:dyDescent="0.45">
      <c r="A892" t="s">
        <v>5447</v>
      </c>
      <c r="B892" s="2">
        <v>46225</v>
      </c>
      <c r="C892" t="s">
        <v>49</v>
      </c>
      <c r="D892" t="s">
        <v>5448</v>
      </c>
      <c r="E892" t="s">
        <v>34</v>
      </c>
      <c r="F892">
        <v>1</v>
      </c>
      <c r="G892" t="s">
        <v>59</v>
      </c>
      <c r="H892" t="s">
        <v>14</v>
      </c>
      <c r="I892" t="s">
        <v>39</v>
      </c>
    </row>
    <row r="893" spans="1:9" x14ac:dyDescent="0.45">
      <c r="A893" t="s">
        <v>5449</v>
      </c>
      <c r="B893" s="2">
        <v>46157</v>
      </c>
      <c r="C893" t="s">
        <v>28</v>
      </c>
      <c r="D893" t="s">
        <v>5450</v>
      </c>
      <c r="E893" t="s">
        <v>54</v>
      </c>
      <c r="F893">
        <v>9</v>
      </c>
      <c r="G893" t="s">
        <v>43</v>
      </c>
      <c r="H893" t="s">
        <v>14</v>
      </c>
      <c r="I893" t="s">
        <v>47</v>
      </c>
    </row>
    <row r="894" spans="1:9" x14ac:dyDescent="0.45">
      <c r="A894" t="s">
        <v>5451</v>
      </c>
      <c r="B894" s="2">
        <v>46200</v>
      </c>
      <c r="C894" t="s">
        <v>52</v>
      </c>
      <c r="D894" t="s">
        <v>5452</v>
      </c>
      <c r="E894" t="s">
        <v>71</v>
      </c>
      <c r="F894">
        <v>11</v>
      </c>
      <c r="G894" t="s">
        <v>18</v>
      </c>
      <c r="H894" t="s">
        <v>14</v>
      </c>
      <c r="I894" t="s">
        <v>47</v>
      </c>
    </row>
    <row r="895" spans="1:9" x14ac:dyDescent="0.45">
      <c r="A895" t="s">
        <v>5453</v>
      </c>
      <c r="B895" s="2">
        <v>46244</v>
      </c>
      <c r="C895" t="s">
        <v>49</v>
      </c>
      <c r="D895" t="s">
        <v>5454</v>
      </c>
      <c r="E895" t="s">
        <v>30</v>
      </c>
      <c r="F895">
        <v>2</v>
      </c>
      <c r="G895" t="s">
        <v>55</v>
      </c>
      <c r="H895" t="s">
        <v>72</v>
      </c>
      <c r="I895" t="s">
        <v>39</v>
      </c>
    </row>
    <row r="896" spans="1:9" x14ac:dyDescent="0.45">
      <c r="A896" t="s">
        <v>5455</v>
      </c>
      <c r="B896" s="2">
        <v>46122</v>
      </c>
      <c r="C896" t="s">
        <v>28</v>
      </c>
      <c r="D896" t="s">
        <v>5456</v>
      </c>
      <c r="E896" t="s">
        <v>54</v>
      </c>
      <c r="F896">
        <v>12</v>
      </c>
      <c r="G896" t="s">
        <v>24</v>
      </c>
      <c r="H896" t="s">
        <v>25</v>
      </c>
      <c r="I896" t="s">
        <v>31</v>
      </c>
    </row>
    <row r="897" spans="1:9" x14ac:dyDescent="0.45">
      <c r="A897" t="s">
        <v>5457</v>
      </c>
      <c r="B897" s="2">
        <v>46191</v>
      </c>
      <c r="C897" t="s">
        <v>21</v>
      </c>
      <c r="D897" t="s">
        <v>5458</v>
      </c>
      <c r="E897" t="s">
        <v>7974</v>
      </c>
      <c r="F897">
        <v>12</v>
      </c>
      <c r="G897" t="s">
        <v>59</v>
      </c>
      <c r="H897" t="s">
        <v>14</v>
      </c>
      <c r="I897" t="s">
        <v>39</v>
      </c>
    </row>
    <row r="898" spans="1:9" x14ac:dyDescent="0.45">
      <c r="A898" t="s">
        <v>5459</v>
      </c>
      <c r="B898" s="2">
        <v>46183</v>
      </c>
      <c r="C898" t="s">
        <v>66</v>
      </c>
      <c r="D898" t="s">
        <v>5460</v>
      </c>
      <c r="E898" t="s">
        <v>58</v>
      </c>
      <c r="F898">
        <v>5</v>
      </c>
      <c r="G898" t="s">
        <v>24</v>
      </c>
      <c r="H898" t="s">
        <v>25</v>
      </c>
      <c r="I898" t="s">
        <v>39</v>
      </c>
    </row>
    <row r="899" spans="1:9" x14ac:dyDescent="0.45">
      <c r="A899" t="s">
        <v>5461</v>
      </c>
      <c r="B899" s="2">
        <v>46099</v>
      </c>
      <c r="C899" t="s">
        <v>28</v>
      </c>
      <c r="D899" t="s">
        <v>5462</v>
      </c>
      <c r="E899" t="s">
        <v>75</v>
      </c>
      <c r="F899">
        <v>4</v>
      </c>
      <c r="G899" t="s">
        <v>43</v>
      </c>
      <c r="H899" t="s">
        <v>14</v>
      </c>
      <c r="I899" t="s">
        <v>31</v>
      </c>
    </row>
    <row r="900" spans="1:9" x14ac:dyDescent="0.45">
      <c r="A900" t="s">
        <v>5463</v>
      </c>
      <c r="B900" s="2">
        <v>46250</v>
      </c>
      <c r="C900" t="s">
        <v>10</v>
      </c>
      <c r="D900" t="s">
        <v>5464</v>
      </c>
      <c r="E900" t="s">
        <v>46</v>
      </c>
      <c r="F900">
        <v>2</v>
      </c>
      <c r="G900" t="s">
        <v>18</v>
      </c>
      <c r="H900" t="s">
        <v>14</v>
      </c>
      <c r="I900" t="s">
        <v>31</v>
      </c>
    </row>
    <row r="901" spans="1:9" x14ac:dyDescent="0.45">
      <c r="A901" t="s">
        <v>5465</v>
      </c>
      <c r="B901" s="2">
        <v>46061</v>
      </c>
      <c r="C901" t="s">
        <v>99</v>
      </c>
      <c r="D901" t="s">
        <v>5466</v>
      </c>
      <c r="E901" t="s">
        <v>7973</v>
      </c>
      <c r="F901">
        <v>3</v>
      </c>
      <c r="G901" t="s">
        <v>43</v>
      </c>
      <c r="H901" t="s">
        <v>14</v>
      </c>
      <c r="I901" t="s">
        <v>47</v>
      </c>
    </row>
    <row r="902" spans="1:9" x14ac:dyDescent="0.45">
      <c r="A902" t="s">
        <v>5467</v>
      </c>
      <c r="B902" s="2">
        <v>46129</v>
      </c>
      <c r="C902" t="s">
        <v>49</v>
      </c>
      <c r="D902" t="s">
        <v>5468</v>
      </c>
      <c r="E902" t="s">
        <v>7967</v>
      </c>
      <c r="F902">
        <v>5</v>
      </c>
      <c r="G902" t="s">
        <v>24</v>
      </c>
      <c r="H902" t="s">
        <v>25</v>
      </c>
      <c r="I902" t="s">
        <v>60</v>
      </c>
    </row>
    <row r="903" spans="1:9" x14ac:dyDescent="0.45">
      <c r="A903" t="s">
        <v>5469</v>
      </c>
      <c r="B903" s="2">
        <v>46206</v>
      </c>
      <c r="C903" t="s">
        <v>21</v>
      </c>
      <c r="D903" t="s">
        <v>5470</v>
      </c>
      <c r="E903" t="s">
        <v>54</v>
      </c>
      <c r="F903">
        <v>9</v>
      </c>
      <c r="G903" t="s">
        <v>68</v>
      </c>
      <c r="H903" t="s">
        <v>25</v>
      </c>
      <c r="I903" t="s">
        <v>47</v>
      </c>
    </row>
    <row r="904" spans="1:9" x14ac:dyDescent="0.45">
      <c r="A904" t="s">
        <v>5471</v>
      </c>
      <c r="B904" s="2">
        <v>46023</v>
      </c>
      <c r="C904" t="s">
        <v>52</v>
      </c>
      <c r="D904" t="s">
        <v>5472</v>
      </c>
      <c r="E904" t="s">
        <v>30</v>
      </c>
      <c r="F904">
        <v>12</v>
      </c>
      <c r="G904" t="s">
        <v>24</v>
      </c>
      <c r="H904" t="s">
        <v>25</v>
      </c>
      <c r="I904" t="s">
        <v>39</v>
      </c>
    </row>
    <row r="905" spans="1:9" x14ac:dyDescent="0.45">
      <c r="A905" t="s">
        <v>5473</v>
      </c>
      <c r="B905" s="2">
        <v>46194</v>
      </c>
      <c r="C905" t="s">
        <v>49</v>
      </c>
      <c r="D905" t="s">
        <v>5474</v>
      </c>
      <c r="E905" t="s">
        <v>46</v>
      </c>
      <c r="F905">
        <v>3</v>
      </c>
      <c r="G905" t="s">
        <v>24</v>
      </c>
      <c r="H905" t="s">
        <v>25</v>
      </c>
      <c r="I905" t="s">
        <v>47</v>
      </c>
    </row>
    <row r="906" spans="1:9" x14ac:dyDescent="0.45">
      <c r="A906" t="s">
        <v>5475</v>
      </c>
      <c r="B906" s="2">
        <v>46214</v>
      </c>
      <c r="C906" t="s">
        <v>21</v>
      </c>
      <c r="D906" t="s">
        <v>5476</v>
      </c>
      <c r="E906" t="s">
        <v>38</v>
      </c>
      <c r="F906">
        <v>2</v>
      </c>
      <c r="G906" t="s">
        <v>7967</v>
      </c>
      <c r="H906" t="s">
        <v>25</v>
      </c>
      <c r="I906" t="s">
        <v>19</v>
      </c>
    </row>
    <row r="907" spans="1:9" x14ac:dyDescent="0.45">
      <c r="A907" t="s">
        <v>5477</v>
      </c>
      <c r="B907" s="2">
        <v>46052</v>
      </c>
      <c r="C907" t="s">
        <v>16</v>
      </c>
      <c r="D907" t="s">
        <v>5478</v>
      </c>
      <c r="E907" t="s">
        <v>7973</v>
      </c>
      <c r="F907">
        <v>11</v>
      </c>
      <c r="G907" t="s">
        <v>35</v>
      </c>
      <c r="H907" t="s">
        <v>25</v>
      </c>
      <c r="I907" t="s">
        <v>26</v>
      </c>
    </row>
    <row r="908" spans="1:9" x14ac:dyDescent="0.45">
      <c r="A908" t="s">
        <v>5479</v>
      </c>
      <c r="B908" s="2">
        <v>46125</v>
      </c>
      <c r="C908" t="s">
        <v>99</v>
      </c>
      <c r="D908" t="s">
        <v>5480</v>
      </c>
      <c r="E908" t="s">
        <v>30</v>
      </c>
      <c r="F908">
        <v>9</v>
      </c>
      <c r="G908" t="s">
        <v>55</v>
      </c>
      <c r="H908" t="s">
        <v>72</v>
      </c>
      <c r="I908" t="s">
        <v>39</v>
      </c>
    </row>
    <row r="909" spans="1:9" x14ac:dyDescent="0.45">
      <c r="A909" t="s">
        <v>5481</v>
      </c>
      <c r="B909" s="2">
        <v>46115</v>
      </c>
      <c r="C909" t="s">
        <v>28</v>
      </c>
      <c r="D909" t="s">
        <v>5482</v>
      </c>
      <c r="E909" t="s">
        <v>30</v>
      </c>
      <c r="F909">
        <v>10</v>
      </c>
      <c r="G909" t="s">
        <v>13</v>
      </c>
      <c r="H909" t="s">
        <v>14</v>
      </c>
      <c r="I909" t="s">
        <v>47</v>
      </c>
    </row>
    <row r="910" spans="1:9" x14ac:dyDescent="0.45">
      <c r="A910" t="s">
        <v>5483</v>
      </c>
      <c r="B910" s="2">
        <v>46051</v>
      </c>
      <c r="C910" t="s">
        <v>49</v>
      </c>
      <c r="D910" t="s">
        <v>5484</v>
      </c>
      <c r="E910" t="s">
        <v>34</v>
      </c>
      <c r="F910">
        <v>5</v>
      </c>
      <c r="G910" t="s">
        <v>43</v>
      </c>
      <c r="H910" t="s">
        <v>14</v>
      </c>
      <c r="I910" t="s">
        <v>39</v>
      </c>
    </row>
    <row r="911" spans="1:9" x14ac:dyDescent="0.45">
      <c r="A911" t="s">
        <v>5485</v>
      </c>
      <c r="B911" s="2">
        <v>46135</v>
      </c>
      <c r="C911" t="s">
        <v>49</v>
      </c>
      <c r="D911" t="s">
        <v>5486</v>
      </c>
      <c r="E911" t="s">
        <v>30</v>
      </c>
      <c r="F911">
        <v>8</v>
      </c>
      <c r="G911" t="s">
        <v>24</v>
      </c>
      <c r="H911" t="s">
        <v>25</v>
      </c>
      <c r="I911" t="s">
        <v>26</v>
      </c>
    </row>
    <row r="912" spans="1:9" x14ac:dyDescent="0.45">
      <c r="A912" t="s">
        <v>5487</v>
      </c>
      <c r="B912" s="2">
        <v>46234</v>
      </c>
      <c r="C912" t="s">
        <v>49</v>
      </c>
      <c r="D912" t="s">
        <v>5488</v>
      </c>
      <c r="E912" t="s">
        <v>38</v>
      </c>
      <c r="F912">
        <v>9</v>
      </c>
      <c r="G912" t="s">
        <v>43</v>
      </c>
      <c r="H912" t="s">
        <v>14</v>
      </c>
      <c r="I912" t="s">
        <v>60</v>
      </c>
    </row>
    <row r="913" spans="1:9" x14ac:dyDescent="0.45">
      <c r="A913" t="s">
        <v>5489</v>
      </c>
      <c r="B913" s="2">
        <v>46218</v>
      </c>
      <c r="C913" t="s">
        <v>16</v>
      </c>
      <c r="D913" t="s">
        <v>5490</v>
      </c>
      <c r="E913" t="s">
        <v>46</v>
      </c>
      <c r="F913">
        <v>4</v>
      </c>
      <c r="G913" t="s">
        <v>18</v>
      </c>
      <c r="H913" t="s">
        <v>14</v>
      </c>
      <c r="I913" t="s">
        <v>31</v>
      </c>
    </row>
    <row r="914" spans="1:9" x14ac:dyDescent="0.45">
      <c r="A914" t="s">
        <v>5491</v>
      </c>
      <c r="B914" s="2">
        <v>46196</v>
      </c>
      <c r="C914" t="s">
        <v>21</v>
      </c>
      <c r="D914" t="s">
        <v>5492</v>
      </c>
      <c r="E914" t="s">
        <v>7974</v>
      </c>
      <c r="F914">
        <v>11</v>
      </c>
      <c r="G914" t="s">
        <v>55</v>
      </c>
      <c r="H914" t="s">
        <v>72</v>
      </c>
      <c r="I914" t="s">
        <v>26</v>
      </c>
    </row>
    <row r="915" spans="1:9" x14ac:dyDescent="0.45">
      <c r="A915" t="s">
        <v>5493</v>
      </c>
      <c r="B915" s="2">
        <v>46142</v>
      </c>
      <c r="C915" t="s">
        <v>99</v>
      </c>
      <c r="D915" t="s">
        <v>5494</v>
      </c>
      <c r="E915" t="s">
        <v>30</v>
      </c>
      <c r="F915">
        <v>9</v>
      </c>
      <c r="G915" t="s">
        <v>24</v>
      </c>
      <c r="H915" t="s">
        <v>25</v>
      </c>
      <c r="I915" t="s">
        <v>19</v>
      </c>
    </row>
    <row r="916" spans="1:9" x14ac:dyDescent="0.45">
      <c r="A916" t="s">
        <v>5495</v>
      </c>
      <c r="B916" s="2">
        <v>46257</v>
      </c>
      <c r="C916" t="s">
        <v>10</v>
      </c>
      <c r="D916" t="s">
        <v>5496</v>
      </c>
      <c r="E916" t="s">
        <v>46</v>
      </c>
      <c r="F916">
        <v>4</v>
      </c>
      <c r="G916" t="s">
        <v>35</v>
      </c>
      <c r="H916" t="s">
        <v>25</v>
      </c>
      <c r="I916" t="s">
        <v>47</v>
      </c>
    </row>
    <row r="917" spans="1:9" x14ac:dyDescent="0.45">
      <c r="A917" t="s">
        <v>5497</v>
      </c>
      <c r="B917" s="2">
        <v>46180</v>
      </c>
      <c r="C917" t="s">
        <v>10</v>
      </c>
      <c r="D917" t="s">
        <v>5498</v>
      </c>
      <c r="E917" t="s">
        <v>30</v>
      </c>
      <c r="F917">
        <v>6</v>
      </c>
      <c r="G917" t="s">
        <v>7967</v>
      </c>
      <c r="H917" t="s">
        <v>14</v>
      </c>
      <c r="I917" t="s">
        <v>60</v>
      </c>
    </row>
    <row r="918" spans="1:9" x14ac:dyDescent="0.45">
      <c r="A918" t="s">
        <v>5499</v>
      </c>
      <c r="B918" s="2">
        <v>46147</v>
      </c>
      <c r="C918" t="s">
        <v>21</v>
      </c>
      <c r="D918" t="s">
        <v>5500</v>
      </c>
      <c r="E918" t="s">
        <v>38</v>
      </c>
      <c r="F918">
        <v>6</v>
      </c>
      <c r="G918" t="s">
        <v>55</v>
      </c>
      <c r="H918" t="s">
        <v>72</v>
      </c>
      <c r="I918" t="s">
        <v>60</v>
      </c>
    </row>
    <row r="919" spans="1:9" x14ac:dyDescent="0.45">
      <c r="A919" t="s">
        <v>5501</v>
      </c>
      <c r="B919" s="2">
        <v>46159</v>
      </c>
      <c r="C919" t="s">
        <v>16</v>
      </c>
      <c r="D919" t="s">
        <v>5502</v>
      </c>
      <c r="E919" t="s">
        <v>58</v>
      </c>
      <c r="F919">
        <v>1</v>
      </c>
      <c r="G919" t="s">
        <v>35</v>
      </c>
      <c r="H919" t="s">
        <v>25</v>
      </c>
      <c r="I919" t="s">
        <v>47</v>
      </c>
    </row>
    <row r="920" spans="1:9" x14ac:dyDescent="0.45">
      <c r="A920" t="s">
        <v>5503</v>
      </c>
      <c r="B920" s="2">
        <v>46142</v>
      </c>
      <c r="C920" t="s">
        <v>28</v>
      </c>
      <c r="D920" t="s">
        <v>5504</v>
      </c>
      <c r="E920" t="s">
        <v>7973</v>
      </c>
      <c r="F920">
        <v>10</v>
      </c>
      <c r="G920" t="s">
        <v>24</v>
      </c>
      <c r="H920" t="s">
        <v>25</v>
      </c>
      <c r="I920" t="s">
        <v>47</v>
      </c>
    </row>
    <row r="921" spans="1:9" x14ac:dyDescent="0.45">
      <c r="A921" t="s">
        <v>5505</v>
      </c>
      <c r="B921" s="2">
        <v>46266</v>
      </c>
      <c r="C921" t="s">
        <v>16</v>
      </c>
      <c r="D921" t="s">
        <v>5506</v>
      </c>
      <c r="E921" t="s">
        <v>7974</v>
      </c>
      <c r="F921">
        <v>10</v>
      </c>
      <c r="G921" t="s">
        <v>43</v>
      </c>
      <c r="H921" t="s">
        <v>14</v>
      </c>
      <c r="I921" t="s">
        <v>47</v>
      </c>
    </row>
    <row r="922" spans="1:9" x14ac:dyDescent="0.45">
      <c r="A922" t="s">
        <v>5507</v>
      </c>
      <c r="B922" s="2">
        <v>46057</v>
      </c>
      <c r="C922" t="s">
        <v>16</v>
      </c>
      <c r="D922" t="s">
        <v>5508</v>
      </c>
      <c r="E922" t="s">
        <v>58</v>
      </c>
      <c r="F922">
        <v>5</v>
      </c>
      <c r="G922" t="s">
        <v>43</v>
      </c>
      <c r="H922" t="s">
        <v>14</v>
      </c>
      <c r="I922" t="s">
        <v>19</v>
      </c>
    </row>
    <row r="923" spans="1:9" x14ac:dyDescent="0.45">
      <c r="A923" t="s">
        <v>5509</v>
      </c>
      <c r="B923" s="2">
        <v>46177</v>
      </c>
      <c r="C923" t="s">
        <v>10</v>
      </c>
      <c r="D923" t="s">
        <v>5510</v>
      </c>
      <c r="E923" t="s">
        <v>7967</v>
      </c>
      <c r="F923">
        <v>1</v>
      </c>
      <c r="G923" t="s">
        <v>55</v>
      </c>
      <c r="H923" t="s">
        <v>72</v>
      </c>
      <c r="I923" t="s">
        <v>19</v>
      </c>
    </row>
    <row r="924" spans="1:9" x14ac:dyDescent="0.45">
      <c r="A924" t="s">
        <v>5511</v>
      </c>
      <c r="B924" s="2">
        <v>46087</v>
      </c>
      <c r="C924" t="s">
        <v>99</v>
      </c>
      <c r="D924" t="s">
        <v>5512</v>
      </c>
      <c r="E924" t="s">
        <v>71</v>
      </c>
      <c r="F924">
        <v>2</v>
      </c>
      <c r="G924" t="s">
        <v>68</v>
      </c>
      <c r="H924" t="s">
        <v>25</v>
      </c>
      <c r="I924" t="s">
        <v>7967</v>
      </c>
    </row>
    <row r="925" spans="1:9" x14ac:dyDescent="0.45">
      <c r="A925" t="s">
        <v>5513</v>
      </c>
      <c r="B925" s="2">
        <v>46054</v>
      </c>
      <c r="C925" t="s">
        <v>49</v>
      </c>
      <c r="D925" t="s">
        <v>5514</v>
      </c>
      <c r="E925" t="s">
        <v>46</v>
      </c>
      <c r="F925">
        <v>6</v>
      </c>
      <c r="G925" t="s">
        <v>43</v>
      </c>
      <c r="H925" t="s">
        <v>14</v>
      </c>
      <c r="I925" t="s">
        <v>7967</v>
      </c>
    </row>
    <row r="926" spans="1:9" x14ac:dyDescent="0.45">
      <c r="A926" t="s">
        <v>5515</v>
      </c>
      <c r="B926" s="2">
        <v>46073</v>
      </c>
      <c r="C926" t="s">
        <v>28</v>
      </c>
      <c r="D926" t="s">
        <v>5516</v>
      </c>
      <c r="E926" t="s">
        <v>23</v>
      </c>
      <c r="F926">
        <v>5</v>
      </c>
      <c r="G926" t="s">
        <v>18</v>
      </c>
      <c r="H926" t="s">
        <v>14</v>
      </c>
      <c r="I926" t="s">
        <v>39</v>
      </c>
    </row>
    <row r="927" spans="1:9" x14ac:dyDescent="0.45">
      <c r="A927" t="s">
        <v>5517</v>
      </c>
      <c r="B927" s="2">
        <v>46027</v>
      </c>
      <c r="C927" t="s">
        <v>21</v>
      </c>
      <c r="D927" t="s">
        <v>5518</v>
      </c>
      <c r="E927" t="s">
        <v>38</v>
      </c>
      <c r="F927">
        <v>8</v>
      </c>
      <c r="G927" t="s">
        <v>18</v>
      </c>
      <c r="H927" t="s">
        <v>14</v>
      </c>
      <c r="I927" t="s">
        <v>47</v>
      </c>
    </row>
    <row r="928" spans="1:9" x14ac:dyDescent="0.45">
      <c r="A928" t="s">
        <v>5519</v>
      </c>
      <c r="B928" s="2">
        <v>46026</v>
      </c>
      <c r="C928" t="s">
        <v>52</v>
      </c>
      <c r="D928" t="s">
        <v>5520</v>
      </c>
      <c r="E928" t="s">
        <v>46</v>
      </c>
      <c r="F928">
        <v>2</v>
      </c>
      <c r="G928" t="s">
        <v>55</v>
      </c>
      <c r="H928" t="s">
        <v>72</v>
      </c>
      <c r="I928" t="s">
        <v>19</v>
      </c>
    </row>
    <row r="929" spans="1:9" x14ac:dyDescent="0.45">
      <c r="A929" t="s">
        <v>5521</v>
      </c>
      <c r="B929" s="2">
        <v>46220</v>
      </c>
      <c r="C929" t="s">
        <v>10</v>
      </c>
      <c r="D929" t="s">
        <v>5522</v>
      </c>
      <c r="E929" t="s">
        <v>42</v>
      </c>
      <c r="F929">
        <v>1</v>
      </c>
      <c r="G929" t="s">
        <v>68</v>
      </c>
      <c r="H929" t="s">
        <v>25</v>
      </c>
      <c r="I929" t="s">
        <v>26</v>
      </c>
    </row>
    <row r="930" spans="1:9" x14ac:dyDescent="0.45">
      <c r="A930" t="s">
        <v>5523</v>
      </c>
      <c r="B930" s="2">
        <v>46160</v>
      </c>
      <c r="C930" t="s">
        <v>49</v>
      </c>
      <c r="D930" t="s">
        <v>5524</v>
      </c>
      <c r="E930" t="s">
        <v>71</v>
      </c>
      <c r="F930">
        <v>4</v>
      </c>
      <c r="G930" t="s">
        <v>24</v>
      </c>
      <c r="H930" t="s">
        <v>25</v>
      </c>
      <c r="I930" t="s">
        <v>31</v>
      </c>
    </row>
    <row r="931" spans="1:9" x14ac:dyDescent="0.45">
      <c r="A931" t="s">
        <v>5525</v>
      </c>
      <c r="B931" s="2">
        <v>46177</v>
      </c>
      <c r="C931" t="s">
        <v>16</v>
      </c>
      <c r="D931" t="s">
        <v>5526</v>
      </c>
      <c r="E931" t="s">
        <v>58</v>
      </c>
      <c r="F931">
        <v>6</v>
      </c>
      <c r="G931" t="s">
        <v>13</v>
      </c>
      <c r="H931" t="s">
        <v>14</v>
      </c>
      <c r="I931" t="s">
        <v>60</v>
      </c>
    </row>
    <row r="932" spans="1:9" x14ac:dyDescent="0.45">
      <c r="A932" t="s">
        <v>5527</v>
      </c>
      <c r="B932" s="2">
        <v>46257</v>
      </c>
      <c r="C932" t="s">
        <v>99</v>
      </c>
      <c r="D932" t="s">
        <v>5528</v>
      </c>
      <c r="E932" t="s">
        <v>71</v>
      </c>
      <c r="F932">
        <v>4</v>
      </c>
      <c r="G932" t="s">
        <v>24</v>
      </c>
      <c r="H932" t="s">
        <v>25</v>
      </c>
      <c r="I932" t="s">
        <v>26</v>
      </c>
    </row>
    <row r="933" spans="1:9" x14ac:dyDescent="0.45">
      <c r="A933" t="s">
        <v>5529</v>
      </c>
      <c r="B933" s="2">
        <v>46136</v>
      </c>
      <c r="C933" t="s">
        <v>28</v>
      </c>
      <c r="D933" t="s">
        <v>5530</v>
      </c>
      <c r="E933" t="s">
        <v>42</v>
      </c>
      <c r="F933">
        <v>11</v>
      </c>
      <c r="G933" t="s">
        <v>55</v>
      </c>
      <c r="H933" t="s">
        <v>72</v>
      </c>
      <c r="I933" t="s">
        <v>39</v>
      </c>
    </row>
    <row r="934" spans="1:9" x14ac:dyDescent="0.45">
      <c r="A934" t="s">
        <v>5531</v>
      </c>
      <c r="B934" s="2">
        <v>46227</v>
      </c>
      <c r="C934" t="s">
        <v>66</v>
      </c>
      <c r="D934" t="s">
        <v>5532</v>
      </c>
      <c r="E934" t="s">
        <v>75</v>
      </c>
      <c r="F934">
        <v>12</v>
      </c>
      <c r="G934" t="s">
        <v>43</v>
      </c>
      <c r="H934" t="s">
        <v>14</v>
      </c>
      <c r="I934" t="s">
        <v>47</v>
      </c>
    </row>
    <row r="935" spans="1:9" x14ac:dyDescent="0.45">
      <c r="A935" t="s">
        <v>5533</v>
      </c>
      <c r="B935" s="2">
        <v>46184</v>
      </c>
      <c r="C935" t="s">
        <v>28</v>
      </c>
      <c r="D935" t="s">
        <v>5534</v>
      </c>
      <c r="E935" t="s">
        <v>75</v>
      </c>
      <c r="F935">
        <v>8</v>
      </c>
      <c r="G935" t="s">
        <v>55</v>
      </c>
      <c r="H935" t="s">
        <v>72</v>
      </c>
      <c r="I935" t="s">
        <v>19</v>
      </c>
    </row>
    <row r="936" spans="1:9" x14ac:dyDescent="0.45">
      <c r="A936" t="s">
        <v>5535</v>
      </c>
      <c r="B936" s="2">
        <v>46257</v>
      </c>
      <c r="C936" t="s">
        <v>49</v>
      </c>
      <c r="D936" t="s">
        <v>5536</v>
      </c>
      <c r="E936" t="s">
        <v>42</v>
      </c>
      <c r="F936">
        <v>1</v>
      </c>
      <c r="G936" t="s">
        <v>68</v>
      </c>
      <c r="H936" t="s">
        <v>25</v>
      </c>
      <c r="I936" t="s">
        <v>47</v>
      </c>
    </row>
    <row r="937" spans="1:9" x14ac:dyDescent="0.45">
      <c r="A937" t="s">
        <v>5537</v>
      </c>
      <c r="B937" s="2">
        <v>46062</v>
      </c>
      <c r="C937" t="s">
        <v>28</v>
      </c>
      <c r="D937" t="s">
        <v>5538</v>
      </c>
      <c r="E937" t="s">
        <v>42</v>
      </c>
      <c r="F937">
        <v>10</v>
      </c>
      <c r="G937" t="s">
        <v>55</v>
      </c>
      <c r="H937" t="s">
        <v>72</v>
      </c>
      <c r="I937" t="s">
        <v>26</v>
      </c>
    </row>
    <row r="938" spans="1:9" x14ac:dyDescent="0.45">
      <c r="A938" t="s">
        <v>5539</v>
      </c>
      <c r="B938" s="2">
        <v>46166</v>
      </c>
      <c r="C938" t="s">
        <v>16</v>
      </c>
      <c r="D938" t="s">
        <v>5540</v>
      </c>
      <c r="E938" t="s">
        <v>23</v>
      </c>
      <c r="F938">
        <v>6</v>
      </c>
      <c r="G938" t="s">
        <v>59</v>
      </c>
      <c r="H938" t="s">
        <v>14</v>
      </c>
      <c r="I938" t="s">
        <v>7967</v>
      </c>
    </row>
    <row r="939" spans="1:9" x14ac:dyDescent="0.45">
      <c r="A939" t="s">
        <v>5541</v>
      </c>
      <c r="B939" s="2">
        <v>46105</v>
      </c>
      <c r="C939" t="s">
        <v>21</v>
      </c>
      <c r="D939" t="s">
        <v>5542</v>
      </c>
      <c r="E939" t="s">
        <v>71</v>
      </c>
      <c r="F939">
        <v>4</v>
      </c>
      <c r="G939" t="s">
        <v>68</v>
      </c>
      <c r="H939" t="s">
        <v>25</v>
      </c>
      <c r="I939" t="s">
        <v>31</v>
      </c>
    </row>
    <row r="940" spans="1:9" x14ac:dyDescent="0.45">
      <c r="A940" t="s">
        <v>5543</v>
      </c>
      <c r="B940" s="2">
        <v>46188</v>
      </c>
      <c r="C940" t="s">
        <v>28</v>
      </c>
      <c r="D940" t="s">
        <v>5544</v>
      </c>
      <c r="E940" t="s">
        <v>54</v>
      </c>
      <c r="F940">
        <v>1</v>
      </c>
      <c r="G940" t="s">
        <v>68</v>
      </c>
      <c r="H940" t="s">
        <v>25</v>
      </c>
      <c r="I940" t="s">
        <v>31</v>
      </c>
    </row>
    <row r="941" spans="1:9" x14ac:dyDescent="0.45">
      <c r="A941" t="s">
        <v>5545</v>
      </c>
      <c r="B941" s="2">
        <v>46072</v>
      </c>
      <c r="C941" t="s">
        <v>99</v>
      </c>
      <c r="D941" t="s">
        <v>5546</v>
      </c>
      <c r="E941" t="s">
        <v>75</v>
      </c>
      <c r="F941">
        <v>1</v>
      </c>
      <c r="G941" t="s">
        <v>55</v>
      </c>
      <c r="H941" t="s">
        <v>72</v>
      </c>
      <c r="I941" t="s">
        <v>47</v>
      </c>
    </row>
    <row r="942" spans="1:9" x14ac:dyDescent="0.45">
      <c r="A942" t="s">
        <v>5547</v>
      </c>
      <c r="B942" s="2">
        <v>46104</v>
      </c>
      <c r="C942" t="s">
        <v>52</v>
      </c>
      <c r="D942" t="s">
        <v>5548</v>
      </c>
      <c r="E942" t="s">
        <v>30</v>
      </c>
      <c r="F942">
        <v>7</v>
      </c>
      <c r="G942" t="s">
        <v>24</v>
      </c>
      <c r="H942" t="s">
        <v>25</v>
      </c>
      <c r="I942" t="s">
        <v>47</v>
      </c>
    </row>
    <row r="943" spans="1:9" x14ac:dyDescent="0.45">
      <c r="A943" t="s">
        <v>5549</v>
      </c>
      <c r="B943" s="2">
        <v>46074</v>
      </c>
      <c r="C943" t="s">
        <v>52</v>
      </c>
      <c r="D943" t="s">
        <v>5550</v>
      </c>
      <c r="E943" t="s">
        <v>58</v>
      </c>
      <c r="F943">
        <v>3</v>
      </c>
      <c r="G943" t="s">
        <v>35</v>
      </c>
      <c r="H943" t="s">
        <v>25</v>
      </c>
      <c r="I943" t="s">
        <v>60</v>
      </c>
    </row>
    <row r="944" spans="1:9" x14ac:dyDescent="0.45">
      <c r="A944" t="s">
        <v>5551</v>
      </c>
      <c r="B944" s="2">
        <v>46066</v>
      </c>
      <c r="C944" t="s">
        <v>52</v>
      </c>
      <c r="D944" t="s">
        <v>5552</v>
      </c>
      <c r="E944" t="s">
        <v>34</v>
      </c>
      <c r="F944">
        <v>6</v>
      </c>
      <c r="G944" t="s">
        <v>18</v>
      </c>
      <c r="H944" t="s">
        <v>14</v>
      </c>
      <c r="I944" t="s">
        <v>31</v>
      </c>
    </row>
    <row r="945" spans="1:9" x14ac:dyDescent="0.45">
      <c r="A945" t="s">
        <v>5553</v>
      </c>
      <c r="B945" s="2">
        <v>46166</v>
      </c>
      <c r="C945" t="s">
        <v>28</v>
      </c>
      <c r="D945" t="s">
        <v>5554</v>
      </c>
      <c r="E945" t="s">
        <v>7974</v>
      </c>
      <c r="F945">
        <v>3</v>
      </c>
      <c r="G945" t="s">
        <v>24</v>
      </c>
      <c r="H945" t="s">
        <v>25</v>
      </c>
      <c r="I945" t="s">
        <v>60</v>
      </c>
    </row>
    <row r="946" spans="1:9" x14ac:dyDescent="0.45">
      <c r="A946" t="s">
        <v>5555</v>
      </c>
      <c r="B946" s="2">
        <v>46255</v>
      </c>
      <c r="C946" t="s">
        <v>99</v>
      </c>
      <c r="D946" t="s">
        <v>5556</v>
      </c>
      <c r="E946" t="s">
        <v>75</v>
      </c>
      <c r="F946">
        <v>7</v>
      </c>
      <c r="G946" t="s">
        <v>68</v>
      </c>
      <c r="H946" t="s">
        <v>25</v>
      </c>
      <c r="I946" t="s">
        <v>39</v>
      </c>
    </row>
    <row r="947" spans="1:9" x14ac:dyDescent="0.45">
      <c r="A947" t="s">
        <v>5557</v>
      </c>
      <c r="B947" s="2">
        <v>46125</v>
      </c>
      <c r="C947" t="s">
        <v>49</v>
      </c>
      <c r="D947" t="s">
        <v>5558</v>
      </c>
      <c r="E947" t="s">
        <v>7974</v>
      </c>
      <c r="F947">
        <v>11</v>
      </c>
      <c r="G947" t="s">
        <v>59</v>
      </c>
      <c r="H947" t="s">
        <v>14</v>
      </c>
      <c r="I947" t="s">
        <v>19</v>
      </c>
    </row>
    <row r="948" spans="1:9" x14ac:dyDescent="0.45">
      <c r="A948" t="s">
        <v>5559</v>
      </c>
      <c r="B948" s="2">
        <v>46185</v>
      </c>
      <c r="C948" t="s">
        <v>16</v>
      </c>
      <c r="D948" t="s">
        <v>5560</v>
      </c>
      <c r="E948" t="s">
        <v>2306</v>
      </c>
      <c r="F948">
        <v>5</v>
      </c>
      <c r="G948" t="s">
        <v>43</v>
      </c>
      <c r="H948" t="s">
        <v>14</v>
      </c>
      <c r="I948" t="s">
        <v>31</v>
      </c>
    </row>
    <row r="949" spans="1:9" x14ac:dyDescent="0.45">
      <c r="A949" t="s">
        <v>5561</v>
      </c>
      <c r="B949" s="2">
        <v>46221</v>
      </c>
      <c r="C949" t="s">
        <v>99</v>
      </c>
      <c r="D949" t="s">
        <v>5562</v>
      </c>
      <c r="E949" t="s">
        <v>34</v>
      </c>
      <c r="F949">
        <v>12</v>
      </c>
      <c r="G949" t="s">
        <v>18</v>
      </c>
      <c r="H949" t="s">
        <v>14</v>
      </c>
      <c r="I949" t="s">
        <v>60</v>
      </c>
    </row>
    <row r="950" spans="1:9" x14ac:dyDescent="0.45">
      <c r="A950" t="s">
        <v>5563</v>
      </c>
      <c r="B950" s="2">
        <v>46059</v>
      </c>
      <c r="C950" t="s">
        <v>28</v>
      </c>
      <c r="D950" t="s">
        <v>5564</v>
      </c>
      <c r="E950" t="s">
        <v>75</v>
      </c>
      <c r="F950">
        <v>11</v>
      </c>
      <c r="G950" t="s">
        <v>55</v>
      </c>
      <c r="H950" t="s">
        <v>72</v>
      </c>
      <c r="I950" t="s">
        <v>39</v>
      </c>
    </row>
    <row r="951" spans="1:9" x14ac:dyDescent="0.45">
      <c r="A951" t="s">
        <v>5565</v>
      </c>
      <c r="B951" s="2">
        <v>46214</v>
      </c>
      <c r="C951" t="s">
        <v>99</v>
      </c>
      <c r="D951" t="s">
        <v>5566</v>
      </c>
      <c r="E951" t="s">
        <v>7974</v>
      </c>
      <c r="F951">
        <v>2</v>
      </c>
      <c r="G951" t="s">
        <v>55</v>
      </c>
      <c r="H951" t="s">
        <v>72</v>
      </c>
      <c r="I951" t="s">
        <v>47</v>
      </c>
    </row>
    <row r="952" spans="1:9" x14ac:dyDescent="0.45">
      <c r="A952" t="s">
        <v>5567</v>
      </c>
      <c r="B952" s="2">
        <v>46071</v>
      </c>
      <c r="C952" t="s">
        <v>99</v>
      </c>
      <c r="D952" t="s">
        <v>5568</v>
      </c>
      <c r="E952" t="s">
        <v>163</v>
      </c>
      <c r="F952">
        <v>12</v>
      </c>
      <c r="G952" t="s">
        <v>59</v>
      </c>
      <c r="H952" t="s">
        <v>14</v>
      </c>
      <c r="I952" t="s">
        <v>39</v>
      </c>
    </row>
    <row r="953" spans="1:9" x14ac:dyDescent="0.45">
      <c r="A953" t="s">
        <v>5569</v>
      </c>
      <c r="B953" s="2">
        <v>46257</v>
      </c>
      <c r="C953" t="s">
        <v>28</v>
      </c>
      <c r="D953" t="s">
        <v>5570</v>
      </c>
      <c r="E953" t="s">
        <v>71</v>
      </c>
      <c r="F953">
        <v>4</v>
      </c>
      <c r="G953" t="s">
        <v>24</v>
      </c>
      <c r="H953" t="s">
        <v>25</v>
      </c>
      <c r="I953" t="s">
        <v>26</v>
      </c>
    </row>
    <row r="954" spans="1:9" x14ac:dyDescent="0.45">
      <c r="A954" t="s">
        <v>5571</v>
      </c>
      <c r="B954" s="2">
        <v>46075</v>
      </c>
      <c r="C954" t="s">
        <v>28</v>
      </c>
      <c r="D954" t="s">
        <v>5572</v>
      </c>
      <c r="E954" t="s">
        <v>58</v>
      </c>
      <c r="F954">
        <v>2</v>
      </c>
      <c r="G954" t="s">
        <v>55</v>
      </c>
      <c r="H954" t="s">
        <v>72</v>
      </c>
      <c r="I954" t="s">
        <v>39</v>
      </c>
    </row>
    <row r="955" spans="1:9" x14ac:dyDescent="0.45">
      <c r="A955" t="s">
        <v>5573</v>
      </c>
      <c r="B955" s="2">
        <v>46220</v>
      </c>
      <c r="C955" t="s">
        <v>16</v>
      </c>
      <c r="D955" t="s">
        <v>5574</v>
      </c>
      <c r="E955" t="s">
        <v>46</v>
      </c>
      <c r="F955">
        <v>4</v>
      </c>
      <c r="G955" t="s">
        <v>55</v>
      </c>
      <c r="H955" t="s">
        <v>72</v>
      </c>
      <c r="I955" t="s">
        <v>26</v>
      </c>
    </row>
    <row r="956" spans="1:9" x14ac:dyDescent="0.45">
      <c r="A956" t="s">
        <v>5575</v>
      </c>
      <c r="B956" s="2">
        <v>46262</v>
      </c>
      <c r="C956" t="s">
        <v>52</v>
      </c>
      <c r="D956" t="s">
        <v>5576</v>
      </c>
      <c r="E956" t="s">
        <v>34</v>
      </c>
      <c r="F956">
        <v>3</v>
      </c>
      <c r="G956" t="s">
        <v>35</v>
      </c>
      <c r="H956" t="s">
        <v>25</v>
      </c>
      <c r="I956" t="s">
        <v>31</v>
      </c>
    </row>
    <row r="957" spans="1:9" x14ac:dyDescent="0.45">
      <c r="A957" t="s">
        <v>5577</v>
      </c>
      <c r="B957" s="2">
        <v>46139</v>
      </c>
      <c r="C957" t="s">
        <v>28</v>
      </c>
      <c r="D957" t="s">
        <v>5578</v>
      </c>
      <c r="E957" t="s">
        <v>42</v>
      </c>
      <c r="F957">
        <v>2</v>
      </c>
      <c r="G957" t="s">
        <v>59</v>
      </c>
      <c r="H957" t="s">
        <v>14</v>
      </c>
      <c r="I957" t="s">
        <v>39</v>
      </c>
    </row>
    <row r="958" spans="1:9" x14ac:dyDescent="0.45">
      <c r="A958" t="s">
        <v>5579</v>
      </c>
      <c r="B958" s="2">
        <v>46110</v>
      </c>
      <c r="C958" t="s">
        <v>10</v>
      </c>
      <c r="D958" t="s">
        <v>5580</v>
      </c>
      <c r="E958" t="s">
        <v>7974</v>
      </c>
      <c r="F958">
        <v>11</v>
      </c>
      <c r="G958" t="s">
        <v>24</v>
      </c>
      <c r="H958" t="s">
        <v>25</v>
      </c>
      <c r="I958" t="s">
        <v>60</v>
      </c>
    </row>
    <row r="959" spans="1:9" x14ac:dyDescent="0.45">
      <c r="A959" t="s">
        <v>5581</v>
      </c>
      <c r="B959" s="2">
        <v>46165</v>
      </c>
      <c r="C959" t="s">
        <v>21</v>
      </c>
      <c r="D959" t="s">
        <v>5582</v>
      </c>
      <c r="E959" t="s">
        <v>46</v>
      </c>
      <c r="F959">
        <v>9</v>
      </c>
      <c r="G959" t="s">
        <v>43</v>
      </c>
      <c r="H959" t="s">
        <v>14</v>
      </c>
      <c r="I959" t="s">
        <v>47</v>
      </c>
    </row>
    <row r="960" spans="1:9" x14ac:dyDescent="0.45">
      <c r="A960" t="s">
        <v>5583</v>
      </c>
      <c r="B960" s="2">
        <v>46041</v>
      </c>
      <c r="C960" t="s">
        <v>52</v>
      </c>
      <c r="D960" t="s">
        <v>5584</v>
      </c>
      <c r="E960" t="s">
        <v>30</v>
      </c>
      <c r="F960">
        <v>12</v>
      </c>
      <c r="G960" t="s">
        <v>43</v>
      </c>
      <c r="H960" t="s">
        <v>14</v>
      </c>
      <c r="I960" t="s">
        <v>19</v>
      </c>
    </row>
    <row r="961" spans="1:9" x14ac:dyDescent="0.45">
      <c r="A961" t="s">
        <v>5585</v>
      </c>
      <c r="B961" s="2">
        <v>46074</v>
      </c>
      <c r="C961" t="s">
        <v>99</v>
      </c>
      <c r="D961" t="s">
        <v>5586</v>
      </c>
      <c r="E961" t="s">
        <v>7974</v>
      </c>
      <c r="F961">
        <v>8</v>
      </c>
      <c r="G961" t="s">
        <v>55</v>
      </c>
      <c r="H961" t="s">
        <v>72</v>
      </c>
      <c r="I961" t="s">
        <v>47</v>
      </c>
    </row>
    <row r="962" spans="1:9" x14ac:dyDescent="0.45">
      <c r="A962" t="s">
        <v>5587</v>
      </c>
      <c r="B962" s="2">
        <v>46112</v>
      </c>
      <c r="C962" t="s">
        <v>52</v>
      </c>
      <c r="D962" t="s">
        <v>5588</v>
      </c>
      <c r="E962" t="s">
        <v>75</v>
      </c>
      <c r="F962">
        <v>1</v>
      </c>
      <c r="G962" t="s">
        <v>59</v>
      </c>
      <c r="H962" t="s">
        <v>14</v>
      </c>
      <c r="I962" t="s">
        <v>47</v>
      </c>
    </row>
    <row r="963" spans="1:9" x14ac:dyDescent="0.45">
      <c r="A963" t="s">
        <v>5589</v>
      </c>
      <c r="B963" s="2">
        <v>46269</v>
      </c>
      <c r="C963" t="s">
        <v>99</v>
      </c>
      <c r="D963" t="s">
        <v>5590</v>
      </c>
      <c r="E963" t="s">
        <v>38</v>
      </c>
      <c r="F963">
        <v>10</v>
      </c>
      <c r="G963" t="s">
        <v>59</v>
      </c>
      <c r="H963" t="s">
        <v>14</v>
      </c>
      <c r="I963" t="s">
        <v>39</v>
      </c>
    </row>
    <row r="964" spans="1:9" x14ac:dyDescent="0.45">
      <c r="A964" t="s">
        <v>5591</v>
      </c>
      <c r="B964" s="2">
        <v>46035</v>
      </c>
      <c r="C964" t="s">
        <v>21</v>
      </c>
      <c r="D964" t="s">
        <v>5592</v>
      </c>
      <c r="E964" t="s">
        <v>58</v>
      </c>
      <c r="F964">
        <v>1</v>
      </c>
      <c r="G964" t="s">
        <v>24</v>
      </c>
      <c r="H964" t="s">
        <v>25</v>
      </c>
      <c r="I964" t="s">
        <v>60</v>
      </c>
    </row>
    <row r="965" spans="1:9" x14ac:dyDescent="0.45">
      <c r="A965" t="s">
        <v>5593</v>
      </c>
      <c r="B965" s="2">
        <v>46031</v>
      </c>
      <c r="C965" t="s">
        <v>10</v>
      </c>
      <c r="D965" t="s">
        <v>5594</v>
      </c>
      <c r="E965" t="s">
        <v>7974</v>
      </c>
      <c r="F965">
        <v>2</v>
      </c>
      <c r="G965" t="s">
        <v>13</v>
      </c>
      <c r="H965" t="s">
        <v>14</v>
      </c>
      <c r="I965" t="s">
        <v>60</v>
      </c>
    </row>
    <row r="966" spans="1:9" x14ac:dyDescent="0.45">
      <c r="A966" t="s">
        <v>5595</v>
      </c>
      <c r="B966" s="2">
        <v>46086</v>
      </c>
      <c r="C966" t="s">
        <v>52</v>
      </c>
      <c r="D966" t="s">
        <v>5596</v>
      </c>
      <c r="E966" t="s">
        <v>30</v>
      </c>
      <c r="F966">
        <v>10</v>
      </c>
      <c r="G966" t="s">
        <v>68</v>
      </c>
      <c r="H966" t="s">
        <v>25</v>
      </c>
      <c r="I966" t="s">
        <v>19</v>
      </c>
    </row>
    <row r="967" spans="1:9" x14ac:dyDescent="0.45">
      <c r="A967" t="s">
        <v>5597</v>
      </c>
      <c r="B967" s="2">
        <v>46033</v>
      </c>
      <c r="C967" t="s">
        <v>21</v>
      </c>
      <c r="D967" t="s">
        <v>5598</v>
      </c>
      <c r="E967" t="s">
        <v>46</v>
      </c>
      <c r="F967">
        <v>4</v>
      </c>
      <c r="G967" t="s">
        <v>43</v>
      </c>
      <c r="H967" t="s">
        <v>14</v>
      </c>
      <c r="I967" t="s">
        <v>47</v>
      </c>
    </row>
    <row r="968" spans="1:9" x14ac:dyDescent="0.45">
      <c r="A968" t="s">
        <v>5599</v>
      </c>
      <c r="B968" s="2">
        <v>46147</v>
      </c>
      <c r="C968" t="s">
        <v>52</v>
      </c>
      <c r="D968" t="s">
        <v>5600</v>
      </c>
      <c r="E968" t="s">
        <v>54</v>
      </c>
      <c r="F968">
        <v>7</v>
      </c>
      <c r="G968" t="s">
        <v>18</v>
      </c>
      <c r="H968" t="s">
        <v>14</v>
      </c>
      <c r="I968" t="s">
        <v>47</v>
      </c>
    </row>
    <row r="969" spans="1:9" x14ac:dyDescent="0.45">
      <c r="A969" t="s">
        <v>5601</v>
      </c>
      <c r="B969" s="2">
        <v>46214</v>
      </c>
      <c r="C969" t="s">
        <v>16</v>
      </c>
      <c r="D969" t="s">
        <v>5602</v>
      </c>
      <c r="E969" t="s">
        <v>71</v>
      </c>
      <c r="F969">
        <v>6</v>
      </c>
      <c r="G969" t="s">
        <v>43</v>
      </c>
      <c r="H969" t="s">
        <v>14</v>
      </c>
      <c r="I969" t="s">
        <v>47</v>
      </c>
    </row>
    <row r="970" spans="1:9" x14ac:dyDescent="0.45">
      <c r="A970" t="s">
        <v>5603</v>
      </c>
      <c r="B970" s="2">
        <v>46174</v>
      </c>
      <c r="C970" t="s">
        <v>49</v>
      </c>
      <c r="D970" t="s">
        <v>5604</v>
      </c>
      <c r="E970" t="s">
        <v>75</v>
      </c>
      <c r="F970">
        <v>10</v>
      </c>
      <c r="G970" t="s">
        <v>35</v>
      </c>
      <c r="H970" t="s">
        <v>25</v>
      </c>
      <c r="I970" t="s">
        <v>26</v>
      </c>
    </row>
    <row r="971" spans="1:9" x14ac:dyDescent="0.45">
      <c r="A971" t="s">
        <v>5605</v>
      </c>
      <c r="B971" s="2">
        <v>46026</v>
      </c>
      <c r="C971" t="s">
        <v>49</v>
      </c>
      <c r="D971" t="s">
        <v>5606</v>
      </c>
      <c r="E971" t="s">
        <v>30</v>
      </c>
      <c r="F971">
        <v>10</v>
      </c>
      <c r="G971" t="s">
        <v>35</v>
      </c>
      <c r="H971" t="s">
        <v>25</v>
      </c>
      <c r="I971" t="s">
        <v>47</v>
      </c>
    </row>
    <row r="972" spans="1:9" x14ac:dyDescent="0.45">
      <c r="A972" t="s">
        <v>5607</v>
      </c>
      <c r="B972" s="2">
        <v>46184</v>
      </c>
      <c r="C972" t="s">
        <v>28</v>
      </c>
      <c r="D972" t="s">
        <v>5608</v>
      </c>
      <c r="E972" t="s">
        <v>71</v>
      </c>
      <c r="F972">
        <v>9</v>
      </c>
      <c r="G972" t="s">
        <v>68</v>
      </c>
      <c r="H972" t="s">
        <v>25</v>
      </c>
      <c r="I972" t="s">
        <v>31</v>
      </c>
    </row>
    <row r="973" spans="1:9" x14ac:dyDescent="0.45">
      <c r="A973" t="s">
        <v>5609</v>
      </c>
      <c r="B973" s="2">
        <v>46086</v>
      </c>
      <c r="C973" t="s">
        <v>99</v>
      </c>
      <c r="D973" t="s">
        <v>5610</v>
      </c>
      <c r="E973" t="s">
        <v>34</v>
      </c>
      <c r="F973">
        <v>4</v>
      </c>
      <c r="G973" t="s">
        <v>18</v>
      </c>
      <c r="H973" t="s">
        <v>14</v>
      </c>
      <c r="I973" t="s">
        <v>47</v>
      </c>
    </row>
    <row r="974" spans="1:9" x14ac:dyDescent="0.45">
      <c r="A974" t="s">
        <v>5611</v>
      </c>
      <c r="B974" s="2">
        <v>46125</v>
      </c>
      <c r="C974" t="s">
        <v>16</v>
      </c>
      <c r="D974" t="s">
        <v>5612</v>
      </c>
      <c r="E974" t="s">
        <v>71</v>
      </c>
      <c r="F974">
        <v>12</v>
      </c>
      <c r="G974" t="s">
        <v>68</v>
      </c>
      <c r="H974" t="s">
        <v>25</v>
      </c>
      <c r="I974" t="s">
        <v>47</v>
      </c>
    </row>
    <row r="975" spans="1:9" x14ac:dyDescent="0.45">
      <c r="A975" t="s">
        <v>5613</v>
      </c>
      <c r="B975" s="2">
        <v>46194</v>
      </c>
      <c r="C975" t="s">
        <v>21</v>
      </c>
      <c r="D975" t="s">
        <v>5614</v>
      </c>
      <c r="E975" t="s">
        <v>7974</v>
      </c>
      <c r="F975">
        <v>10</v>
      </c>
      <c r="G975" t="s">
        <v>13</v>
      </c>
      <c r="H975" t="s">
        <v>14</v>
      </c>
      <c r="I975" t="s">
        <v>26</v>
      </c>
    </row>
    <row r="976" spans="1:9" x14ac:dyDescent="0.45">
      <c r="A976" t="s">
        <v>5615</v>
      </c>
      <c r="B976" s="2">
        <v>46255</v>
      </c>
      <c r="C976" t="s">
        <v>52</v>
      </c>
      <c r="D976" t="s">
        <v>5616</v>
      </c>
      <c r="E976" t="s">
        <v>23</v>
      </c>
      <c r="F976">
        <v>2</v>
      </c>
      <c r="G976" t="s">
        <v>24</v>
      </c>
      <c r="H976" t="s">
        <v>25</v>
      </c>
      <c r="I976" t="s">
        <v>19</v>
      </c>
    </row>
    <row r="977" spans="1:9" x14ac:dyDescent="0.45">
      <c r="A977" t="s">
        <v>5617</v>
      </c>
      <c r="B977" s="2">
        <v>46029</v>
      </c>
      <c r="C977" t="s">
        <v>99</v>
      </c>
      <c r="D977" t="s">
        <v>5618</v>
      </c>
      <c r="E977" t="s">
        <v>7973</v>
      </c>
      <c r="F977">
        <v>8</v>
      </c>
      <c r="G977" t="s">
        <v>35</v>
      </c>
      <c r="H977" t="s">
        <v>25</v>
      </c>
      <c r="I977" t="s">
        <v>31</v>
      </c>
    </row>
    <row r="978" spans="1:9" x14ac:dyDescent="0.45">
      <c r="A978" t="s">
        <v>5619</v>
      </c>
      <c r="B978" s="2">
        <v>46035</v>
      </c>
      <c r="C978" t="s">
        <v>28</v>
      </c>
      <c r="D978" t="s">
        <v>5620</v>
      </c>
      <c r="E978" t="s">
        <v>46</v>
      </c>
      <c r="F978">
        <v>8</v>
      </c>
      <c r="G978" t="s">
        <v>68</v>
      </c>
      <c r="H978" t="s">
        <v>25</v>
      </c>
      <c r="I978" t="s">
        <v>47</v>
      </c>
    </row>
    <row r="979" spans="1:9" x14ac:dyDescent="0.45">
      <c r="A979" t="s">
        <v>5621</v>
      </c>
      <c r="B979" s="2">
        <v>46171</v>
      </c>
      <c r="C979" t="s">
        <v>28</v>
      </c>
      <c r="D979" t="s">
        <v>5622</v>
      </c>
      <c r="E979" t="s">
        <v>34</v>
      </c>
      <c r="F979">
        <v>3</v>
      </c>
      <c r="G979" t="s">
        <v>35</v>
      </c>
      <c r="H979" t="s">
        <v>25</v>
      </c>
      <c r="I979" t="s">
        <v>47</v>
      </c>
    </row>
    <row r="980" spans="1:9" x14ac:dyDescent="0.45">
      <c r="A980" t="s">
        <v>5623</v>
      </c>
      <c r="B980" s="2">
        <v>46123</v>
      </c>
      <c r="C980" t="s">
        <v>49</v>
      </c>
      <c r="D980" t="s">
        <v>5624</v>
      </c>
      <c r="E980" t="s">
        <v>7974</v>
      </c>
      <c r="F980">
        <v>5</v>
      </c>
      <c r="G980" t="s">
        <v>24</v>
      </c>
      <c r="H980" t="s">
        <v>25</v>
      </c>
      <c r="I980" t="s">
        <v>60</v>
      </c>
    </row>
    <row r="981" spans="1:9" x14ac:dyDescent="0.45">
      <c r="A981" t="s">
        <v>5625</v>
      </c>
      <c r="B981" s="2">
        <v>46259</v>
      </c>
      <c r="C981" t="s">
        <v>66</v>
      </c>
      <c r="D981" t="s">
        <v>5626</v>
      </c>
      <c r="E981" t="s">
        <v>38</v>
      </c>
      <c r="F981">
        <v>8</v>
      </c>
      <c r="G981" t="s">
        <v>24</v>
      </c>
      <c r="H981" t="s">
        <v>25</v>
      </c>
      <c r="I981" t="s">
        <v>60</v>
      </c>
    </row>
    <row r="982" spans="1:9" x14ac:dyDescent="0.45">
      <c r="A982" t="s">
        <v>5627</v>
      </c>
      <c r="B982" s="2">
        <v>46161</v>
      </c>
      <c r="C982" t="s">
        <v>66</v>
      </c>
      <c r="D982" t="s">
        <v>5628</v>
      </c>
      <c r="E982" t="s">
        <v>34</v>
      </c>
      <c r="F982">
        <v>5</v>
      </c>
      <c r="G982" t="s">
        <v>55</v>
      </c>
      <c r="H982" t="s">
        <v>72</v>
      </c>
      <c r="I982" t="s">
        <v>39</v>
      </c>
    </row>
    <row r="983" spans="1:9" x14ac:dyDescent="0.45">
      <c r="A983" t="s">
        <v>5629</v>
      </c>
      <c r="B983" s="2">
        <v>46189</v>
      </c>
      <c r="C983" t="s">
        <v>66</v>
      </c>
      <c r="D983" t="s">
        <v>5630</v>
      </c>
      <c r="E983" t="s">
        <v>7974</v>
      </c>
      <c r="F983">
        <v>4</v>
      </c>
      <c r="G983" t="s">
        <v>43</v>
      </c>
      <c r="H983" t="s">
        <v>14</v>
      </c>
      <c r="I983" t="s">
        <v>39</v>
      </c>
    </row>
    <row r="984" spans="1:9" x14ac:dyDescent="0.45">
      <c r="A984" t="s">
        <v>5631</v>
      </c>
      <c r="B984" s="2">
        <v>46233</v>
      </c>
      <c r="C984" t="s">
        <v>16</v>
      </c>
      <c r="D984" t="s">
        <v>5632</v>
      </c>
      <c r="E984" t="s">
        <v>23</v>
      </c>
      <c r="F984">
        <v>9</v>
      </c>
      <c r="G984" t="s">
        <v>35</v>
      </c>
      <c r="H984" t="s">
        <v>25</v>
      </c>
      <c r="I984" t="s">
        <v>31</v>
      </c>
    </row>
    <row r="985" spans="1:9" x14ac:dyDescent="0.45">
      <c r="A985" t="s">
        <v>5633</v>
      </c>
      <c r="B985" s="2">
        <v>46110</v>
      </c>
      <c r="C985" t="s">
        <v>66</v>
      </c>
      <c r="D985" t="s">
        <v>5634</v>
      </c>
      <c r="E985" t="s">
        <v>54</v>
      </c>
      <c r="F985">
        <v>7</v>
      </c>
      <c r="G985" t="s">
        <v>59</v>
      </c>
      <c r="H985" t="s">
        <v>14</v>
      </c>
      <c r="I985" t="s">
        <v>31</v>
      </c>
    </row>
    <row r="986" spans="1:9" x14ac:dyDescent="0.45">
      <c r="A986" t="s">
        <v>5635</v>
      </c>
      <c r="B986" s="2">
        <v>46027</v>
      </c>
      <c r="C986" t="s">
        <v>66</v>
      </c>
      <c r="D986" t="s">
        <v>5636</v>
      </c>
      <c r="E986" t="s">
        <v>23</v>
      </c>
      <c r="F986">
        <v>11</v>
      </c>
      <c r="G986" t="s">
        <v>18</v>
      </c>
      <c r="H986" t="s">
        <v>14</v>
      </c>
      <c r="I986" t="s">
        <v>47</v>
      </c>
    </row>
    <row r="987" spans="1:9" x14ac:dyDescent="0.45">
      <c r="A987" t="s">
        <v>5637</v>
      </c>
      <c r="B987" s="2">
        <v>46080</v>
      </c>
      <c r="C987" t="s">
        <v>10</v>
      </c>
      <c r="D987" t="s">
        <v>5638</v>
      </c>
      <c r="E987" t="s">
        <v>42</v>
      </c>
      <c r="F987">
        <v>5</v>
      </c>
      <c r="G987" t="s">
        <v>18</v>
      </c>
      <c r="H987" t="s">
        <v>14</v>
      </c>
      <c r="I987" t="s">
        <v>26</v>
      </c>
    </row>
    <row r="988" spans="1:9" x14ac:dyDescent="0.45">
      <c r="A988" t="s">
        <v>5639</v>
      </c>
      <c r="B988" s="2">
        <v>46241</v>
      </c>
      <c r="C988" t="s">
        <v>21</v>
      </c>
      <c r="D988" t="s">
        <v>5640</v>
      </c>
      <c r="E988" t="s">
        <v>7974</v>
      </c>
      <c r="F988">
        <v>1</v>
      </c>
      <c r="G988" t="s">
        <v>35</v>
      </c>
      <c r="H988" t="s">
        <v>25</v>
      </c>
      <c r="I988" t="s">
        <v>47</v>
      </c>
    </row>
    <row r="989" spans="1:9" x14ac:dyDescent="0.45">
      <c r="A989" t="s">
        <v>5641</v>
      </c>
      <c r="B989" s="2">
        <v>46195</v>
      </c>
      <c r="C989" t="s">
        <v>52</v>
      </c>
      <c r="D989" t="s">
        <v>5642</v>
      </c>
      <c r="E989" t="s">
        <v>7974</v>
      </c>
      <c r="F989">
        <v>9</v>
      </c>
      <c r="G989" t="s">
        <v>13</v>
      </c>
      <c r="H989" t="s">
        <v>14</v>
      </c>
      <c r="I989" t="s">
        <v>19</v>
      </c>
    </row>
    <row r="990" spans="1:9" x14ac:dyDescent="0.45">
      <c r="A990" t="s">
        <v>5643</v>
      </c>
      <c r="B990" s="2">
        <v>46198</v>
      </c>
      <c r="C990" t="s">
        <v>52</v>
      </c>
      <c r="D990" t="s">
        <v>5644</v>
      </c>
      <c r="E990" t="s">
        <v>23</v>
      </c>
      <c r="F990">
        <v>1</v>
      </c>
      <c r="G990" t="s">
        <v>35</v>
      </c>
      <c r="H990" t="s">
        <v>25</v>
      </c>
      <c r="I990" t="s">
        <v>47</v>
      </c>
    </row>
    <row r="991" spans="1:9" x14ac:dyDescent="0.45">
      <c r="A991" t="s">
        <v>5645</v>
      </c>
      <c r="B991" s="2">
        <v>46086</v>
      </c>
      <c r="C991" t="s">
        <v>16</v>
      </c>
      <c r="D991" t="s">
        <v>5646</v>
      </c>
      <c r="E991" t="s">
        <v>75</v>
      </c>
      <c r="F991">
        <v>4</v>
      </c>
      <c r="G991" t="s">
        <v>55</v>
      </c>
      <c r="H991" t="s">
        <v>72</v>
      </c>
      <c r="I991" t="s">
        <v>19</v>
      </c>
    </row>
    <row r="992" spans="1:9" x14ac:dyDescent="0.45">
      <c r="A992" t="s">
        <v>5647</v>
      </c>
      <c r="B992" s="2">
        <v>46063</v>
      </c>
      <c r="C992" t="s">
        <v>28</v>
      </c>
      <c r="D992" t="s">
        <v>5648</v>
      </c>
      <c r="E992" t="s">
        <v>58</v>
      </c>
      <c r="F992">
        <v>8</v>
      </c>
      <c r="G992" t="s">
        <v>68</v>
      </c>
      <c r="H992" t="s">
        <v>25</v>
      </c>
      <c r="I992" t="s">
        <v>31</v>
      </c>
    </row>
    <row r="993" spans="1:9" x14ac:dyDescent="0.45">
      <c r="A993" t="s">
        <v>5649</v>
      </c>
      <c r="B993" s="2">
        <v>46174</v>
      </c>
      <c r="C993" t="s">
        <v>52</v>
      </c>
      <c r="D993" t="s">
        <v>5650</v>
      </c>
      <c r="E993" t="s">
        <v>23</v>
      </c>
      <c r="F993">
        <v>7</v>
      </c>
      <c r="G993" t="s">
        <v>43</v>
      </c>
      <c r="H993" t="s">
        <v>14</v>
      </c>
      <c r="I993" t="s">
        <v>19</v>
      </c>
    </row>
    <row r="994" spans="1:9" x14ac:dyDescent="0.45">
      <c r="A994" t="s">
        <v>5651</v>
      </c>
      <c r="B994" s="2">
        <v>46262</v>
      </c>
      <c r="C994" t="s">
        <v>10</v>
      </c>
      <c r="D994" t="s">
        <v>5652</v>
      </c>
      <c r="E994" t="s">
        <v>23</v>
      </c>
      <c r="F994">
        <v>9</v>
      </c>
      <c r="G994" t="s">
        <v>35</v>
      </c>
      <c r="H994" t="s">
        <v>25</v>
      </c>
      <c r="I994" t="s">
        <v>31</v>
      </c>
    </row>
    <row r="995" spans="1:9" x14ac:dyDescent="0.45">
      <c r="A995" t="s">
        <v>5653</v>
      </c>
      <c r="B995" s="2">
        <v>46147</v>
      </c>
      <c r="C995" t="s">
        <v>66</v>
      </c>
      <c r="D995" t="s">
        <v>5654</v>
      </c>
      <c r="E995" t="s">
        <v>58</v>
      </c>
      <c r="F995">
        <v>9</v>
      </c>
      <c r="G995" t="s">
        <v>35</v>
      </c>
      <c r="H995" t="s">
        <v>25</v>
      </c>
      <c r="I995" t="s">
        <v>47</v>
      </c>
    </row>
    <row r="996" spans="1:9" x14ac:dyDescent="0.45">
      <c r="A996" t="s">
        <v>5655</v>
      </c>
      <c r="B996" s="2">
        <v>46251</v>
      </c>
      <c r="C996" t="s">
        <v>66</v>
      </c>
      <c r="D996" t="s">
        <v>5656</v>
      </c>
      <c r="E996" t="s">
        <v>7974</v>
      </c>
      <c r="F996">
        <v>11</v>
      </c>
      <c r="G996" t="s">
        <v>55</v>
      </c>
      <c r="H996" t="s">
        <v>72</v>
      </c>
      <c r="I996" t="s">
        <v>26</v>
      </c>
    </row>
    <row r="997" spans="1:9" x14ac:dyDescent="0.45">
      <c r="A997" t="s">
        <v>5657</v>
      </c>
      <c r="B997" s="2">
        <v>46038</v>
      </c>
      <c r="C997" t="s">
        <v>16</v>
      </c>
      <c r="D997" t="s">
        <v>5658</v>
      </c>
      <c r="E997" t="s">
        <v>38</v>
      </c>
      <c r="F997">
        <v>3</v>
      </c>
      <c r="G997" t="s">
        <v>43</v>
      </c>
      <c r="H997" t="s">
        <v>14</v>
      </c>
      <c r="I997" t="s">
        <v>19</v>
      </c>
    </row>
    <row r="998" spans="1:9" x14ac:dyDescent="0.45">
      <c r="A998" t="s">
        <v>5659</v>
      </c>
      <c r="B998" s="2">
        <v>46049</v>
      </c>
      <c r="C998" t="s">
        <v>21</v>
      </c>
      <c r="D998" t="s">
        <v>5660</v>
      </c>
      <c r="E998" t="s">
        <v>71</v>
      </c>
      <c r="F998">
        <v>5</v>
      </c>
      <c r="G998" t="s">
        <v>59</v>
      </c>
      <c r="H998" t="s">
        <v>14</v>
      </c>
      <c r="I998" t="s">
        <v>60</v>
      </c>
    </row>
    <row r="999" spans="1:9" x14ac:dyDescent="0.45">
      <c r="A999" t="s">
        <v>5661</v>
      </c>
      <c r="B999" s="2">
        <v>46159</v>
      </c>
      <c r="C999" t="s">
        <v>28</v>
      </c>
      <c r="D999" t="s">
        <v>5662</v>
      </c>
      <c r="E999" t="s">
        <v>7973</v>
      </c>
      <c r="F999">
        <v>2</v>
      </c>
      <c r="G999" t="s">
        <v>18</v>
      </c>
      <c r="H999" t="s">
        <v>14</v>
      </c>
      <c r="I999" t="s">
        <v>31</v>
      </c>
    </row>
    <row r="1000" spans="1:9" x14ac:dyDescent="0.45">
      <c r="A1000" t="s">
        <v>5663</v>
      </c>
      <c r="B1000" s="2">
        <v>46182</v>
      </c>
      <c r="C1000" t="s">
        <v>99</v>
      </c>
      <c r="D1000" t="s">
        <v>5664</v>
      </c>
      <c r="E1000" t="s">
        <v>7973</v>
      </c>
      <c r="F1000">
        <v>2</v>
      </c>
      <c r="G1000" t="s">
        <v>13</v>
      </c>
      <c r="H1000" t="s">
        <v>14</v>
      </c>
      <c r="I1000" t="s">
        <v>31</v>
      </c>
    </row>
    <row r="1001" spans="1:9" x14ac:dyDescent="0.45">
      <c r="A1001" t="s">
        <v>5665</v>
      </c>
      <c r="B1001" s="2">
        <v>46165</v>
      </c>
      <c r="C1001" t="s">
        <v>10</v>
      </c>
      <c r="D1001" t="s">
        <v>5666</v>
      </c>
      <c r="E1001" t="s">
        <v>7967</v>
      </c>
      <c r="F1001">
        <v>8</v>
      </c>
      <c r="G1001" t="s">
        <v>59</v>
      </c>
      <c r="H1001" t="s">
        <v>14</v>
      </c>
      <c r="I1001" t="s">
        <v>60</v>
      </c>
    </row>
    <row r="1002" spans="1:9" x14ac:dyDescent="0.45">
      <c r="A1002" t="s">
        <v>5667</v>
      </c>
      <c r="B1002" s="2">
        <v>46196</v>
      </c>
      <c r="C1002" t="s">
        <v>99</v>
      </c>
      <c r="D1002" t="s">
        <v>5668</v>
      </c>
      <c r="E1002" t="s">
        <v>54</v>
      </c>
      <c r="F1002">
        <v>12</v>
      </c>
      <c r="G1002" t="s">
        <v>13</v>
      </c>
      <c r="H1002" t="s">
        <v>14</v>
      </c>
      <c r="I1002" t="s">
        <v>19</v>
      </c>
    </row>
    <row r="1003" spans="1:9" x14ac:dyDescent="0.45">
      <c r="A1003" t="s">
        <v>5669</v>
      </c>
      <c r="B1003" s="2">
        <v>46173</v>
      </c>
      <c r="C1003" t="s">
        <v>28</v>
      </c>
      <c r="D1003" t="s">
        <v>5670</v>
      </c>
      <c r="E1003" t="s">
        <v>34</v>
      </c>
      <c r="F1003">
        <v>3</v>
      </c>
      <c r="G1003" t="s">
        <v>43</v>
      </c>
      <c r="H1003" t="s">
        <v>14</v>
      </c>
      <c r="I1003" t="s">
        <v>19</v>
      </c>
    </row>
    <row r="1004" spans="1:9" x14ac:dyDescent="0.45">
      <c r="A1004" t="s">
        <v>5671</v>
      </c>
      <c r="B1004" s="2">
        <v>46247</v>
      </c>
      <c r="C1004" t="s">
        <v>49</v>
      </c>
      <c r="D1004" t="s">
        <v>5672</v>
      </c>
      <c r="E1004" t="s">
        <v>42</v>
      </c>
      <c r="F1004">
        <v>6</v>
      </c>
      <c r="G1004" t="s">
        <v>68</v>
      </c>
      <c r="H1004" t="s">
        <v>25</v>
      </c>
      <c r="I1004" t="s">
        <v>39</v>
      </c>
    </row>
    <row r="1005" spans="1:9" x14ac:dyDescent="0.45">
      <c r="A1005" t="s">
        <v>5673</v>
      </c>
      <c r="B1005" s="2">
        <v>46267</v>
      </c>
      <c r="C1005" t="s">
        <v>16</v>
      </c>
      <c r="D1005" t="s">
        <v>5674</v>
      </c>
      <c r="E1005" t="s">
        <v>54</v>
      </c>
      <c r="F1005">
        <v>4</v>
      </c>
      <c r="G1005" t="s">
        <v>55</v>
      </c>
      <c r="H1005" t="s">
        <v>72</v>
      </c>
      <c r="I1005" t="s">
        <v>60</v>
      </c>
    </row>
    <row r="1006" spans="1:9" x14ac:dyDescent="0.45">
      <c r="A1006" t="s">
        <v>5675</v>
      </c>
      <c r="B1006" s="2">
        <v>46097</v>
      </c>
      <c r="C1006" t="s">
        <v>16</v>
      </c>
      <c r="D1006" t="s">
        <v>5676</v>
      </c>
      <c r="E1006" t="s">
        <v>7974</v>
      </c>
      <c r="F1006">
        <v>5</v>
      </c>
      <c r="G1006" t="s">
        <v>68</v>
      </c>
      <c r="H1006" t="s">
        <v>25</v>
      </c>
      <c r="I1006" t="s">
        <v>39</v>
      </c>
    </row>
    <row r="1007" spans="1:9" x14ac:dyDescent="0.45">
      <c r="A1007" t="s">
        <v>5677</v>
      </c>
      <c r="B1007" s="2">
        <v>46096</v>
      </c>
      <c r="C1007" t="s">
        <v>66</v>
      </c>
      <c r="D1007" t="s">
        <v>5678</v>
      </c>
      <c r="E1007" t="s">
        <v>75</v>
      </c>
      <c r="F1007">
        <v>9</v>
      </c>
      <c r="G1007" t="s">
        <v>13</v>
      </c>
      <c r="H1007" t="s">
        <v>14</v>
      </c>
      <c r="I1007" t="s">
        <v>31</v>
      </c>
    </row>
    <row r="1008" spans="1:9" x14ac:dyDescent="0.45">
      <c r="A1008" t="s">
        <v>5679</v>
      </c>
      <c r="B1008" s="2">
        <v>46034</v>
      </c>
      <c r="C1008" t="s">
        <v>10</v>
      </c>
      <c r="D1008" t="s">
        <v>5680</v>
      </c>
      <c r="E1008" t="s">
        <v>58</v>
      </c>
      <c r="F1008">
        <v>1</v>
      </c>
      <c r="G1008" t="s">
        <v>35</v>
      </c>
      <c r="H1008" t="s">
        <v>25</v>
      </c>
      <c r="I1008" t="s">
        <v>39</v>
      </c>
    </row>
    <row r="1009" spans="1:9" x14ac:dyDescent="0.45">
      <c r="A1009" t="s">
        <v>5681</v>
      </c>
      <c r="B1009" s="2">
        <v>46044</v>
      </c>
      <c r="C1009" t="s">
        <v>52</v>
      </c>
      <c r="D1009" t="s">
        <v>5682</v>
      </c>
      <c r="E1009" t="s">
        <v>34</v>
      </c>
      <c r="F1009">
        <v>8</v>
      </c>
      <c r="G1009" t="s">
        <v>18</v>
      </c>
      <c r="H1009" t="s">
        <v>14</v>
      </c>
      <c r="I1009" t="s">
        <v>47</v>
      </c>
    </row>
    <row r="1010" spans="1:9" x14ac:dyDescent="0.45">
      <c r="A1010" t="s">
        <v>5683</v>
      </c>
      <c r="B1010" s="2">
        <v>46174</v>
      </c>
      <c r="C1010" t="s">
        <v>16</v>
      </c>
      <c r="D1010" t="s">
        <v>5684</v>
      </c>
      <c r="E1010" t="s">
        <v>23</v>
      </c>
      <c r="F1010">
        <v>6</v>
      </c>
      <c r="G1010" t="s">
        <v>68</v>
      </c>
      <c r="H1010" t="s">
        <v>25</v>
      </c>
      <c r="I1010" t="s">
        <v>60</v>
      </c>
    </row>
    <row r="1011" spans="1:9" x14ac:dyDescent="0.45">
      <c r="A1011" t="s">
        <v>5685</v>
      </c>
      <c r="B1011" s="2">
        <v>46244</v>
      </c>
      <c r="C1011" t="s">
        <v>28</v>
      </c>
      <c r="D1011" t="s">
        <v>5686</v>
      </c>
      <c r="E1011" t="s">
        <v>7974</v>
      </c>
      <c r="F1011">
        <v>10</v>
      </c>
      <c r="G1011" t="s">
        <v>68</v>
      </c>
      <c r="H1011" t="s">
        <v>25</v>
      </c>
      <c r="I1011" t="s">
        <v>60</v>
      </c>
    </row>
    <row r="1012" spans="1:9" x14ac:dyDescent="0.45">
      <c r="A1012" t="s">
        <v>5687</v>
      </c>
      <c r="B1012" s="2">
        <v>46024</v>
      </c>
      <c r="C1012" t="s">
        <v>10</v>
      </c>
      <c r="D1012" t="s">
        <v>5688</v>
      </c>
      <c r="E1012" t="s">
        <v>75</v>
      </c>
      <c r="F1012">
        <v>8</v>
      </c>
      <c r="G1012" t="s">
        <v>55</v>
      </c>
      <c r="H1012" t="s">
        <v>72</v>
      </c>
      <c r="I1012" t="s">
        <v>31</v>
      </c>
    </row>
    <row r="1013" spans="1:9" x14ac:dyDescent="0.45">
      <c r="A1013" t="s">
        <v>5689</v>
      </c>
      <c r="B1013" s="2">
        <v>46042</v>
      </c>
      <c r="C1013" t="s">
        <v>66</v>
      </c>
      <c r="D1013" t="s">
        <v>5690</v>
      </c>
      <c r="E1013" t="s">
        <v>54</v>
      </c>
      <c r="F1013">
        <v>11</v>
      </c>
      <c r="G1013" t="s">
        <v>59</v>
      </c>
      <c r="H1013" t="s">
        <v>14</v>
      </c>
      <c r="I1013" t="s">
        <v>19</v>
      </c>
    </row>
    <row r="1014" spans="1:9" x14ac:dyDescent="0.45">
      <c r="A1014" t="s">
        <v>5691</v>
      </c>
      <c r="B1014" s="2">
        <v>46051</v>
      </c>
      <c r="C1014" t="s">
        <v>49</v>
      </c>
      <c r="D1014" t="s">
        <v>5692</v>
      </c>
      <c r="E1014" t="s">
        <v>34</v>
      </c>
      <c r="F1014">
        <v>1</v>
      </c>
      <c r="G1014" t="s">
        <v>43</v>
      </c>
      <c r="H1014" t="s">
        <v>14</v>
      </c>
      <c r="I1014" t="s">
        <v>26</v>
      </c>
    </row>
    <row r="1015" spans="1:9" x14ac:dyDescent="0.45">
      <c r="A1015" t="s">
        <v>5693</v>
      </c>
      <c r="B1015" s="2">
        <v>46029</v>
      </c>
      <c r="C1015" t="s">
        <v>21</v>
      </c>
      <c r="D1015" t="s">
        <v>5694</v>
      </c>
      <c r="E1015" t="s">
        <v>71</v>
      </c>
      <c r="F1015">
        <v>2</v>
      </c>
      <c r="G1015" t="s">
        <v>68</v>
      </c>
      <c r="H1015" t="s">
        <v>25</v>
      </c>
      <c r="I1015" t="s">
        <v>60</v>
      </c>
    </row>
    <row r="1016" spans="1:9" x14ac:dyDescent="0.45">
      <c r="A1016" t="s">
        <v>5695</v>
      </c>
      <c r="B1016" s="2">
        <v>46107</v>
      </c>
      <c r="C1016" t="s">
        <v>49</v>
      </c>
      <c r="D1016" t="s">
        <v>5696</v>
      </c>
      <c r="E1016" t="s">
        <v>71</v>
      </c>
      <c r="F1016">
        <v>5</v>
      </c>
      <c r="G1016" t="s">
        <v>59</v>
      </c>
      <c r="H1016" t="s">
        <v>14</v>
      </c>
      <c r="I1016" t="s">
        <v>31</v>
      </c>
    </row>
    <row r="1017" spans="1:9" x14ac:dyDescent="0.45">
      <c r="A1017" t="s">
        <v>5697</v>
      </c>
      <c r="B1017" s="2">
        <v>46206</v>
      </c>
      <c r="C1017" t="s">
        <v>16</v>
      </c>
      <c r="D1017" t="s">
        <v>5698</v>
      </c>
      <c r="E1017" t="s">
        <v>30</v>
      </c>
      <c r="F1017">
        <v>10</v>
      </c>
      <c r="G1017" t="s">
        <v>55</v>
      </c>
      <c r="H1017" t="s">
        <v>72</v>
      </c>
      <c r="I1017" t="s">
        <v>39</v>
      </c>
    </row>
    <row r="1018" spans="1:9" x14ac:dyDescent="0.45">
      <c r="A1018" t="s">
        <v>5699</v>
      </c>
      <c r="B1018" s="2">
        <v>46249</v>
      </c>
      <c r="C1018" t="s">
        <v>28</v>
      </c>
      <c r="D1018" t="s">
        <v>5700</v>
      </c>
      <c r="E1018" t="s">
        <v>7974</v>
      </c>
      <c r="F1018">
        <v>5</v>
      </c>
      <c r="G1018" t="s">
        <v>24</v>
      </c>
      <c r="H1018" t="s">
        <v>25</v>
      </c>
      <c r="I1018" t="s">
        <v>60</v>
      </c>
    </row>
    <row r="1019" spans="1:9" x14ac:dyDescent="0.45">
      <c r="A1019" t="s">
        <v>5701</v>
      </c>
      <c r="B1019" s="2">
        <v>46092</v>
      </c>
      <c r="C1019" t="s">
        <v>16</v>
      </c>
      <c r="D1019" t="s">
        <v>5702</v>
      </c>
      <c r="E1019" t="s">
        <v>42</v>
      </c>
      <c r="F1019">
        <v>2</v>
      </c>
      <c r="G1019" t="s">
        <v>59</v>
      </c>
      <c r="H1019" t="s">
        <v>14</v>
      </c>
      <c r="I1019" t="s">
        <v>39</v>
      </c>
    </row>
    <row r="1020" spans="1:9" x14ac:dyDescent="0.45">
      <c r="A1020" t="s">
        <v>5703</v>
      </c>
      <c r="B1020" s="2">
        <v>46255</v>
      </c>
      <c r="C1020" t="s">
        <v>16</v>
      </c>
      <c r="D1020" t="s">
        <v>5704</v>
      </c>
      <c r="E1020" t="s">
        <v>54</v>
      </c>
      <c r="F1020">
        <v>11</v>
      </c>
      <c r="G1020" t="s">
        <v>35</v>
      </c>
      <c r="H1020" t="s">
        <v>25</v>
      </c>
      <c r="I1020" t="s">
        <v>26</v>
      </c>
    </row>
    <row r="1021" spans="1:9" x14ac:dyDescent="0.45">
      <c r="A1021" t="s">
        <v>5705</v>
      </c>
      <c r="B1021" s="2">
        <v>46063</v>
      </c>
      <c r="C1021" t="s">
        <v>21</v>
      </c>
      <c r="D1021" t="s">
        <v>5706</v>
      </c>
      <c r="E1021" t="s">
        <v>42</v>
      </c>
      <c r="F1021">
        <v>6</v>
      </c>
      <c r="G1021" t="s">
        <v>55</v>
      </c>
      <c r="H1021" t="s">
        <v>72</v>
      </c>
      <c r="I1021" t="s">
        <v>47</v>
      </c>
    </row>
    <row r="1022" spans="1:9" x14ac:dyDescent="0.45">
      <c r="A1022" t="s">
        <v>5707</v>
      </c>
      <c r="B1022" s="2">
        <v>46173</v>
      </c>
      <c r="C1022" t="s">
        <v>66</v>
      </c>
      <c r="D1022" t="s">
        <v>5708</v>
      </c>
      <c r="E1022" t="s">
        <v>58</v>
      </c>
      <c r="F1022">
        <v>12</v>
      </c>
      <c r="G1022" t="s">
        <v>35</v>
      </c>
      <c r="H1022" t="s">
        <v>25</v>
      </c>
      <c r="I1022" t="s">
        <v>39</v>
      </c>
    </row>
    <row r="1023" spans="1:9" x14ac:dyDescent="0.45">
      <c r="A1023" t="s">
        <v>5709</v>
      </c>
      <c r="B1023" s="2">
        <v>46054</v>
      </c>
      <c r="C1023" t="s">
        <v>52</v>
      </c>
      <c r="D1023" t="s">
        <v>5710</v>
      </c>
      <c r="E1023" t="s">
        <v>38</v>
      </c>
      <c r="F1023">
        <v>6</v>
      </c>
      <c r="G1023" t="s">
        <v>43</v>
      </c>
      <c r="H1023" t="s">
        <v>14</v>
      </c>
      <c r="I1023" t="s">
        <v>31</v>
      </c>
    </row>
    <row r="1024" spans="1:9" x14ac:dyDescent="0.45">
      <c r="A1024" t="s">
        <v>5711</v>
      </c>
      <c r="B1024" s="2">
        <v>46195</v>
      </c>
      <c r="C1024" t="s">
        <v>49</v>
      </c>
      <c r="D1024" t="s">
        <v>5712</v>
      </c>
      <c r="E1024" t="s">
        <v>7973</v>
      </c>
      <c r="F1024">
        <v>5</v>
      </c>
      <c r="G1024" t="s">
        <v>35</v>
      </c>
      <c r="H1024" t="s">
        <v>25</v>
      </c>
      <c r="I1024" t="s">
        <v>60</v>
      </c>
    </row>
    <row r="1025" spans="1:9" x14ac:dyDescent="0.45">
      <c r="A1025" t="s">
        <v>5713</v>
      </c>
      <c r="B1025" s="2">
        <v>46139</v>
      </c>
      <c r="C1025" t="s">
        <v>49</v>
      </c>
      <c r="D1025" t="s">
        <v>5714</v>
      </c>
      <c r="E1025" t="s">
        <v>34</v>
      </c>
      <c r="F1025">
        <v>6</v>
      </c>
      <c r="G1025" t="s">
        <v>13</v>
      </c>
      <c r="H1025" t="s">
        <v>14</v>
      </c>
      <c r="I1025" t="s">
        <v>26</v>
      </c>
    </row>
    <row r="1026" spans="1:9" x14ac:dyDescent="0.45">
      <c r="A1026" t="s">
        <v>5715</v>
      </c>
      <c r="B1026" s="2">
        <v>46250</v>
      </c>
      <c r="C1026" t="s">
        <v>52</v>
      </c>
      <c r="D1026" t="s">
        <v>5716</v>
      </c>
      <c r="E1026" t="s">
        <v>38</v>
      </c>
      <c r="F1026">
        <v>6</v>
      </c>
      <c r="G1026" t="s">
        <v>43</v>
      </c>
      <c r="H1026" t="s">
        <v>14</v>
      </c>
      <c r="I1026" t="s">
        <v>26</v>
      </c>
    </row>
    <row r="1027" spans="1:9" x14ac:dyDescent="0.45">
      <c r="A1027" t="s">
        <v>5717</v>
      </c>
      <c r="B1027" s="2">
        <v>46068</v>
      </c>
      <c r="C1027" t="s">
        <v>49</v>
      </c>
      <c r="D1027" t="s">
        <v>5718</v>
      </c>
      <c r="E1027" t="s">
        <v>34</v>
      </c>
      <c r="F1027">
        <v>4</v>
      </c>
      <c r="G1027" t="s">
        <v>18</v>
      </c>
      <c r="H1027" t="s">
        <v>14</v>
      </c>
      <c r="I1027" t="s">
        <v>31</v>
      </c>
    </row>
    <row r="1028" spans="1:9" x14ac:dyDescent="0.45">
      <c r="A1028" t="s">
        <v>5719</v>
      </c>
      <c r="B1028" s="2">
        <v>46104</v>
      </c>
      <c r="C1028" t="s">
        <v>16</v>
      </c>
      <c r="D1028" t="s">
        <v>5720</v>
      </c>
      <c r="E1028" t="s">
        <v>38</v>
      </c>
      <c r="F1028">
        <v>7</v>
      </c>
      <c r="G1028" t="s">
        <v>24</v>
      </c>
      <c r="H1028" t="s">
        <v>25</v>
      </c>
      <c r="I1028" t="s">
        <v>47</v>
      </c>
    </row>
    <row r="1029" spans="1:9" x14ac:dyDescent="0.45">
      <c r="A1029" t="s">
        <v>5721</v>
      </c>
      <c r="B1029" s="2">
        <v>46126</v>
      </c>
      <c r="C1029" t="s">
        <v>99</v>
      </c>
      <c r="D1029" t="s">
        <v>5722</v>
      </c>
      <c r="E1029" t="s">
        <v>7973</v>
      </c>
      <c r="F1029">
        <v>3</v>
      </c>
      <c r="G1029" t="s">
        <v>35</v>
      </c>
      <c r="H1029" t="s">
        <v>25</v>
      </c>
      <c r="I1029" t="s">
        <v>26</v>
      </c>
    </row>
    <row r="1030" spans="1:9" x14ac:dyDescent="0.45">
      <c r="A1030" t="s">
        <v>5723</v>
      </c>
      <c r="B1030" s="2">
        <v>46138</v>
      </c>
      <c r="C1030" t="s">
        <v>16</v>
      </c>
      <c r="D1030" t="s">
        <v>5724</v>
      </c>
      <c r="E1030" t="s">
        <v>7973</v>
      </c>
      <c r="F1030">
        <v>9</v>
      </c>
      <c r="G1030" t="s">
        <v>59</v>
      </c>
      <c r="H1030" t="s">
        <v>14</v>
      </c>
      <c r="I1030" t="s">
        <v>47</v>
      </c>
    </row>
    <row r="1031" spans="1:9" x14ac:dyDescent="0.45">
      <c r="A1031" t="s">
        <v>5725</v>
      </c>
      <c r="B1031" s="2">
        <v>46234</v>
      </c>
      <c r="C1031" t="s">
        <v>66</v>
      </c>
      <c r="D1031" t="s">
        <v>5726</v>
      </c>
      <c r="E1031" t="s">
        <v>71</v>
      </c>
      <c r="F1031">
        <v>5</v>
      </c>
      <c r="G1031" t="s">
        <v>24</v>
      </c>
      <c r="H1031" t="s">
        <v>25</v>
      </c>
      <c r="I1031" t="s">
        <v>60</v>
      </c>
    </row>
    <row r="1032" spans="1:9" x14ac:dyDescent="0.45">
      <c r="A1032" t="s">
        <v>5727</v>
      </c>
      <c r="B1032" s="2">
        <v>46194</v>
      </c>
      <c r="C1032" t="s">
        <v>49</v>
      </c>
      <c r="D1032" t="s">
        <v>5728</v>
      </c>
      <c r="E1032" t="s">
        <v>38</v>
      </c>
      <c r="F1032">
        <v>3</v>
      </c>
      <c r="G1032" t="s">
        <v>35</v>
      </c>
      <c r="H1032" t="s">
        <v>25</v>
      </c>
      <c r="I1032" t="s">
        <v>47</v>
      </c>
    </row>
    <row r="1033" spans="1:9" x14ac:dyDescent="0.45">
      <c r="A1033" t="s">
        <v>5729</v>
      </c>
      <c r="B1033" s="2">
        <v>46042</v>
      </c>
      <c r="C1033" t="s">
        <v>49</v>
      </c>
      <c r="D1033" t="s">
        <v>5730</v>
      </c>
      <c r="E1033" t="s">
        <v>54</v>
      </c>
      <c r="F1033">
        <v>5</v>
      </c>
      <c r="G1033" t="s">
        <v>68</v>
      </c>
      <c r="H1033" t="s">
        <v>25</v>
      </c>
      <c r="I1033" t="s">
        <v>39</v>
      </c>
    </row>
    <row r="1034" spans="1:9" x14ac:dyDescent="0.45">
      <c r="A1034" t="s">
        <v>5731</v>
      </c>
      <c r="B1034" s="2">
        <v>46169</v>
      </c>
      <c r="C1034" t="s">
        <v>49</v>
      </c>
      <c r="D1034" t="s">
        <v>5732</v>
      </c>
      <c r="E1034" t="s">
        <v>54</v>
      </c>
      <c r="F1034">
        <v>3</v>
      </c>
      <c r="G1034" t="s">
        <v>43</v>
      </c>
      <c r="H1034" t="s">
        <v>14</v>
      </c>
      <c r="I1034" t="s">
        <v>31</v>
      </c>
    </row>
    <row r="1035" spans="1:9" x14ac:dyDescent="0.45">
      <c r="A1035" t="s">
        <v>5733</v>
      </c>
      <c r="B1035" s="2">
        <v>46091</v>
      </c>
      <c r="C1035" t="s">
        <v>66</v>
      </c>
      <c r="D1035" t="s">
        <v>5734</v>
      </c>
      <c r="E1035" t="s">
        <v>54</v>
      </c>
      <c r="F1035">
        <v>9</v>
      </c>
      <c r="G1035" t="s">
        <v>59</v>
      </c>
      <c r="H1035" t="s">
        <v>14</v>
      </c>
      <c r="I1035" t="s">
        <v>31</v>
      </c>
    </row>
    <row r="1036" spans="1:9" x14ac:dyDescent="0.45">
      <c r="A1036" t="s">
        <v>5735</v>
      </c>
      <c r="B1036" s="2">
        <v>46053</v>
      </c>
      <c r="C1036" t="s">
        <v>28</v>
      </c>
      <c r="D1036" t="s">
        <v>5736</v>
      </c>
      <c r="E1036" t="s">
        <v>42</v>
      </c>
      <c r="F1036">
        <v>7</v>
      </c>
      <c r="G1036" t="s">
        <v>43</v>
      </c>
      <c r="H1036" t="s">
        <v>14</v>
      </c>
      <c r="I1036" t="s">
        <v>39</v>
      </c>
    </row>
    <row r="1037" spans="1:9" x14ac:dyDescent="0.45">
      <c r="A1037" t="s">
        <v>5737</v>
      </c>
      <c r="B1037" s="2">
        <v>46054</v>
      </c>
      <c r="C1037" t="s">
        <v>21</v>
      </c>
      <c r="D1037" t="s">
        <v>5738</v>
      </c>
      <c r="E1037" t="s">
        <v>30</v>
      </c>
      <c r="F1037">
        <v>3</v>
      </c>
      <c r="G1037" t="s">
        <v>55</v>
      </c>
      <c r="H1037" t="s">
        <v>72</v>
      </c>
      <c r="I1037" t="s">
        <v>31</v>
      </c>
    </row>
    <row r="1038" spans="1:9" x14ac:dyDescent="0.45">
      <c r="A1038" t="s">
        <v>5739</v>
      </c>
      <c r="B1038" s="2">
        <v>46181</v>
      </c>
      <c r="C1038" t="s">
        <v>49</v>
      </c>
      <c r="D1038" t="s">
        <v>5740</v>
      </c>
      <c r="E1038" t="s">
        <v>71</v>
      </c>
      <c r="F1038">
        <v>12</v>
      </c>
      <c r="G1038" t="s">
        <v>68</v>
      </c>
      <c r="H1038" t="s">
        <v>25</v>
      </c>
      <c r="I1038" t="s">
        <v>47</v>
      </c>
    </row>
    <row r="1039" spans="1:9" x14ac:dyDescent="0.45">
      <c r="A1039" t="s">
        <v>5741</v>
      </c>
      <c r="B1039" s="2">
        <v>46154</v>
      </c>
      <c r="C1039" t="s">
        <v>16</v>
      </c>
      <c r="D1039" t="s">
        <v>5742</v>
      </c>
      <c r="E1039" t="s">
        <v>7973</v>
      </c>
      <c r="F1039">
        <v>10</v>
      </c>
      <c r="G1039" t="s">
        <v>55</v>
      </c>
      <c r="H1039" t="s">
        <v>72</v>
      </c>
      <c r="I1039" t="s">
        <v>31</v>
      </c>
    </row>
    <row r="1040" spans="1:9" x14ac:dyDescent="0.45">
      <c r="A1040" t="s">
        <v>5743</v>
      </c>
      <c r="B1040" s="2">
        <v>46076</v>
      </c>
      <c r="C1040" t="s">
        <v>52</v>
      </c>
      <c r="D1040" t="s">
        <v>5744</v>
      </c>
      <c r="E1040" t="s">
        <v>34</v>
      </c>
      <c r="F1040">
        <v>11</v>
      </c>
      <c r="G1040" t="s">
        <v>68</v>
      </c>
      <c r="H1040" t="s">
        <v>25</v>
      </c>
      <c r="I1040" t="s">
        <v>26</v>
      </c>
    </row>
    <row r="1041" spans="1:9" x14ac:dyDescent="0.45">
      <c r="A1041" t="s">
        <v>5745</v>
      </c>
      <c r="B1041" s="2">
        <v>46094</v>
      </c>
      <c r="C1041" t="s">
        <v>66</v>
      </c>
      <c r="D1041" t="s">
        <v>5746</v>
      </c>
      <c r="E1041" t="s">
        <v>7973</v>
      </c>
      <c r="F1041">
        <v>12</v>
      </c>
      <c r="G1041" t="s">
        <v>68</v>
      </c>
      <c r="H1041" t="s">
        <v>25</v>
      </c>
      <c r="I1041" t="s">
        <v>60</v>
      </c>
    </row>
    <row r="1042" spans="1:9" x14ac:dyDescent="0.45">
      <c r="A1042" t="s">
        <v>5747</v>
      </c>
      <c r="B1042" s="2">
        <v>46037</v>
      </c>
      <c r="C1042" t="s">
        <v>66</v>
      </c>
      <c r="D1042" t="s">
        <v>5748</v>
      </c>
      <c r="E1042" t="s">
        <v>58</v>
      </c>
      <c r="F1042">
        <v>5</v>
      </c>
      <c r="G1042" t="s">
        <v>59</v>
      </c>
      <c r="H1042" t="s">
        <v>14</v>
      </c>
      <c r="I1042" t="s">
        <v>60</v>
      </c>
    </row>
    <row r="1043" spans="1:9" x14ac:dyDescent="0.45">
      <c r="A1043" t="s">
        <v>5749</v>
      </c>
      <c r="B1043" s="2">
        <v>46153</v>
      </c>
      <c r="C1043" t="s">
        <v>28</v>
      </c>
      <c r="D1043" t="s">
        <v>5750</v>
      </c>
      <c r="E1043" t="s">
        <v>30</v>
      </c>
      <c r="F1043">
        <v>3</v>
      </c>
      <c r="G1043" t="s">
        <v>13</v>
      </c>
      <c r="H1043" t="s">
        <v>14</v>
      </c>
      <c r="I1043" t="s">
        <v>39</v>
      </c>
    </row>
    <row r="1044" spans="1:9" x14ac:dyDescent="0.45">
      <c r="A1044" t="s">
        <v>5751</v>
      </c>
      <c r="B1044" s="2">
        <v>46196</v>
      </c>
      <c r="C1044" t="s">
        <v>21</v>
      </c>
      <c r="D1044" t="s">
        <v>5752</v>
      </c>
      <c r="E1044" t="s">
        <v>58</v>
      </c>
      <c r="F1044">
        <v>1</v>
      </c>
      <c r="G1044" t="s">
        <v>68</v>
      </c>
      <c r="H1044" t="s">
        <v>25</v>
      </c>
      <c r="I1044" t="s">
        <v>39</v>
      </c>
    </row>
    <row r="1045" spans="1:9" x14ac:dyDescent="0.45">
      <c r="A1045" t="s">
        <v>5753</v>
      </c>
      <c r="B1045" s="2">
        <v>46109</v>
      </c>
      <c r="C1045" t="s">
        <v>16</v>
      </c>
      <c r="D1045" t="s">
        <v>5754</v>
      </c>
      <c r="E1045" t="s">
        <v>7973</v>
      </c>
      <c r="F1045">
        <v>2</v>
      </c>
      <c r="G1045" t="s">
        <v>59</v>
      </c>
      <c r="H1045" t="s">
        <v>14</v>
      </c>
      <c r="I1045" t="s">
        <v>19</v>
      </c>
    </row>
    <row r="1046" spans="1:9" x14ac:dyDescent="0.45">
      <c r="A1046" t="s">
        <v>5755</v>
      </c>
      <c r="B1046" s="2">
        <v>46155</v>
      </c>
      <c r="C1046" t="s">
        <v>10</v>
      </c>
      <c r="D1046" t="s">
        <v>5756</v>
      </c>
      <c r="E1046" t="s">
        <v>2306</v>
      </c>
      <c r="F1046">
        <v>5</v>
      </c>
      <c r="G1046" t="s">
        <v>59</v>
      </c>
      <c r="H1046" t="s">
        <v>14</v>
      </c>
      <c r="I1046" t="s">
        <v>19</v>
      </c>
    </row>
    <row r="1047" spans="1:9" x14ac:dyDescent="0.45">
      <c r="A1047" t="s">
        <v>5757</v>
      </c>
      <c r="B1047" s="2">
        <v>46177</v>
      </c>
      <c r="C1047" t="s">
        <v>28</v>
      </c>
      <c r="D1047" t="s">
        <v>5758</v>
      </c>
      <c r="E1047" t="s">
        <v>54</v>
      </c>
      <c r="F1047">
        <v>2</v>
      </c>
      <c r="G1047" t="s">
        <v>55</v>
      </c>
      <c r="H1047" t="s">
        <v>72</v>
      </c>
      <c r="I1047" t="s">
        <v>31</v>
      </c>
    </row>
    <row r="1048" spans="1:9" x14ac:dyDescent="0.45">
      <c r="A1048" t="s">
        <v>5759</v>
      </c>
      <c r="B1048" s="2">
        <v>46170</v>
      </c>
      <c r="C1048" t="s">
        <v>10</v>
      </c>
      <c r="D1048" t="s">
        <v>5760</v>
      </c>
      <c r="E1048" t="s">
        <v>75</v>
      </c>
      <c r="F1048">
        <v>12</v>
      </c>
      <c r="G1048" t="s">
        <v>24</v>
      </c>
      <c r="H1048" t="s">
        <v>25</v>
      </c>
      <c r="I1048" t="s">
        <v>47</v>
      </c>
    </row>
    <row r="1049" spans="1:9" x14ac:dyDescent="0.45">
      <c r="A1049" t="s">
        <v>5761</v>
      </c>
      <c r="B1049" s="2">
        <v>46088</v>
      </c>
      <c r="C1049" t="s">
        <v>52</v>
      </c>
      <c r="D1049" t="s">
        <v>5762</v>
      </c>
      <c r="E1049" t="s">
        <v>7974</v>
      </c>
      <c r="F1049">
        <v>12</v>
      </c>
      <c r="G1049" t="s">
        <v>18</v>
      </c>
      <c r="H1049" t="s">
        <v>14</v>
      </c>
      <c r="I1049" t="s">
        <v>31</v>
      </c>
    </row>
    <row r="1050" spans="1:9" x14ac:dyDescent="0.45">
      <c r="A1050" t="s">
        <v>5763</v>
      </c>
      <c r="B1050" s="2">
        <v>46154</v>
      </c>
      <c r="C1050" t="s">
        <v>66</v>
      </c>
      <c r="D1050" t="s">
        <v>5764</v>
      </c>
      <c r="E1050" t="s">
        <v>1370</v>
      </c>
      <c r="F1050">
        <v>10</v>
      </c>
      <c r="G1050" t="s">
        <v>35</v>
      </c>
      <c r="H1050" t="s">
        <v>25</v>
      </c>
      <c r="I1050" t="s">
        <v>60</v>
      </c>
    </row>
    <row r="1051" spans="1:9" x14ac:dyDescent="0.45">
      <c r="A1051" t="s">
        <v>5765</v>
      </c>
      <c r="B1051" s="2">
        <v>46175</v>
      </c>
      <c r="C1051" t="s">
        <v>66</v>
      </c>
      <c r="D1051" t="s">
        <v>5766</v>
      </c>
      <c r="E1051" t="s">
        <v>75</v>
      </c>
      <c r="F1051">
        <v>6</v>
      </c>
      <c r="G1051" t="s">
        <v>35</v>
      </c>
      <c r="H1051" t="s">
        <v>25</v>
      </c>
      <c r="I1051" t="s">
        <v>60</v>
      </c>
    </row>
    <row r="1052" spans="1:9" x14ac:dyDescent="0.45">
      <c r="A1052" t="s">
        <v>5767</v>
      </c>
      <c r="B1052" s="2">
        <v>46209</v>
      </c>
      <c r="C1052" t="s">
        <v>16</v>
      </c>
      <c r="D1052" t="s">
        <v>5768</v>
      </c>
      <c r="E1052" t="s">
        <v>23</v>
      </c>
      <c r="F1052">
        <v>7</v>
      </c>
      <c r="G1052" t="s">
        <v>43</v>
      </c>
      <c r="H1052" t="s">
        <v>14</v>
      </c>
      <c r="I1052" t="s">
        <v>60</v>
      </c>
    </row>
    <row r="1053" spans="1:9" x14ac:dyDescent="0.45">
      <c r="A1053" t="s">
        <v>5769</v>
      </c>
      <c r="B1053" s="2">
        <v>46243</v>
      </c>
      <c r="C1053" t="s">
        <v>49</v>
      </c>
      <c r="D1053" t="s">
        <v>5770</v>
      </c>
      <c r="E1053" t="s">
        <v>23</v>
      </c>
      <c r="F1053">
        <v>11</v>
      </c>
      <c r="G1053" t="s">
        <v>13</v>
      </c>
      <c r="H1053" t="s">
        <v>14</v>
      </c>
      <c r="I1053" t="s">
        <v>39</v>
      </c>
    </row>
    <row r="1054" spans="1:9" x14ac:dyDescent="0.45">
      <c r="A1054" t="s">
        <v>5771</v>
      </c>
      <c r="B1054" s="2">
        <v>46170</v>
      </c>
      <c r="C1054" t="s">
        <v>10</v>
      </c>
      <c r="D1054" t="s">
        <v>5772</v>
      </c>
      <c r="E1054" t="s">
        <v>34</v>
      </c>
      <c r="F1054">
        <v>2</v>
      </c>
      <c r="G1054" t="s">
        <v>68</v>
      </c>
      <c r="H1054" t="s">
        <v>25</v>
      </c>
      <c r="I1054" t="s">
        <v>39</v>
      </c>
    </row>
    <row r="1055" spans="1:9" x14ac:dyDescent="0.45">
      <c r="A1055" t="s">
        <v>5773</v>
      </c>
      <c r="B1055" s="2">
        <v>46155</v>
      </c>
      <c r="C1055" t="s">
        <v>52</v>
      </c>
      <c r="D1055" t="s">
        <v>5774</v>
      </c>
      <c r="E1055" t="s">
        <v>38</v>
      </c>
      <c r="F1055">
        <v>8</v>
      </c>
      <c r="G1055" t="s">
        <v>43</v>
      </c>
      <c r="H1055" t="s">
        <v>14</v>
      </c>
      <c r="I1055" t="s">
        <v>47</v>
      </c>
    </row>
    <row r="1056" spans="1:9" x14ac:dyDescent="0.45">
      <c r="A1056" t="s">
        <v>5775</v>
      </c>
      <c r="B1056" s="2">
        <v>46094</v>
      </c>
      <c r="C1056" t="s">
        <v>28</v>
      </c>
      <c r="D1056" t="s">
        <v>5776</v>
      </c>
      <c r="E1056" t="s">
        <v>71</v>
      </c>
      <c r="F1056">
        <v>11</v>
      </c>
      <c r="G1056" t="s">
        <v>68</v>
      </c>
      <c r="H1056" t="s">
        <v>25</v>
      </c>
      <c r="I1056" t="s">
        <v>47</v>
      </c>
    </row>
    <row r="1057" spans="1:9" x14ac:dyDescent="0.45">
      <c r="A1057" t="s">
        <v>5777</v>
      </c>
      <c r="B1057" s="2">
        <v>46066</v>
      </c>
      <c r="C1057" t="s">
        <v>52</v>
      </c>
      <c r="D1057" t="s">
        <v>5778</v>
      </c>
      <c r="E1057" t="s">
        <v>46</v>
      </c>
      <c r="F1057">
        <v>7</v>
      </c>
      <c r="G1057" t="s">
        <v>43</v>
      </c>
      <c r="H1057" t="s">
        <v>14</v>
      </c>
      <c r="I1057" t="s">
        <v>31</v>
      </c>
    </row>
    <row r="1058" spans="1:9" x14ac:dyDescent="0.45">
      <c r="A1058" t="s">
        <v>5779</v>
      </c>
      <c r="B1058" s="2">
        <v>46200</v>
      </c>
      <c r="C1058" t="s">
        <v>49</v>
      </c>
      <c r="D1058" t="s">
        <v>5780</v>
      </c>
      <c r="E1058" t="s">
        <v>58</v>
      </c>
      <c r="F1058">
        <v>2</v>
      </c>
      <c r="G1058" t="s">
        <v>35</v>
      </c>
      <c r="H1058" t="s">
        <v>25</v>
      </c>
      <c r="I1058" t="s">
        <v>47</v>
      </c>
    </row>
    <row r="1059" spans="1:9" x14ac:dyDescent="0.45">
      <c r="A1059" t="s">
        <v>5781</v>
      </c>
      <c r="B1059" s="2">
        <v>46233</v>
      </c>
      <c r="C1059" t="s">
        <v>10</v>
      </c>
      <c r="D1059" t="s">
        <v>5782</v>
      </c>
      <c r="E1059" t="s">
        <v>7973</v>
      </c>
      <c r="F1059">
        <v>4</v>
      </c>
      <c r="G1059" t="s">
        <v>55</v>
      </c>
      <c r="H1059" t="s">
        <v>72</v>
      </c>
      <c r="I1059" t="s">
        <v>39</v>
      </c>
    </row>
    <row r="1060" spans="1:9" x14ac:dyDescent="0.45">
      <c r="A1060" t="s">
        <v>5783</v>
      </c>
      <c r="B1060" s="2">
        <v>46143</v>
      </c>
      <c r="C1060" t="s">
        <v>10</v>
      </c>
      <c r="D1060" t="s">
        <v>5784</v>
      </c>
      <c r="E1060" t="s">
        <v>7974</v>
      </c>
      <c r="F1060">
        <v>10</v>
      </c>
      <c r="G1060" t="s">
        <v>35</v>
      </c>
      <c r="H1060" t="s">
        <v>25</v>
      </c>
      <c r="I1060" t="s">
        <v>47</v>
      </c>
    </row>
    <row r="1061" spans="1:9" x14ac:dyDescent="0.45">
      <c r="A1061" t="s">
        <v>5785</v>
      </c>
      <c r="B1061" s="2">
        <v>46218</v>
      </c>
      <c r="C1061" t="s">
        <v>16</v>
      </c>
      <c r="D1061" t="s">
        <v>5786</v>
      </c>
      <c r="E1061" t="s">
        <v>38</v>
      </c>
      <c r="F1061">
        <v>6</v>
      </c>
      <c r="G1061" t="s">
        <v>13</v>
      </c>
      <c r="H1061" t="s">
        <v>14</v>
      </c>
      <c r="I1061" t="s">
        <v>47</v>
      </c>
    </row>
    <row r="1062" spans="1:9" x14ac:dyDescent="0.45">
      <c r="A1062" t="s">
        <v>5787</v>
      </c>
      <c r="B1062" s="2">
        <v>46178</v>
      </c>
      <c r="C1062" t="s">
        <v>49</v>
      </c>
      <c r="D1062" t="s">
        <v>5788</v>
      </c>
      <c r="E1062" t="s">
        <v>42</v>
      </c>
      <c r="F1062">
        <v>4</v>
      </c>
      <c r="G1062" t="s">
        <v>43</v>
      </c>
      <c r="H1062" t="s">
        <v>14</v>
      </c>
      <c r="I1062" t="s">
        <v>19</v>
      </c>
    </row>
    <row r="1063" spans="1:9" x14ac:dyDescent="0.45">
      <c r="A1063" t="s">
        <v>5789</v>
      </c>
      <c r="B1063" s="2">
        <v>46170</v>
      </c>
      <c r="C1063" t="s">
        <v>52</v>
      </c>
      <c r="D1063" t="s">
        <v>5790</v>
      </c>
      <c r="E1063" t="s">
        <v>58</v>
      </c>
      <c r="F1063">
        <v>7</v>
      </c>
      <c r="G1063" t="s">
        <v>35</v>
      </c>
      <c r="H1063" t="s">
        <v>25</v>
      </c>
      <c r="I1063" t="s">
        <v>60</v>
      </c>
    </row>
    <row r="1064" spans="1:9" x14ac:dyDescent="0.45">
      <c r="A1064" t="s">
        <v>5791</v>
      </c>
      <c r="B1064" s="2">
        <v>46180</v>
      </c>
      <c r="C1064" t="s">
        <v>49</v>
      </c>
      <c r="D1064" t="s">
        <v>5792</v>
      </c>
      <c r="E1064" t="s">
        <v>71</v>
      </c>
      <c r="F1064">
        <v>7</v>
      </c>
      <c r="G1064" t="s">
        <v>24</v>
      </c>
      <c r="H1064" t="s">
        <v>25</v>
      </c>
      <c r="I1064" t="s">
        <v>60</v>
      </c>
    </row>
    <row r="1065" spans="1:9" x14ac:dyDescent="0.45">
      <c r="A1065" t="s">
        <v>5793</v>
      </c>
      <c r="B1065" s="2">
        <v>46064</v>
      </c>
      <c r="C1065" t="s">
        <v>10</v>
      </c>
      <c r="D1065" t="s">
        <v>5794</v>
      </c>
      <c r="E1065" t="s">
        <v>71</v>
      </c>
      <c r="F1065">
        <v>6</v>
      </c>
      <c r="G1065" t="s">
        <v>43</v>
      </c>
      <c r="H1065" t="s">
        <v>14</v>
      </c>
      <c r="I1065" t="s">
        <v>19</v>
      </c>
    </row>
    <row r="1066" spans="1:9" x14ac:dyDescent="0.45">
      <c r="A1066" t="s">
        <v>5795</v>
      </c>
      <c r="B1066" s="2">
        <v>46082</v>
      </c>
      <c r="C1066" t="s">
        <v>66</v>
      </c>
      <c r="D1066" t="s">
        <v>5796</v>
      </c>
      <c r="E1066" t="s">
        <v>7974</v>
      </c>
      <c r="F1066">
        <v>9</v>
      </c>
      <c r="G1066" t="s">
        <v>18</v>
      </c>
      <c r="H1066" t="s">
        <v>14</v>
      </c>
      <c r="I1066" t="s">
        <v>19</v>
      </c>
    </row>
    <row r="1067" spans="1:9" x14ac:dyDescent="0.45">
      <c r="A1067" t="s">
        <v>5797</v>
      </c>
      <c r="B1067" s="2">
        <v>46040</v>
      </c>
      <c r="C1067" t="s">
        <v>52</v>
      </c>
      <c r="D1067" t="s">
        <v>5798</v>
      </c>
      <c r="E1067" t="s">
        <v>42</v>
      </c>
      <c r="F1067">
        <v>1</v>
      </c>
      <c r="G1067" t="s">
        <v>18</v>
      </c>
      <c r="H1067" t="s">
        <v>14</v>
      </c>
      <c r="I1067" t="s">
        <v>26</v>
      </c>
    </row>
    <row r="1068" spans="1:9" x14ac:dyDescent="0.45">
      <c r="A1068" t="s">
        <v>5799</v>
      </c>
      <c r="B1068" s="2">
        <v>46158</v>
      </c>
      <c r="C1068" t="s">
        <v>16</v>
      </c>
      <c r="D1068" t="s">
        <v>5800</v>
      </c>
      <c r="E1068" t="s">
        <v>7974</v>
      </c>
      <c r="F1068">
        <v>7</v>
      </c>
      <c r="G1068" t="s">
        <v>13</v>
      </c>
      <c r="H1068" t="s">
        <v>14</v>
      </c>
      <c r="I1068" t="s">
        <v>26</v>
      </c>
    </row>
    <row r="1069" spans="1:9" x14ac:dyDescent="0.45">
      <c r="A1069" t="s">
        <v>5801</v>
      </c>
      <c r="B1069" s="2">
        <v>46141</v>
      </c>
      <c r="C1069" t="s">
        <v>66</v>
      </c>
      <c r="D1069" t="s">
        <v>5802</v>
      </c>
      <c r="E1069" t="s">
        <v>7973</v>
      </c>
      <c r="F1069">
        <v>10</v>
      </c>
      <c r="G1069" t="s">
        <v>55</v>
      </c>
      <c r="H1069" t="s">
        <v>72</v>
      </c>
      <c r="I1069" t="s">
        <v>60</v>
      </c>
    </row>
    <row r="1070" spans="1:9" x14ac:dyDescent="0.45">
      <c r="A1070" t="s">
        <v>5803</v>
      </c>
      <c r="B1070" s="2">
        <v>46209</v>
      </c>
      <c r="C1070" t="s">
        <v>16</v>
      </c>
      <c r="D1070" t="s">
        <v>5804</v>
      </c>
      <c r="E1070" t="s">
        <v>23</v>
      </c>
      <c r="F1070">
        <v>1</v>
      </c>
      <c r="G1070" t="s">
        <v>68</v>
      </c>
      <c r="H1070" t="s">
        <v>25</v>
      </c>
      <c r="I1070" t="s">
        <v>31</v>
      </c>
    </row>
    <row r="1071" spans="1:9" x14ac:dyDescent="0.45">
      <c r="A1071" t="s">
        <v>5805</v>
      </c>
      <c r="B1071" s="2">
        <v>46159</v>
      </c>
      <c r="C1071" t="s">
        <v>66</v>
      </c>
      <c r="D1071" t="s">
        <v>5806</v>
      </c>
      <c r="E1071" t="s">
        <v>58</v>
      </c>
      <c r="F1071">
        <v>10</v>
      </c>
      <c r="G1071" t="s">
        <v>24</v>
      </c>
      <c r="H1071" t="s">
        <v>25</v>
      </c>
      <c r="I1071" t="s">
        <v>26</v>
      </c>
    </row>
    <row r="1072" spans="1:9" x14ac:dyDescent="0.45">
      <c r="A1072" t="s">
        <v>5807</v>
      </c>
      <c r="B1072" s="2">
        <v>46066</v>
      </c>
      <c r="C1072" t="s">
        <v>49</v>
      </c>
      <c r="D1072" t="s">
        <v>5808</v>
      </c>
      <c r="E1072" t="s">
        <v>7974</v>
      </c>
      <c r="F1072">
        <v>5</v>
      </c>
      <c r="G1072" t="s">
        <v>68</v>
      </c>
      <c r="H1072" t="s">
        <v>25</v>
      </c>
      <c r="I1072" t="s">
        <v>19</v>
      </c>
    </row>
    <row r="1073" spans="1:9" x14ac:dyDescent="0.45">
      <c r="A1073" t="s">
        <v>5809</v>
      </c>
      <c r="B1073" s="2">
        <v>46260</v>
      </c>
      <c r="C1073" t="s">
        <v>49</v>
      </c>
      <c r="D1073" t="s">
        <v>5810</v>
      </c>
      <c r="E1073" t="s">
        <v>54</v>
      </c>
      <c r="F1073">
        <v>6</v>
      </c>
      <c r="G1073" t="s">
        <v>13</v>
      </c>
      <c r="H1073" t="s">
        <v>14</v>
      </c>
      <c r="I1073" t="s">
        <v>19</v>
      </c>
    </row>
    <row r="1074" spans="1:9" x14ac:dyDescent="0.45">
      <c r="A1074" t="s">
        <v>5811</v>
      </c>
      <c r="B1074" s="2">
        <v>46257</v>
      </c>
      <c r="C1074" t="s">
        <v>28</v>
      </c>
      <c r="D1074" t="s">
        <v>5812</v>
      </c>
      <c r="E1074" t="s">
        <v>46</v>
      </c>
      <c r="F1074">
        <v>2</v>
      </c>
      <c r="G1074" t="s">
        <v>68</v>
      </c>
      <c r="H1074" t="s">
        <v>25</v>
      </c>
      <c r="I1074" t="s">
        <v>19</v>
      </c>
    </row>
    <row r="1075" spans="1:9" x14ac:dyDescent="0.45">
      <c r="A1075" t="s">
        <v>5813</v>
      </c>
      <c r="B1075" s="2">
        <v>46229</v>
      </c>
      <c r="C1075" t="s">
        <v>99</v>
      </c>
      <c r="D1075" t="s">
        <v>5814</v>
      </c>
      <c r="E1075" t="s">
        <v>7973</v>
      </c>
      <c r="F1075">
        <v>7</v>
      </c>
      <c r="G1075" t="s">
        <v>24</v>
      </c>
      <c r="H1075" t="s">
        <v>25</v>
      </c>
      <c r="I1075" t="s">
        <v>31</v>
      </c>
    </row>
    <row r="1076" spans="1:9" x14ac:dyDescent="0.45">
      <c r="A1076" t="s">
        <v>5815</v>
      </c>
      <c r="B1076" s="2">
        <v>46218</v>
      </c>
      <c r="C1076" t="s">
        <v>28</v>
      </c>
      <c r="D1076" t="s">
        <v>5816</v>
      </c>
      <c r="E1076" t="s">
        <v>42</v>
      </c>
      <c r="F1076">
        <v>4</v>
      </c>
      <c r="G1076" t="s">
        <v>59</v>
      </c>
      <c r="H1076" t="s">
        <v>14</v>
      </c>
      <c r="I1076" t="s">
        <v>26</v>
      </c>
    </row>
    <row r="1077" spans="1:9" x14ac:dyDescent="0.45">
      <c r="A1077" t="s">
        <v>5817</v>
      </c>
      <c r="B1077" s="2">
        <v>46169</v>
      </c>
      <c r="C1077" t="s">
        <v>66</v>
      </c>
      <c r="D1077" t="s">
        <v>5818</v>
      </c>
      <c r="E1077" t="s">
        <v>30</v>
      </c>
      <c r="F1077">
        <v>10</v>
      </c>
      <c r="G1077" t="s">
        <v>18</v>
      </c>
      <c r="H1077" t="s">
        <v>14</v>
      </c>
      <c r="I1077" t="s">
        <v>60</v>
      </c>
    </row>
    <row r="1078" spans="1:9" x14ac:dyDescent="0.45">
      <c r="A1078" t="s">
        <v>5819</v>
      </c>
      <c r="B1078" s="2">
        <v>46187</v>
      </c>
      <c r="C1078" t="s">
        <v>16</v>
      </c>
      <c r="D1078" t="s">
        <v>5820</v>
      </c>
      <c r="E1078" t="s">
        <v>46</v>
      </c>
      <c r="F1078">
        <v>7</v>
      </c>
      <c r="G1078" t="s">
        <v>18</v>
      </c>
      <c r="H1078" t="s">
        <v>14</v>
      </c>
      <c r="I1078" t="s">
        <v>26</v>
      </c>
    </row>
    <row r="1079" spans="1:9" x14ac:dyDescent="0.45">
      <c r="A1079" t="s">
        <v>5821</v>
      </c>
      <c r="B1079" s="2">
        <v>46182</v>
      </c>
      <c r="C1079" t="s">
        <v>52</v>
      </c>
      <c r="D1079" t="s">
        <v>5822</v>
      </c>
      <c r="E1079" t="s">
        <v>42</v>
      </c>
      <c r="F1079">
        <v>1</v>
      </c>
      <c r="G1079" t="s">
        <v>59</v>
      </c>
      <c r="H1079" t="s">
        <v>14</v>
      </c>
      <c r="I1079" t="s">
        <v>60</v>
      </c>
    </row>
    <row r="1080" spans="1:9" x14ac:dyDescent="0.45">
      <c r="A1080" t="s">
        <v>5823</v>
      </c>
      <c r="B1080" s="2">
        <v>46191</v>
      </c>
      <c r="C1080" t="s">
        <v>49</v>
      </c>
      <c r="D1080" t="s">
        <v>5824</v>
      </c>
      <c r="E1080" t="s">
        <v>42</v>
      </c>
      <c r="F1080">
        <v>12</v>
      </c>
      <c r="G1080" t="s">
        <v>55</v>
      </c>
      <c r="H1080" t="s">
        <v>72</v>
      </c>
      <c r="I1080" t="s">
        <v>60</v>
      </c>
    </row>
    <row r="1081" spans="1:9" x14ac:dyDescent="0.45">
      <c r="A1081" t="s">
        <v>5825</v>
      </c>
      <c r="B1081" s="2">
        <v>46186</v>
      </c>
      <c r="C1081" t="s">
        <v>16</v>
      </c>
      <c r="D1081" t="s">
        <v>5826</v>
      </c>
      <c r="E1081" t="s">
        <v>71</v>
      </c>
      <c r="F1081">
        <v>7</v>
      </c>
      <c r="G1081" t="s">
        <v>18</v>
      </c>
      <c r="H1081" t="s">
        <v>14</v>
      </c>
      <c r="I1081" t="s">
        <v>7967</v>
      </c>
    </row>
    <row r="1082" spans="1:9" x14ac:dyDescent="0.45">
      <c r="A1082" t="s">
        <v>5827</v>
      </c>
      <c r="B1082" s="2">
        <v>46145</v>
      </c>
      <c r="C1082" t="s">
        <v>52</v>
      </c>
      <c r="D1082" t="s">
        <v>5828</v>
      </c>
      <c r="E1082" t="s">
        <v>75</v>
      </c>
      <c r="F1082">
        <v>7</v>
      </c>
      <c r="G1082" t="s">
        <v>68</v>
      </c>
      <c r="H1082" t="s">
        <v>25</v>
      </c>
      <c r="I1082" t="s">
        <v>39</v>
      </c>
    </row>
    <row r="1083" spans="1:9" x14ac:dyDescent="0.45">
      <c r="A1083" t="s">
        <v>5829</v>
      </c>
      <c r="B1083" s="2">
        <v>46262</v>
      </c>
      <c r="C1083" t="s">
        <v>10</v>
      </c>
      <c r="D1083" t="s">
        <v>5830</v>
      </c>
      <c r="E1083" t="s">
        <v>38</v>
      </c>
      <c r="F1083">
        <v>11</v>
      </c>
      <c r="G1083" t="s">
        <v>13</v>
      </c>
      <c r="H1083" t="s">
        <v>14</v>
      </c>
      <c r="I1083" t="s">
        <v>60</v>
      </c>
    </row>
    <row r="1084" spans="1:9" x14ac:dyDescent="0.45">
      <c r="A1084" t="s">
        <v>5831</v>
      </c>
      <c r="B1084" s="2">
        <v>46221</v>
      </c>
      <c r="C1084" t="s">
        <v>52</v>
      </c>
      <c r="D1084" t="s">
        <v>5832</v>
      </c>
      <c r="E1084" t="s">
        <v>34</v>
      </c>
      <c r="F1084">
        <v>1</v>
      </c>
      <c r="G1084" t="s">
        <v>55</v>
      </c>
      <c r="H1084" t="s">
        <v>72</v>
      </c>
      <c r="I1084" t="s">
        <v>39</v>
      </c>
    </row>
    <row r="1085" spans="1:9" x14ac:dyDescent="0.45">
      <c r="A1085" t="s">
        <v>5833</v>
      </c>
      <c r="B1085" s="2">
        <v>46083</v>
      </c>
      <c r="C1085" t="s">
        <v>10</v>
      </c>
      <c r="D1085" t="s">
        <v>5834</v>
      </c>
      <c r="E1085" t="s">
        <v>38</v>
      </c>
      <c r="F1085">
        <v>4</v>
      </c>
      <c r="G1085" t="s">
        <v>55</v>
      </c>
      <c r="H1085" t="s">
        <v>72</v>
      </c>
      <c r="I1085" t="s">
        <v>26</v>
      </c>
    </row>
    <row r="1086" spans="1:9" x14ac:dyDescent="0.45">
      <c r="A1086" t="s">
        <v>5835</v>
      </c>
      <c r="B1086" s="2">
        <v>46130</v>
      </c>
      <c r="C1086" t="s">
        <v>52</v>
      </c>
      <c r="D1086" t="s">
        <v>5836</v>
      </c>
      <c r="E1086" t="s">
        <v>75</v>
      </c>
      <c r="F1086">
        <v>5</v>
      </c>
      <c r="G1086" t="s">
        <v>68</v>
      </c>
      <c r="H1086" t="s">
        <v>25</v>
      </c>
      <c r="I1086" t="s">
        <v>60</v>
      </c>
    </row>
    <row r="1087" spans="1:9" x14ac:dyDescent="0.45">
      <c r="A1087" t="s">
        <v>5837</v>
      </c>
      <c r="B1087" s="2">
        <v>46161</v>
      </c>
      <c r="C1087" t="s">
        <v>99</v>
      </c>
      <c r="D1087" t="s">
        <v>5838</v>
      </c>
      <c r="E1087" t="s">
        <v>30</v>
      </c>
      <c r="F1087">
        <v>11</v>
      </c>
      <c r="G1087" t="s">
        <v>68</v>
      </c>
      <c r="H1087" t="s">
        <v>25</v>
      </c>
      <c r="I1087" t="s">
        <v>26</v>
      </c>
    </row>
    <row r="1088" spans="1:9" x14ac:dyDescent="0.45">
      <c r="A1088" t="s">
        <v>5839</v>
      </c>
      <c r="B1088" s="2">
        <v>46072</v>
      </c>
      <c r="C1088" t="s">
        <v>52</v>
      </c>
      <c r="D1088" t="s">
        <v>5840</v>
      </c>
      <c r="E1088" t="s">
        <v>46</v>
      </c>
      <c r="F1088">
        <v>12</v>
      </c>
      <c r="G1088" t="s">
        <v>59</v>
      </c>
      <c r="H1088" t="s">
        <v>14</v>
      </c>
      <c r="I1088" t="s">
        <v>19</v>
      </c>
    </row>
    <row r="1089" spans="1:9" x14ac:dyDescent="0.45">
      <c r="A1089" t="s">
        <v>5841</v>
      </c>
      <c r="B1089" s="2">
        <v>46126</v>
      </c>
      <c r="C1089" t="s">
        <v>28</v>
      </c>
      <c r="D1089" t="s">
        <v>5842</v>
      </c>
      <c r="E1089" t="s">
        <v>34</v>
      </c>
      <c r="F1089">
        <v>6</v>
      </c>
      <c r="G1089" t="s">
        <v>55</v>
      </c>
      <c r="H1089" t="s">
        <v>72</v>
      </c>
      <c r="I1089" t="s">
        <v>60</v>
      </c>
    </row>
    <row r="1090" spans="1:9" x14ac:dyDescent="0.45">
      <c r="A1090" t="s">
        <v>5843</v>
      </c>
      <c r="B1090" s="2">
        <v>46066</v>
      </c>
      <c r="C1090" t="s">
        <v>66</v>
      </c>
      <c r="D1090" t="s">
        <v>5844</v>
      </c>
      <c r="E1090" t="s">
        <v>7974</v>
      </c>
      <c r="F1090">
        <v>2</v>
      </c>
      <c r="G1090" t="s">
        <v>18</v>
      </c>
      <c r="H1090" t="s">
        <v>14</v>
      </c>
      <c r="I1090" t="s">
        <v>26</v>
      </c>
    </row>
    <row r="1091" spans="1:9" x14ac:dyDescent="0.45">
      <c r="A1091" t="s">
        <v>5845</v>
      </c>
      <c r="B1091" s="2">
        <v>46177</v>
      </c>
      <c r="C1091" t="s">
        <v>52</v>
      </c>
      <c r="D1091" t="s">
        <v>5846</v>
      </c>
      <c r="E1091" t="s">
        <v>38</v>
      </c>
      <c r="F1091">
        <v>6</v>
      </c>
      <c r="G1091" t="s">
        <v>35</v>
      </c>
      <c r="H1091" t="s">
        <v>25</v>
      </c>
      <c r="I1091" t="s">
        <v>39</v>
      </c>
    </row>
    <row r="1092" spans="1:9" x14ac:dyDescent="0.45">
      <c r="A1092" t="s">
        <v>5847</v>
      </c>
      <c r="B1092" s="2">
        <v>46097</v>
      </c>
      <c r="C1092" t="s">
        <v>28</v>
      </c>
      <c r="D1092" t="s">
        <v>5848</v>
      </c>
      <c r="E1092" t="s">
        <v>30</v>
      </c>
      <c r="F1092">
        <v>4</v>
      </c>
      <c r="G1092" t="s">
        <v>13</v>
      </c>
      <c r="H1092" t="s">
        <v>14</v>
      </c>
      <c r="I1092" t="s">
        <v>47</v>
      </c>
    </row>
    <row r="1093" spans="1:9" x14ac:dyDescent="0.45">
      <c r="A1093" t="s">
        <v>5849</v>
      </c>
      <c r="B1093" s="2">
        <v>46036</v>
      </c>
      <c r="C1093" t="s">
        <v>16</v>
      </c>
      <c r="D1093" t="s">
        <v>5850</v>
      </c>
      <c r="E1093" t="s">
        <v>23</v>
      </c>
      <c r="F1093">
        <v>4</v>
      </c>
      <c r="G1093" t="s">
        <v>24</v>
      </c>
      <c r="H1093" t="s">
        <v>25</v>
      </c>
      <c r="I1093" t="s">
        <v>31</v>
      </c>
    </row>
    <row r="1094" spans="1:9" x14ac:dyDescent="0.45">
      <c r="A1094" t="s">
        <v>5851</v>
      </c>
      <c r="B1094" s="2">
        <v>46210</v>
      </c>
      <c r="C1094" t="s">
        <v>66</v>
      </c>
      <c r="D1094" t="s">
        <v>5852</v>
      </c>
      <c r="E1094" t="s">
        <v>75</v>
      </c>
      <c r="F1094">
        <v>8</v>
      </c>
      <c r="G1094" t="s">
        <v>68</v>
      </c>
      <c r="H1094" t="s">
        <v>25</v>
      </c>
      <c r="I1094" t="s">
        <v>31</v>
      </c>
    </row>
    <row r="1095" spans="1:9" x14ac:dyDescent="0.45">
      <c r="A1095" t="s">
        <v>5853</v>
      </c>
      <c r="B1095" s="2">
        <v>46104</v>
      </c>
      <c r="C1095" t="s">
        <v>52</v>
      </c>
      <c r="D1095" t="s">
        <v>5854</v>
      </c>
      <c r="E1095" t="s">
        <v>42</v>
      </c>
      <c r="F1095">
        <v>3</v>
      </c>
      <c r="G1095" t="s">
        <v>68</v>
      </c>
      <c r="H1095" t="s">
        <v>25</v>
      </c>
      <c r="I1095" t="s">
        <v>31</v>
      </c>
    </row>
    <row r="1096" spans="1:9" x14ac:dyDescent="0.45">
      <c r="A1096" t="s">
        <v>5855</v>
      </c>
      <c r="B1096" s="2">
        <v>46188</v>
      </c>
      <c r="C1096" t="s">
        <v>16</v>
      </c>
      <c r="D1096" t="s">
        <v>5856</v>
      </c>
      <c r="E1096" t="s">
        <v>46</v>
      </c>
      <c r="F1096">
        <v>12</v>
      </c>
      <c r="G1096" t="s">
        <v>13</v>
      </c>
      <c r="H1096" t="s">
        <v>14</v>
      </c>
      <c r="I1096" t="s">
        <v>19</v>
      </c>
    </row>
    <row r="1097" spans="1:9" x14ac:dyDescent="0.45">
      <c r="A1097" t="s">
        <v>5857</v>
      </c>
      <c r="B1097" s="2">
        <v>46135</v>
      </c>
      <c r="C1097" t="s">
        <v>52</v>
      </c>
      <c r="D1097" t="s">
        <v>5858</v>
      </c>
      <c r="E1097" t="s">
        <v>75</v>
      </c>
      <c r="F1097">
        <v>6</v>
      </c>
      <c r="G1097" t="s">
        <v>59</v>
      </c>
      <c r="H1097" t="s">
        <v>14</v>
      </c>
      <c r="I1097" t="s">
        <v>47</v>
      </c>
    </row>
    <row r="1098" spans="1:9" x14ac:dyDescent="0.45">
      <c r="A1098" t="s">
        <v>5859</v>
      </c>
      <c r="B1098" s="2">
        <v>46035</v>
      </c>
      <c r="C1098" t="s">
        <v>21</v>
      </c>
      <c r="D1098" t="s">
        <v>5860</v>
      </c>
      <c r="E1098" t="s">
        <v>7973</v>
      </c>
      <c r="F1098">
        <v>8</v>
      </c>
      <c r="G1098" t="s">
        <v>35</v>
      </c>
      <c r="H1098" t="s">
        <v>25</v>
      </c>
      <c r="I1098" t="s">
        <v>60</v>
      </c>
    </row>
    <row r="1099" spans="1:9" x14ac:dyDescent="0.45">
      <c r="A1099" t="s">
        <v>5861</v>
      </c>
      <c r="B1099" s="2">
        <v>46084</v>
      </c>
      <c r="C1099" t="s">
        <v>49</v>
      </c>
      <c r="D1099" t="s">
        <v>5862</v>
      </c>
      <c r="E1099" t="s">
        <v>34</v>
      </c>
      <c r="F1099">
        <v>8</v>
      </c>
      <c r="G1099" t="s">
        <v>18</v>
      </c>
      <c r="H1099" t="s">
        <v>14</v>
      </c>
      <c r="I1099" t="s">
        <v>47</v>
      </c>
    </row>
    <row r="1100" spans="1:9" x14ac:dyDescent="0.45">
      <c r="A1100" t="s">
        <v>5863</v>
      </c>
      <c r="B1100" s="2">
        <v>46099</v>
      </c>
      <c r="C1100" t="s">
        <v>52</v>
      </c>
      <c r="D1100" t="s">
        <v>5864</v>
      </c>
      <c r="E1100" t="s">
        <v>46</v>
      </c>
      <c r="F1100">
        <v>10</v>
      </c>
      <c r="G1100" t="s">
        <v>68</v>
      </c>
      <c r="H1100" t="s">
        <v>25</v>
      </c>
      <c r="I1100" t="s">
        <v>39</v>
      </c>
    </row>
    <row r="1101" spans="1:9" x14ac:dyDescent="0.45">
      <c r="A1101" t="s">
        <v>5865</v>
      </c>
      <c r="B1101" s="2">
        <v>46248</v>
      </c>
      <c r="C1101" t="s">
        <v>52</v>
      </c>
      <c r="D1101" t="s">
        <v>5866</v>
      </c>
      <c r="E1101" t="s">
        <v>58</v>
      </c>
      <c r="F1101">
        <v>3</v>
      </c>
      <c r="G1101" t="s">
        <v>18</v>
      </c>
      <c r="H1101" t="s">
        <v>14</v>
      </c>
      <c r="I1101" t="s">
        <v>39</v>
      </c>
    </row>
    <row r="1102" spans="1:9" x14ac:dyDescent="0.45">
      <c r="A1102" t="s">
        <v>5867</v>
      </c>
      <c r="B1102" s="2">
        <v>46250</v>
      </c>
      <c r="C1102" t="s">
        <v>99</v>
      </c>
      <c r="D1102" t="s">
        <v>5868</v>
      </c>
      <c r="E1102" t="s">
        <v>54</v>
      </c>
      <c r="F1102">
        <v>3</v>
      </c>
      <c r="G1102" t="s">
        <v>43</v>
      </c>
      <c r="H1102" t="s">
        <v>14</v>
      </c>
      <c r="I1102" t="s">
        <v>19</v>
      </c>
    </row>
    <row r="1103" spans="1:9" x14ac:dyDescent="0.45">
      <c r="A1103" t="s">
        <v>5869</v>
      </c>
      <c r="B1103" s="2">
        <v>46161</v>
      </c>
      <c r="C1103" t="s">
        <v>99</v>
      </c>
      <c r="D1103" t="s">
        <v>5870</v>
      </c>
      <c r="E1103" t="s">
        <v>7973</v>
      </c>
      <c r="F1103">
        <v>12</v>
      </c>
      <c r="G1103" t="s">
        <v>13</v>
      </c>
      <c r="H1103" t="s">
        <v>14</v>
      </c>
      <c r="I1103" t="s">
        <v>26</v>
      </c>
    </row>
    <row r="1104" spans="1:9" x14ac:dyDescent="0.45">
      <c r="A1104" t="s">
        <v>5871</v>
      </c>
      <c r="B1104" s="2">
        <v>46120</v>
      </c>
      <c r="C1104" t="s">
        <v>52</v>
      </c>
      <c r="D1104" t="s">
        <v>5872</v>
      </c>
      <c r="E1104" t="s">
        <v>23</v>
      </c>
      <c r="F1104">
        <v>8</v>
      </c>
      <c r="G1104" t="s">
        <v>18</v>
      </c>
      <c r="H1104" t="s">
        <v>14</v>
      </c>
      <c r="I1104" t="s">
        <v>26</v>
      </c>
    </row>
    <row r="1105" spans="1:9" x14ac:dyDescent="0.45">
      <c r="A1105" t="s">
        <v>5873</v>
      </c>
      <c r="B1105" s="2">
        <v>46041</v>
      </c>
      <c r="C1105" t="s">
        <v>28</v>
      </c>
      <c r="D1105" t="s">
        <v>5874</v>
      </c>
      <c r="E1105" t="s">
        <v>75</v>
      </c>
      <c r="F1105">
        <v>6</v>
      </c>
      <c r="G1105" t="s">
        <v>35</v>
      </c>
      <c r="H1105" t="s">
        <v>25</v>
      </c>
      <c r="I1105" t="s">
        <v>39</v>
      </c>
    </row>
    <row r="1106" spans="1:9" x14ac:dyDescent="0.45">
      <c r="A1106" t="s">
        <v>5875</v>
      </c>
      <c r="B1106" s="2">
        <v>46255</v>
      </c>
      <c r="C1106" t="s">
        <v>10</v>
      </c>
      <c r="D1106" t="s">
        <v>5876</v>
      </c>
      <c r="E1106" t="s">
        <v>75</v>
      </c>
      <c r="F1106">
        <v>11</v>
      </c>
      <c r="G1106" t="s">
        <v>43</v>
      </c>
      <c r="H1106" t="s">
        <v>14</v>
      </c>
      <c r="I1106" t="s">
        <v>31</v>
      </c>
    </row>
    <row r="1107" spans="1:9" x14ac:dyDescent="0.45">
      <c r="A1107" t="s">
        <v>5877</v>
      </c>
      <c r="B1107" s="2">
        <v>46035</v>
      </c>
      <c r="C1107" t="s">
        <v>10</v>
      </c>
      <c r="D1107" t="s">
        <v>5878</v>
      </c>
      <c r="E1107" t="s">
        <v>71</v>
      </c>
      <c r="F1107">
        <v>11</v>
      </c>
      <c r="G1107" t="s">
        <v>55</v>
      </c>
      <c r="H1107" t="s">
        <v>72</v>
      </c>
      <c r="I1107" t="s">
        <v>39</v>
      </c>
    </row>
    <row r="1108" spans="1:9" x14ac:dyDescent="0.45">
      <c r="A1108" t="s">
        <v>5879</v>
      </c>
      <c r="B1108" s="2">
        <v>46258</v>
      </c>
      <c r="C1108" t="s">
        <v>52</v>
      </c>
      <c r="D1108" t="s">
        <v>5880</v>
      </c>
      <c r="E1108" t="s">
        <v>30</v>
      </c>
      <c r="F1108">
        <v>7</v>
      </c>
      <c r="G1108" t="s">
        <v>68</v>
      </c>
      <c r="H1108" t="s">
        <v>25</v>
      </c>
      <c r="I1108" t="s">
        <v>60</v>
      </c>
    </row>
    <row r="1109" spans="1:9" x14ac:dyDescent="0.45">
      <c r="A1109" t="s">
        <v>5881</v>
      </c>
      <c r="B1109" s="2">
        <v>46264</v>
      </c>
      <c r="C1109" t="s">
        <v>16</v>
      </c>
      <c r="D1109" t="s">
        <v>5882</v>
      </c>
      <c r="E1109" t="s">
        <v>34</v>
      </c>
      <c r="F1109">
        <v>10</v>
      </c>
      <c r="G1109" t="s">
        <v>59</v>
      </c>
      <c r="H1109" t="s">
        <v>14</v>
      </c>
      <c r="I1109" t="s">
        <v>60</v>
      </c>
    </row>
    <row r="1110" spans="1:9" x14ac:dyDescent="0.45">
      <c r="A1110" t="s">
        <v>5883</v>
      </c>
      <c r="B1110" s="2">
        <v>46214</v>
      </c>
      <c r="C1110" t="s">
        <v>16</v>
      </c>
      <c r="D1110" t="s">
        <v>5884</v>
      </c>
      <c r="E1110" t="s">
        <v>46</v>
      </c>
      <c r="F1110">
        <v>3</v>
      </c>
      <c r="G1110" t="s">
        <v>24</v>
      </c>
      <c r="H1110" t="s">
        <v>25</v>
      </c>
      <c r="I1110" t="s">
        <v>31</v>
      </c>
    </row>
    <row r="1111" spans="1:9" x14ac:dyDescent="0.45">
      <c r="A1111" t="s">
        <v>5885</v>
      </c>
      <c r="B1111" s="2">
        <v>46148</v>
      </c>
      <c r="C1111" t="s">
        <v>10</v>
      </c>
      <c r="D1111" t="s">
        <v>5886</v>
      </c>
      <c r="E1111" t="s">
        <v>58</v>
      </c>
      <c r="F1111">
        <v>9</v>
      </c>
      <c r="G1111" t="s">
        <v>43</v>
      </c>
      <c r="H1111" t="s">
        <v>14</v>
      </c>
      <c r="I1111" t="s">
        <v>31</v>
      </c>
    </row>
    <row r="1112" spans="1:9" x14ac:dyDescent="0.45">
      <c r="A1112" t="s">
        <v>5887</v>
      </c>
      <c r="B1112" s="2">
        <v>46082</v>
      </c>
      <c r="C1112" t="s">
        <v>21</v>
      </c>
      <c r="D1112" t="s">
        <v>5888</v>
      </c>
      <c r="E1112" t="s">
        <v>38</v>
      </c>
      <c r="F1112">
        <v>6</v>
      </c>
      <c r="G1112" t="s">
        <v>13</v>
      </c>
      <c r="H1112" t="s">
        <v>14</v>
      </c>
      <c r="I1112" t="s">
        <v>19</v>
      </c>
    </row>
    <row r="1113" spans="1:9" x14ac:dyDescent="0.45">
      <c r="A1113" t="s">
        <v>5889</v>
      </c>
      <c r="B1113" s="2">
        <v>46163</v>
      </c>
      <c r="C1113" t="s">
        <v>21</v>
      </c>
      <c r="D1113" t="s">
        <v>5890</v>
      </c>
      <c r="E1113" t="s">
        <v>71</v>
      </c>
      <c r="F1113">
        <v>12</v>
      </c>
      <c r="G1113" t="s">
        <v>59</v>
      </c>
      <c r="H1113" t="s">
        <v>14</v>
      </c>
      <c r="I1113" t="s">
        <v>31</v>
      </c>
    </row>
    <row r="1114" spans="1:9" x14ac:dyDescent="0.45">
      <c r="A1114" t="s">
        <v>5891</v>
      </c>
      <c r="B1114" s="2">
        <v>46215</v>
      </c>
      <c r="C1114" t="s">
        <v>66</v>
      </c>
      <c r="D1114" t="s">
        <v>5892</v>
      </c>
      <c r="E1114" t="s">
        <v>46</v>
      </c>
      <c r="F1114">
        <v>6</v>
      </c>
      <c r="G1114" t="s">
        <v>55</v>
      </c>
      <c r="H1114" t="s">
        <v>72</v>
      </c>
      <c r="I1114" t="s">
        <v>26</v>
      </c>
    </row>
    <row r="1115" spans="1:9" x14ac:dyDescent="0.45">
      <c r="A1115" t="s">
        <v>5893</v>
      </c>
      <c r="B1115" s="2">
        <v>46187</v>
      </c>
      <c r="C1115" t="s">
        <v>28</v>
      </c>
      <c r="D1115" t="s">
        <v>5894</v>
      </c>
      <c r="E1115" t="s">
        <v>54</v>
      </c>
      <c r="F1115">
        <v>1</v>
      </c>
      <c r="G1115" t="s">
        <v>59</v>
      </c>
      <c r="H1115" t="s">
        <v>14</v>
      </c>
      <c r="I1115" t="s">
        <v>26</v>
      </c>
    </row>
    <row r="1116" spans="1:9" x14ac:dyDescent="0.45">
      <c r="A1116" t="s">
        <v>5895</v>
      </c>
      <c r="B1116" s="2">
        <v>46264</v>
      </c>
      <c r="C1116" t="s">
        <v>21</v>
      </c>
      <c r="D1116" t="s">
        <v>5896</v>
      </c>
      <c r="E1116" t="s">
        <v>42</v>
      </c>
      <c r="F1116">
        <v>6</v>
      </c>
      <c r="G1116" t="s">
        <v>43</v>
      </c>
      <c r="H1116" t="s">
        <v>14</v>
      </c>
      <c r="I1116" t="s">
        <v>31</v>
      </c>
    </row>
    <row r="1117" spans="1:9" x14ac:dyDescent="0.45">
      <c r="A1117" t="s">
        <v>5897</v>
      </c>
      <c r="B1117" s="2">
        <v>46191</v>
      </c>
      <c r="C1117" t="s">
        <v>21</v>
      </c>
      <c r="D1117" t="s">
        <v>5898</v>
      </c>
      <c r="E1117" t="s">
        <v>71</v>
      </c>
      <c r="F1117">
        <v>5</v>
      </c>
      <c r="G1117" t="s">
        <v>55</v>
      </c>
      <c r="H1117" t="s">
        <v>72</v>
      </c>
      <c r="I1117" t="s">
        <v>39</v>
      </c>
    </row>
    <row r="1118" spans="1:9" x14ac:dyDescent="0.45">
      <c r="A1118" t="s">
        <v>5899</v>
      </c>
      <c r="B1118" s="2">
        <v>46109</v>
      </c>
      <c r="C1118" t="s">
        <v>66</v>
      </c>
      <c r="D1118" t="s">
        <v>5900</v>
      </c>
      <c r="E1118" t="s">
        <v>163</v>
      </c>
      <c r="F1118">
        <v>11</v>
      </c>
      <c r="G1118" t="s">
        <v>55</v>
      </c>
      <c r="H1118" t="s">
        <v>72</v>
      </c>
      <c r="I1118" t="s">
        <v>26</v>
      </c>
    </row>
    <row r="1119" spans="1:9" x14ac:dyDescent="0.45">
      <c r="A1119" t="s">
        <v>5901</v>
      </c>
      <c r="B1119" s="2">
        <v>46084</v>
      </c>
      <c r="C1119" t="s">
        <v>52</v>
      </c>
      <c r="D1119" t="s">
        <v>5902</v>
      </c>
      <c r="E1119" t="s">
        <v>23</v>
      </c>
      <c r="F1119">
        <v>3</v>
      </c>
      <c r="G1119" t="s">
        <v>13</v>
      </c>
      <c r="H1119" t="s">
        <v>14</v>
      </c>
      <c r="I1119" t="s">
        <v>39</v>
      </c>
    </row>
    <row r="1120" spans="1:9" x14ac:dyDescent="0.45">
      <c r="A1120" t="s">
        <v>5903</v>
      </c>
      <c r="B1120" s="2">
        <v>46262</v>
      </c>
      <c r="C1120" t="s">
        <v>66</v>
      </c>
      <c r="D1120" t="s">
        <v>5904</v>
      </c>
      <c r="E1120" t="s">
        <v>42</v>
      </c>
      <c r="F1120">
        <v>2</v>
      </c>
      <c r="G1120" t="s">
        <v>24</v>
      </c>
      <c r="H1120" t="s">
        <v>25</v>
      </c>
      <c r="I1120" t="s">
        <v>26</v>
      </c>
    </row>
    <row r="1121" spans="1:9" x14ac:dyDescent="0.45">
      <c r="A1121" t="s">
        <v>5905</v>
      </c>
      <c r="B1121" s="2">
        <v>46103</v>
      </c>
      <c r="C1121" t="s">
        <v>10</v>
      </c>
      <c r="D1121" t="s">
        <v>5906</v>
      </c>
      <c r="E1121" t="s">
        <v>7967</v>
      </c>
      <c r="F1121">
        <v>11</v>
      </c>
      <c r="G1121" t="s">
        <v>59</v>
      </c>
      <c r="H1121" t="s">
        <v>14</v>
      </c>
      <c r="I1121" t="s">
        <v>19</v>
      </c>
    </row>
    <row r="1122" spans="1:9" x14ac:dyDescent="0.45">
      <c r="A1122" t="s">
        <v>5907</v>
      </c>
      <c r="B1122" s="2">
        <v>46218</v>
      </c>
      <c r="C1122" t="s">
        <v>99</v>
      </c>
      <c r="D1122" t="s">
        <v>5908</v>
      </c>
      <c r="E1122" t="s">
        <v>58</v>
      </c>
      <c r="F1122">
        <v>5</v>
      </c>
      <c r="G1122" t="s">
        <v>68</v>
      </c>
      <c r="H1122" t="s">
        <v>25</v>
      </c>
      <c r="I1122" t="s">
        <v>26</v>
      </c>
    </row>
    <row r="1123" spans="1:9" x14ac:dyDescent="0.45">
      <c r="A1123" t="s">
        <v>5909</v>
      </c>
      <c r="B1123" s="2">
        <v>46152</v>
      </c>
      <c r="C1123" t="s">
        <v>16</v>
      </c>
      <c r="D1123" t="s">
        <v>5910</v>
      </c>
      <c r="E1123" t="s">
        <v>46</v>
      </c>
      <c r="F1123">
        <v>10</v>
      </c>
      <c r="G1123" t="s">
        <v>68</v>
      </c>
      <c r="H1123" t="s">
        <v>25</v>
      </c>
      <c r="I1123" t="s">
        <v>26</v>
      </c>
    </row>
    <row r="1124" spans="1:9" x14ac:dyDescent="0.45">
      <c r="A1124" t="s">
        <v>5911</v>
      </c>
      <c r="B1124" s="2">
        <v>46136</v>
      </c>
      <c r="C1124" t="s">
        <v>10</v>
      </c>
      <c r="D1124" t="s">
        <v>5912</v>
      </c>
      <c r="E1124" t="s">
        <v>34</v>
      </c>
      <c r="F1124">
        <v>2</v>
      </c>
      <c r="G1124" t="s">
        <v>43</v>
      </c>
      <c r="H1124" t="s">
        <v>14</v>
      </c>
      <c r="I1124" t="s">
        <v>39</v>
      </c>
    </row>
    <row r="1125" spans="1:9" x14ac:dyDescent="0.45">
      <c r="A1125" t="s">
        <v>5913</v>
      </c>
      <c r="B1125" s="2">
        <v>46136</v>
      </c>
      <c r="C1125" t="s">
        <v>21</v>
      </c>
      <c r="D1125" t="s">
        <v>5914</v>
      </c>
      <c r="E1125" t="s">
        <v>75</v>
      </c>
      <c r="F1125">
        <v>11</v>
      </c>
      <c r="G1125" t="s">
        <v>55</v>
      </c>
      <c r="H1125" t="s">
        <v>72</v>
      </c>
      <c r="I1125" t="s">
        <v>26</v>
      </c>
    </row>
    <row r="1126" spans="1:9" x14ac:dyDescent="0.45">
      <c r="A1126" t="s">
        <v>5915</v>
      </c>
      <c r="B1126" s="2">
        <v>46136</v>
      </c>
      <c r="C1126" t="s">
        <v>10</v>
      </c>
      <c r="D1126" t="s">
        <v>5916</v>
      </c>
      <c r="E1126" t="s">
        <v>75</v>
      </c>
      <c r="F1126">
        <v>7</v>
      </c>
      <c r="G1126" t="s">
        <v>55</v>
      </c>
      <c r="H1126" t="s">
        <v>72</v>
      </c>
      <c r="I1126" t="s">
        <v>19</v>
      </c>
    </row>
    <row r="1127" spans="1:9" x14ac:dyDescent="0.45">
      <c r="A1127" t="s">
        <v>5917</v>
      </c>
      <c r="B1127" s="2">
        <v>46057</v>
      </c>
      <c r="C1127" t="s">
        <v>16</v>
      </c>
      <c r="D1127" t="s">
        <v>5918</v>
      </c>
      <c r="E1127" t="s">
        <v>38</v>
      </c>
      <c r="F1127">
        <v>10</v>
      </c>
      <c r="G1127" t="s">
        <v>18</v>
      </c>
      <c r="H1127" t="s">
        <v>14</v>
      </c>
      <c r="I1127" t="s">
        <v>60</v>
      </c>
    </row>
    <row r="1128" spans="1:9" x14ac:dyDescent="0.45">
      <c r="A1128" t="s">
        <v>5919</v>
      </c>
      <c r="B1128" s="2">
        <v>46144</v>
      </c>
      <c r="C1128" t="s">
        <v>52</v>
      </c>
      <c r="D1128" t="s">
        <v>5920</v>
      </c>
      <c r="E1128" t="s">
        <v>75</v>
      </c>
      <c r="F1128">
        <v>10</v>
      </c>
      <c r="G1128" t="s">
        <v>68</v>
      </c>
      <c r="H1128" t="s">
        <v>25</v>
      </c>
      <c r="I1128" t="s">
        <v>60</v>
      </c>
    </row>
    <row r="1129" spans="1:9" x14ac:dyDescent="0.45">
      <c r="A1129" t="s">
        <v>5921</v>
      </c>
      <c r="B1129" s="2">
        <v>46110</v>
      </c>
      <c r="C1129" t="s">
        <v>99</v>
      </c>
      <c r="D1129" t="s">
        <v>5922</v>
      </c>
      <c r="E1129" t="s">
        <v>46</v>
      </c>
      <c r="F1129">
        <v>2</v>
      </c>
      <c r="G1129" t="s">
        <v>35</v>
      </c>
      <c r="H1129" t="s">
        <v>25</v>
      </c>
      <c r="I1129" t="s">
        <v>47</v>
      </c>
    </row>
    <row r="1130" spans="1:9" x14ac:dyDescent="0.45">
      <c r="A1130" t="s">
        <v>5923</v>
      </c>
      <c r="B1130" s="2">
        <v>46187</v>
      </c>
      <c r="C1130" t="s">
        <v>16</v>
      </c>
      <c r="D1130" t="s">
        <v>5924</v>
      </c>
      <c r="E1130" t="s">
        <v>7974</v>
      </c>
      <c r="F1130">
        <v>10</v>
      </c>
      <c r="G1130" t="s">
        <v>68</v>
      </c>
      <c r="H1130" t="s">
        <v>25</v>
      </c>
      <c r="I1130" t="s">
        <v>26</v>
      </c>
    </row>
    <row r="1131" spans="1:9" x14ac:dyDescent="0.45">
      <c r="A1131" t="s">
        <v>5925</v>
      </c>
      <c r="B1131" s="2">
        <v>46055</v>
      </c>
      <c r="C1131" t="s">
        <v>66</v>
      </c>
      <c r="D1131" t="s">
        <v>5926</v>
      </c>
      <c r="E1131" t="s">
        <v>23</v>
      </c>
      <c r="F1131">
        <v>3</v>
      </c>
      <c r="G1131" t="s">
        <v>59</v>
      </c>
      <c r="H1131" t="s">
        <v>14</v>
      </c>
      <c r="I1131" t="s">
        <v>26</v>
      </c>
    </row>
    <row r="1132" spans="1:9" x14ac:dyDescent="0.45">
      <c r="A1132" t="s">
        <v>5927</v>
      </c>
      <c r="B1132" s="2">
        <v>46266</v>
      </c>
      <c r="C1132" t="s">
        <v>52</v>
      </c>
      <c r="D1132" t="s">
        <v>5928</v>
      </c>
      <c r="E1132" t="s">
        <v>46</v>
      </c>
      <c r="F1132">
        <v>8</v>
      </c>
      <c r="G1132" t="s">
        <v>35</v>
      </c>
      <c r="H1132" t="s">
        <v>25</v>
      </c>
      <c r="I1132" t="s">
        <v>60</v>
      </c>
    </row>
    <row r="1133" spans="1:9" x14ac:dyDescent="0.45">
      <c r="A1133" t="s">
        <v>5929</v>
      </c>
      <c r="B1133" s="2">
        <v>46141</v>
      </c>
      <c r="C1133" t="s">
        <v>99</v>
      </c>
      <c r="D1133" t="s">
        <v>5930</v>
      </c>
      <c r="E1133" t="s">
        <v>23</v>
      </c>
      <c r="F1133">
        <v>10</v>
      </c>
      <c r="G1133" t="s">
        <v>43</v>
      </c>
      <c r="H1133" t="s">
        <v>14</v>
      </c>
      <c r="I1133" t="s">
        <v>39</v>
      </c>
    </row>
    <row r="1134" spans="1:9" x14ac:dyDescent="0.45">
      <c r="A1134" t="s">
        <v>5931</v>
      </c>
      <c r="B1134" s="2">
        <v>46143</v>
      </c>
      <c r="C1134" t="s">
        <v>21</v>
      </c>
      <c r="D1134" t="s">
        <v>5932</v>
      </c>
      <c r="E1134" t="s">
        <v>75</v>
      </c>
      <c r="F1134">
        <v>6</v>
      </c>
      <c r="G1134" t="s">
        <v>7967</v>
      </c>
      <c r="H1134" t="s">
        <v>14</v>
      </c>
      <c r="I1134" t="s">
        <v>60</v>
      </c>
    </row>
    <row r="1135" spans="1:9" x14ac:dyDescent="0.45">
      <c r="A1135" t="s">
        <v>5933</v>
      </c>
      <c r="B1135" s="2">
        <v>46065</v>
      </c>
      <c r="C1135" t="s">
        <v>66</v>
      </c>
      <c r="D1135" t="s">
        <v>5934</v>
      </c>
      <c r="E1135" t="s">
        <v>38</v>
      </c>
      <c r="F1135">
        <v>6</v>
      </c>
      <c r="G1135" t="s">
        <v>13</v>
      </c>
      <c r="H1135" t="s">
        <v>14</v>
      </c>
      <c r="I1135" t="s">
        <v>19</v>
      </c>
    </row>
    <row r="1136" spans="1:9" x14ac:dyDescent="0.45">
      <c r="A1136" t="s">
        <v>5935</v>
      </c>
      <c r="B1136" s="2">
        <v>46101</v>
      </c>
      <c r="C1136" t="s">
        <v>28</v>
      </c>
      <c r="D1136" t="s">
        <v>5936</v>
      </c>
      <c r="E1136" t="s">
        <v>42</v>
      </c>
      <c r="F1136">
        <v>1</v>
      </c>
      <c r="G1136" t="s">
        <v>18</v>
      </c>
      <c r="H1136" t="s">
        <v>14</v>
      </c>
      <c r="I1136" t="s">
        <v>31</v>
      </c>
    </row>
    <row r="1137" spans="1:9" x14ac:dyDescent="0.45">
      <c r="A1137" t="s">
        <v>5937</v>
      </c>
      <c r="B1137" s="2">
        <v>46206</v>
      </c>
      <c r="C1137" t="s">
        <v>28</v>
      </c>
      <c r="D1137" t="s">
        <v>5938</v>
      </c>
      <c r="E1137" t="s">
        <v>23</v>
      </c>
      <c r="F1137">
        <v>7</v>
      </c>
      <c r="G1137" t="s">
        <v>35</v>
      </c>
      <c r="H1137" t="s">
        <v>25</v>
      </c>
      <c r="I1137" t="s">
        <v>60</v>
      </c>
    </row>
    <row r="1138" spans="1:9" x14ac:dyDescent="0.45">
      <c r="A1138" t="s">
        <v>5939</v>
      </c>
      <c r="B1138" s="2">
        <v>46092</v>
      </c>
      <c r="C1138" t="s">
        <v>16</v>
      </c>
      <c r="D1138" t="s">
        <v>5940</v>
      </c>
      <c r="E1138" t="s">
        <v>30</v>
      </c>
      <c r="F1138">
        <v>7</v>
      </c>
      <c r="G1138" t="s">
        <v>35</v>
      </c>
      <c r="H1138" t="s">
        <v>25</v>
      </c>
      <c r="I1138" t="s">
        <v>60</v>
      </c>
    </row>
    <row r="1139" spans="1:9" x14ac:dyDescent="0.45">
      <c r="A1139" t="s">
        <v>5941</v>
      </c>
      <c r="B1139" s="2">
        <v>46027</v>
      </c>
      <c r="C1139" t="s">
        <v>16</v>
      </c>
      <c r="D1139" t="s">
        <v>5942</v>
      </c>
      <c r="E1139" t="s">
        <v>46</v>
      </c>
      <c r="F1139">
        <v>8</v>
      </c>
      <c r="G1139" t="s">
        <v>18</v>
      </c>
      <c r="H1139" t="s">
        <v>14</v>
      </c>
      <c r="I1139" t="s">
        <v>39</v>
      </c>
    </row>
    <row r="1140" spans="1:9" x14ac:dyDescent="0.45">
      <c r="A1140" t="s">
        <v>5943</v>
      </c>
      <c r="B1140" s="2">
        <v>46225</v>
      </c>
      <c r="C1140" t="s">
        <v>99</v>
      </c>
      <c r="D1140" t="s">
        <v>5944</v>
      </c>
      <c r="E1140" t="s">
        <v>34</v>
      </c>
      <c r="F1140">
        <v>9</v>
      </c>
      <c r="G1140" t="s">
        <v>13</v>
      </c>
      <c r="H1140" t="s">
        <v>14</v>
      </c>
      <c r="I1140" t="s">
        <v>19</v>
      </c>
    </row>
    <row r="1141" spans="1:9" x14ac:dyDescent="0.45">
      <c r="A1141" t="s">
        <v>5945</v>
      </c>
      <c r="B1141" s="2">
        <v>46045</v>
      </c>
      <c r="C1141" t="s">
        <v>21</v>
      </c>
      <c r="D1141" t="s">
        <v>5946</v>
      </c>
      <c r="E1141" t="s">
        <v>23</v>
      </c>
      <c r="F1141">
        <v>9</v>
      </c>
      <c r="G1141" t="s">
        <v>24</v>
      </c>
      <c r="H1141" t="s">
        <v>25</v>
      </c>
      <c r="I1141" t="s">
        <v>47</v>
      </c>
    </row>
    <row r="1142" spans="1:9" x14ac:dyDescent="0.45">
      <c r="A1142" t="s">
        <v>5947</v>
      </c>
      <c r="B1142" s="2">
        <v>46223</v>
      </c>
      <c r="C1142" t="s">
        <v>49</v>
      </c>
      <c r="D1142" t="s">
        <v>5948</v>
      </c>
      <c r="E1142" t="s">
        <v>38</v>
      </c>
      <c r="F1142">
        <v>4</v>
      </c>
      <c r="G1142" t="s">
        <v>59</v>
      </c>
      <c r="H1142" t="s">
        <v>14</v>
      </c>
      <c r="I1142" t="s">
        <v>26</v>
      </c>
    </row>
    <row r="1143" spans="1:9" x14ac:dyDescent="0.45">
      <c r="A1143" t="s">
        <v>5949</v>
      </c>
      <c r="B1143" s="2">
        <v>46124</v>
      </c>
      <c r="C1143" t="s">
        <v>16</v>
      </c>
      <c r="D1143" t="s">
        <v>5950</v>
      </c>
      <c r="E1143" t="s">
        <v>30</v>
      </c>
      <c r="F1143">
        <v>5</v>
      </c>
      <c r="G1143" t="s">
        <v>35</v>
      </c>
      <c r="H1143" t="s">
        <v>25</v>
      </c>
      <c r="I1143" t="s">
        <v>39</v>
      </c>
    </row>
    <row r="1144" spans="1:9" x14ac:dyDescent="0.45">
      <c r="A1144" t="s">
        <v>5951</v>
      </c>
      <c r="B1144" s="2">
        <v>46260</v>
      </c>
      <c r="C1144" t="s">
        <v>28</v>
      </c>
      <c r="D1144" t="s">
        <v>5952</v>
      </c>
      <c r="E1144" t="s">
        <v>34</v>
      </c>
      <c r="F1144">
        <v>7</v>
      </c>
      <c r="G1144" t="s">
        <v>35</v>
      </c>
      <c r="H1144" t="s">
        <v>25</v>
      </c>
      <c r="I1144" t="s">
        <v>47</v>
      </c>
    </row>
    <row r="1145" spans="1:9" x14ac:dyDescent="0.45">
      <c r="A1145" t="s">
        <v>5953</v>
      </c>
      <c r="B1145" s="2">
        <v>46079</v>
      </c>
      <c r="C1145" t="s">
        <v>99</v>
      </c>
      <c r="D1145" t="s">
        <v>5954</v>
      </c>
      <c r="E1145" t="s">
        <v>23</v>
      </c>
      <c r="F1145">
        <v>7</v>
      </c>
      <c r="G1145" t="s">
        <v>55</v>
      </c>
      <c r="H1145" t="s">
        <v>72</v>
      </c>
      <c r="I1145" t="s">
        <v>19</v>
      </c>
    </row>
    <row r="1146" spans="1:9" x14ac:dyDescent="0.45">
      <c r="A1146" t="s">
        <v>5955</v>
      </c>
      <c r="B1146" s="2">
        <v>46208</v>
      </c>
      <c r="C1146" t="s">
        <v>28</v>
      </c>
      <c r="D1146" t="s">
        <v>5956</v>
      </c>
      <c r="E1146" t="s">
        <v>7974</v>
      </c>
      <c r="F1146">
        <v>2</v>
      </c>
      <c r="G1146" t="s">
        <v>35</v>
      </c>
      <c r="H1146" t="s">
        <v>25</v>
      </c>
      <c r="I1146" t="s">
        <v>39</v>
      </c>
    </row>
    <row r="1147" spans="1:9" x14ac:dyDescent="0.45">
      <c r="A1147" t="s">
        <v>5957</v>
      </c>
      <c r="B1147" s="2">
        <v>46057</v>
      </c>
      <c r="C1147" t="s">
        <v>10</v>
      </c>
      <c r="D1147" t="s">
        <v>5958</v>
      </c>
      <c r="E1147" t="s">
        <v>75</v>
      </c>
      <c r="F1147">
        <v>3</v>
      </c>
      <c r="G1147" t="s">
        <v>55</v>
      </c>
      <c r="H1147" t="s">
        <v>72</v>
      </c>
      <c r="I1147" t="s">
        <v>47</v>
      </c>
    </row>
    <row r="1148" spans="1:9" x14ac:dyDescent="0.45">
      <c r="A1148" t="s">
        <v>5959</v>
      </c>
      <c r="B1148" s="2">
        <v>46205</v>
      </c>
      <c r="C1148" t="s">
        <v>10</v>
      </c>
      <c r="D1148" t="s">
        <v>5960</v>
      </c>
      <c r="E1148" t="s">
        <v>54</v>
      </c>
      <c r="F1148">
        <v>4</v>
      </c>
      <c r="G1148" t="s">
        <v>55</v>
      </c>
      <c r="H1148" t="s">
        <v>72</v>
      </c>
      <c r="I1148" t="s">
        <v>19</v>
      </c>
    </row>
    <row r="1149" spans="1:9" x14ac:dyDescent="0.45">
      <c r="A1149" t="s">
        <v>5961</v>
      </c>
      <c r="B1149" s="2">
        <v>46091</v>
      </c>
      <c r="C1149" t="s">
        <v>52</v>
      </c>
      <c r="D1149" t="s">
        <v>5962</v>
      </c>
      <c r="E1149" t="s">
        <v>38</v>
      </c>
      <c r="F1149">
        <v>3</v>
      </c>
      <c r="G1149" t="s">
        <v>35</v>
      </c>
      <c r="H1149" t="s">
        <v>25</v>
      </c>
      <c r="I1149" t="s">
        <v>60</v>
      </c>
    </row>
    <row r="1150" spans="1:9" x14ac:dyDescent="0.45">
      <c r="A1150" t="s">
        <v>5963</v>
      </c>
      <c r="B1150" s="2">
        <v>46215</v>
      </c>
      <c r="C1150" t="s">
        <v>28</v>
      </c>
      <c r="D1150" t="s">
        <v>5964</v>
      </c>
      <c r="E1150" t="s">
        <v>58</v>
      </c>
      <c r="F1150">
        <v>8</v>
      </c>
      <c r="G1150" t="s">
        <v>18</v>
      </c>
      <c r="H1150" t="s">
        <v>14</v>
      </c>
      <c r="I1150" t="s">
        <v>31</v>
      </c>
    </row>
    <row r="1151" spans="1:9" x14ac:dyDescent="0.45">
      <c r="A1151" t="s">
        <v>5965</v>
      </c>
      <c r="B1151" s="2">
        <v>46031</v>
      </c>
      <c r="C1151" t="s">
        <v>49</v>
      </c>
      <c r="D1151" t="s">
        <v>5966</v>
      </c>
      <c r="E1151" t="s">
        <v>7973</v>
      </c>
      <c r="F1151">
        <v>4</v>
      </c>
      <c r="G1151" t="s">
        <v>43</v>
      </c>
      <c r="H1151" t="s">
        <v>14</v>
      </c>
      <c r="I1151" t="s">
        <v>60</v>
      </c>
    </row>
    <row r="1152" spans="1:9" x14ac:dyDescent="0.45">
      <c r="A1152" t="s">
        <v>5967</v>
      </c>
      <c r="B1152" s="2">
        <v>46165</v>
      </c>
      <c r="C1152" t="s">
        <v>52</v>
      </c>
      <c r="D1152" t="s">
        <v>5968</v>
      </c>
      <c r="E1152" t="s">
        <v>7973</v>
      </c>
      <c r="F1152">
        <v>11</v>
      </c>
      <c r="G1152" t="s">
        <v>35</v>
      </c>
      <c r="H1152" t="s">
        <v>25</v>
      </c>
      <c r="I1152" t="s">
        <v>19</v>
      </c>
    </row>
    <row r="1153" spans="1:9" x14ac:dyDescent="0.45">
      <c r="A1153" t="s">
        <v>5969</v>
      </c>
      <c r="B1153" s="2">
        <v>46112</v>
      </c>
      <c r="C1153" t="s">
        <v>66</v>
      </c>
      <c r="D1153" t="s">
        <v>5970</v>
      </c>
      <c r="E1153" t="s">
        <v>30</v>
      </c>
      <c r="F1153">
        <v>9</v>
      </c>
      <c r="G1153" t="s">
        <v>18</v>
      </c>
      <c r="H1153" t="s">
        <v>14</v>
      </c>
      <c r="I1153" t="s">
        <v>19</v>
      </c>
    </row>
    <row r="1154" spans="1:9" x14ac:dyDescent="0.45">
      <c r="A1154" t="s">
        <v>5971</v>
      </c>
      <c r="B1154" s="2">
        <v>46044</v>
      </c>
      <c r="C1154" t="s">
        <v>49</v>
      </c>
      <c r="D1154" t="s">
        <v>5972</v>
      </c>
      <c r="E1154" t="s">
        <v>54</v>
      </c>
      <c r="F1154">
        <v>11</v>
      </c>
      <c r="G1154" t="s">
        <v>35</v>
      </c>
      <c r="H1154" t="s">
        <v>25</v>
      </c>
      <c r="I1154" t="s">
        <v>19</v>
      </c>
    </row>
    <row r="1155" spans="1:9" x14ac:dyDescent="0.45">
      <c r="A1155" t="s">
        <v>5973</v>
      </c>
      <c r="B1155" s="2">
        <v>46200</v>
      </c>
      <c r="C1155" t="s">
        <v>28</v>
      </c>
      <c r="D1155" t="s">
        <v>5974</v>
      </c>
      <c r="E1155" t="s">
        <v>34</v>
      </c>
      <c r="F1155">
        <v>12</v>
      </c>
      <c r="G1155" t="s">
        <v>18</v>
      </c>
      <c r="H1155" t="s">
        <v>14</v>
      </c>
      <c r="I1155" t="s">
        <v>60</v>
      </c>
    </row>
    <row r="1156" spans="1:9" x14ac:dyDescent="0.45">
      <c r="A1156" t="s">
        <v>5975</v>
      </c>
      <c r="B1156" s="2">
        <v>46258</v>
      </c>
      <c r="C1156" t="s">
        <v>21</v>
      </c>
      <c r="D1156" t="s">
        <v>5976</v>
      </c>
      <c r="E1156" t="s">
        <v>71</v>
      </c>
      <c r="F1156">
        <v>9</v>
      </c>
      <c r="G1156" t="s">
        <v>59</v>
      </c>
      <c r="H1156" t="s">
        <v>14</v>
      </c>
      <c r="I1156" t="s">
        <v>31</v>
      </c>
    </row>
    <row r="1157" spans="1:9" x14ac:dyDescent="0.45">
      <c r="A1157" t="s">
        <v>5977</v>
      </c>
      <c r="B1157" s="2">
        <v>46141</v>
      </c>
      <c r="C1157" t="s">
        <v>49</v>
      </c>
      <c r="D1157" t="s">
        <v>5978</v>
      </c>
      <c r="E1157" t="s">
        <v>71</v>
      </c>
      <c r="F1157">
        <v>7</v>
      </c>
      <c r="G1157" t="s">
        <v>18</v>
      </c>
      <c r="H1157" t="s">
        <v>14</v>
      </c>
      <c r="I1157" t="s">
        <v>39</v>
      </c>
    </row>
    <row r="1158" spans="1:9" x14ac:dyDescent="0.45">
      <c r="A1158" t="s">
        <v>5979</v>
      </c>
      <c r="B1158" s="2">
        <v>46259</v>
      </c>
      <c r="C1158" t="s">
        <v>21</v>
      </c>
      <c r="D1158" t="s">
        <v>5980</v>
      </c>
      <c r="E1158" t="s">
        <v>30</v>
      </c>
      <c r="F1158">
        <v>5</v>
      </c>
      <c r="G1158" t="s">
        <v>68</v>
      </c>
      <c r="H1158" t="s">
        <v>25</v>
      </c>
      <c r="I1158" t="s">
        <v>26</v>
      </c>
    </row>
    <row r="1159" spans="1:9" x14ac:dyDescent="0.45">
      <c r="A1159" t="s">
        <v>5981</v>
      </c>
      <c r="B1159" s="2">
        <v>46269</v>
      </c>
      <c r="C1159" t="s">
        <v>10</v>
      </c>
      <c r="D1159" t="s">
        <v>5982</v>
      </c>
      <c r="E1159" t="s">
        <v>54</v>
      </c>
      <c r="F1159">
        <v>10</v>
      </c>
      <c r="G1159" t="s">
        <v>18</v>
      </c>
      <c r="H1159" t="s">
        <v>14</v>
      </c>
      <c r="I1159" t="s">
        <v>39</v>
      </c>
    </row>
    <row r="1160" spans="1:9" x14ac:dyDescent="0.45">
      <c r="A1160" t="s">
        <v>5983</v>
      </c>
      <c r="B1160" s="2">
        <v>46233</v>
      </c>
      <c r="C1160" t="s">
        <v>49</v>
      </c>
      <c r="D1160" t="s">
        <v>5984</v>
      </c>
      <c r="E1160" t="s">
        <v>30</v>
      </c>
      <c r="F1160">
        <v>5</v>
      </c>
      <c r="G1160" t="s">
        <v>13</v>
      </c>
      <c r="H1160" t="s">
        <v>14</v>
      </c>
      <c r="I1160" t="s">
        <v>19</v>
      </c>
    </row>
    <row r="1161" spans="1:9" x14ac:dyDescent="0.45">
      <c r="A1161" t="s">
        <v>5985</v>
      </c>
      <c r="B1161" s="2">
        <v>46178</v>
      </c>
      <c r="C1161" t="s">
        <v>49</v>
      </c>
      <c r="D1161" t="s">
        <v>5986</v>
      </c>
      <c r="E1161" t="s">
        <v>54</v>
      </c>
      <c r="F1161">
        <v>3</v>
      </c>
      <c r="G1161" t="s">
        <v>68</v>
      </c>
      <c r="H1161" t="s">
        <v>25</v>
      </c>
      <c r="I1161" t="s">
        <v>19</v>
      </c>
    </row>
    <row r="1162" spans="1:9" x14ac:dyDescent="0.45">
      <c r="A1162" t="s">
        <v>5987</v>
      </c>
      <c r="B1162" s="2">
        <v>46101</v>
      </c>
      <c r="C1162" t="s">
        <v>66</v>
      </c>
      <c r="D1162" t="s">
        <v>5988</v>
      </c>
      <c r="E1162" t="s">
        <v>34</v>
      </c>
      <c r="F1162">
        <v>7</v>
      </c>
      <c r="G1162" t="s">
        <v>55</v>
      </c>
      <c r="H1162" t="s">
        <v>72</v>
      </c>
      <c r="I1162" t="s">
        <v>47</v>
      </c>
    </row>
    <row r="1163" spans="1:9" x14ac:dyDescent="0.45">
      <c r="A1163" t="s">
        <v>5989</v>
      </c>
      <c r="B1163" s="2">
        <v>46209</v>
      </c>
      <c r="C1163" t="s">
        <v>99</v>
      </c>
      <c r="D1163" t="s">
        <v>5990</v>
      </c>
      <c r="E1163" t="s">
        <v>75</v>
      </c>
      <c r="F1163">
        <v>5</v>
      </c>
      <c r="G1163" t="s">
        <v>68</v>
      </c>
      <c r="H1163" t="s">
        <v>25</v>
      </c>
      <c r="I1163" t="s">
        <v>26</v>
      </c>
    </row>
    <row r="1164" spans="1:9" x14ac:dyDescent="0.45">
      <c r="A1164" t="s">
        <v>5991</v>
      </c>
      <c r="B1164" s="2">
        <v>46262</v>
      </c>
      <c r="C1164" t="s">
        <v>10</v>
      </c>
      <c r="D1164" t="s">
        <v>5992</v>
      </c>
      <c r="E1164" t="s">
        <v>46</v>
      </c>
      <c r="F1164">
        <v>9</v>
      </c>
      <c r="G1164" t="s">
        <v>43</v>
      </c>
      <c r="H1164" t="s">
        <v>14</v>
      </c>
      <c r="I1164" t="s">
        <v>19</v>
      </c>
    </row>
    <row r="1165" spans="1:9" x14ac:dyDescent="0.45">
      <c r="A1165" t="s">
        <v>5993</v>
      </c>
      <c r="B1165" s="2">
        <v>46104</v>
      </c>
      <c r="C1165" t="s">
        <v>10</v>
      </c>
      <c r="D1165" t="s">
        <v>5994</v>
      </c>
      <c r="E1165" t="s">
        <v>30</v>
      </c>
      <c r="F1165">
        <v>3</v>
      </c>
      <c r="G1165" t="s">
        <v>55</v>
      </c>
      <c r="H1165" t="s">
        <v>72</v>
      </c>
      <c r="I1165" t="s">
        <v>60</v>
      </c>
    </row>
    <row r="1166" spans="1:9" x14ac:dyDescent="0.45">
      <c r="A1166" t="s">
        <v>5995</v>
      </c>
      <c r="B1166" s="2">
        <v>46089</v>
      </c>
      <c r="C1166" t="s">
        <v>10</v>
      </c>
      <c r="D1166" t="s">
        <v>5996</v>
      </c>
      <c r="E1166" t="s">
        <v>34</v>
      </c>
      <c r="F1166">
        <v>2</v>
      </c>
      <c r="G1166" t="s">
        <v>24</v>
      </c>
      <c r="H1166" t="s">
        <v>25</v>
      </c>
      <c r="I1166" t="s">
        <v>19</v>
      </c>
    </row>
    <row r="1167" spans="1:9" x14ac:dyDescent="0.45">
      <c r="A1167" t="s">
        <v>5997</v>
      </c>
      <c r="B1167" s="2">
        <v>46088</v>
      </c>
      <c r="C1167" t="s">
        <v>28</v>
      </c>
      <c r="D1167" t="s">
        <v>5998</v>
      </c>
      <c r="E1167" t="s">
        <v>42</v>
      </c>
      <c r="F1167">
        <v>1</v>
      </c>
      <c r="G1167" t="s">
        <v>18</v>
      </c>
      <c r="H1167" t="s">
        <v>14</v>
      </c>
      <c r="I1167" t="s">
        <v>60</v>
      </c>
    </row>
    <row r="1168" spans="1:9" x14ac:dyDescent="0.45">
      <c r="A1168" t="s">
        <v>5999</v>
      </c>
      <c r="B1168" s="2">
        <v>46075</v>
      </c>
      <c r="C1168" t="s">
        <v>66</v>
      </c>
      <c r="D1168" t="s">
        <v>6000</v>
      </c>
      <c r="E1168" t="s">
        <v>54</v>
      </c>
      <c r="F1168">
        <v>2</v>
      </c>
      <c r="G1168" t="s">
        <v>13</v>
      </c>
      <c r="H1168" t="s">
        <v>14</v>
      </c>
      <c r="I1168" t="s">
        <v>19</v>
      </c>
    </row>
    <row r="1169" spans="1:9" x14ac:dyDescent="0.45">
      <c r="A1169" t="s">
        <v>6001</v>
      </c>
      <c r="B1169" s="2">
        <v>46261</v>
      </c>
      <c r="C1169" t="s">
        <v>21</v>
      </c>
      <c r="D1169" t="s">
        <v>6002</v>
      </c>
      <c r="E1169" t="s">
        <v>23</v>
      </c>
      <c r="F1169">
        <v>1</v>
      </c>
      <c r="G1169" t="s">
        <v>24</v>
      </c>
      <c r="H1169" t="s">
        <v>25</v>
      </c>
      <c r="I1169" t="s">
        <v>31</v>
      </c>
    </row>
    <row r="1170" spans="1:9" x14ac:dyDescent="0.45">
      <c r="A1170" t="s">
        <v>6003</v>
      </c>
      <c r="B1170" s="2">
        <v>46031</v>
      </c>
      <c r="C1170" t="s">
        <v>28</v>
      </c>
      <c r="D1170" t="s">
        <v>6004</v>
      </c>
      <c r="E1170" t="s">
        <v>38</v>
      </c>
      <c r="F1170">
        <v>8</v>
      </c>
      <c r="G1170" t="s">
        <v>43</v>
      </c>
      <c r="H1170" t="s">
        <v>14</v>
      </c>
      <c r="I1170" t="s">
        <v>31</v>
      </c>
    </row>
    <row r="1171" spans="1:9" x14ac:dyDescent="0.45">
      <c r="A1171" t="s">
        <v>6005</v>
      </c>
      <c r="B1171" s="2">
        <v>46148</v>
      </c>
      <c r="C1171" t="s">
        <v>16</v>
      </c>
      <c r="D1171" t="s">
        <v>6006</v>
      </c>
      <c r="E1171" t="s">
        <v>58</v>
      </c>
      <c r="F1171">
        <v>6</v>
      </c>
      <c r="G1171" t="s">
        <v>13</v>
      </c>
      <c r="H1171" t="s">
        <v>14</v>
      </c>
      <c r="I1171" t="s">
        <v>39</v>
      </c>
    </row>
    <row r="1172" spans="1:9" x14ac:dyDescent="0.45">
      <c r="A1172" t="s">
        <v>6007</v>
      </c>
      <c r="B1172" s="2">
        <v>46226</v>
      </c>
      <c r="C1172" t="s">
        <v>52</v>
      </c>
      <c r="D1172" t="s">
        <v>6008</v>
      </c>
      <c r="E1172" t="s">
        <v>2306</v>
      </c>
      <c r="F1172">
        <v>9</v>
      </c>
      <c r="G1172" t="s">
        <v>68</v>
      </c>
      <c r="H1172" t="s">
        <v>25</v>
      </c>
      <c r="I1172" t="s">
        <v>47</v>
      </c>
    </row>
    <row r="1173" spans="1:9" x14ac:dyDescent="0.45">
      <c r="A1173" t="s">
        <v>6009</v>
      </c>
      <c r="B1173" s="2">
        <v>46041</v>
      </c>
      <c r="C1173" t="s">
        <v>10</v>
      </c>
      <c r="D1173" t="s">
        <v>6010</v>
      </c>
      <c r="E1173" t="s">
        <v>54</v>
      </c>
      <c r="F1173">
        <v>1</v>
      </c>
      <c r="G1173" t="s">
        <v>13</v>
      </c>
      <c r="H1173" t="s">
        <v>14</v>
      </c>
      <c r="I1173" t="s">
        <v>47</v>
      </c>
    </row>
    <row r="1174" spans="1:9" x14ac:dyDescent="0.45">
      <c r="A1174" t="s">
        <v>6011</v>
      </c>
      <c r="B1174" s="2">
        <v>46213</v>
      </c>
      <c r="C1174" t="s">
        <v>49</v>
      </c>
      <c r="D1174" t="s">
        <v>6012</v>
      </c>
      <c r="E1174" t="s">
        <v>38</v>
      </c>
      <c r="F1174">
        <v>12</v>
      </c>
      <c r="G1174" t="s">
        <v>59</v>
      </c>
      <c r="H1174" t="s">
        <v>14</v>
      </c>
      <c r="I1174" t="s">
        <v>31</v>
      </c>
    </row>
    <row r="1175" spans="1:9" x14ac:dyDescent="0.45">
      <c r="A1175" t="s">
        <v>6013</v>
      </c>
      <c r="B1175" s="2">
        <v>46043</v>
      </c>
      <c r="C1175" t="s">
        <v>10</v>
      </c>
      <c r="D1175" t="s">
        <v>6014</v>
      </c>
      <c r="E1175" t="s">
        <v>71</v>
      </c>
      <c r="F1175">
        <v>4</v>
      </c>
      <c r="G1175" t="s">
        <v>35</v>
      </c>
      <c r="H1175" t="s">
        <v>25</v>
      </c>
      <c r="I1175" t="s">
        <v>19</v>
      </c>
    </row>
    <row r="1176" spans="1:9" x14ac:dyDescent="0.45">
      <c r="A1176" t="s">
        <v>6015</v>
      </c>
      <c r="B1176" s="2">
        <v>46144</v>
      </c>
      <c r="C1176" t="s">
        <v>21</v>
      </c>
      <c r="D1176" t="s">
        <v>6016</v>
      </c>
      <c r="E1176" t="s">
        <v>75</v>
      </c>
      <c r="F1176">
        <v>4</v>
      </c>
      <c r="G1176" t="s">
        <v>55</v>
      </c>
      <c r="H1176" t="s">
        <v>72</v>
      </c>
      <c r="I1176" t="s">
        <v>26</v>
      </c>
    </row>
    <row r="1177" spans="1:9" x14ac:dyDescent="0.45">
      <c r="A1177" t="s">
        <v>6017</v>
      </c>
      <c r="B1177" s="2">
        <v>46086</v>
      </c>
      <c r="C1177" t="s">
        <v>10</v>
      </c>
      <c r="D1177" t="s">
        <v>6018</v>
      </c>
      <c r="E1177" t="s">
        <v>30</v>
      </c>
      <c r="F1177">
        <v>3</v>
      </c>
      <c r="G1177" t="s">
        <v>43</v>
      </c>
      <c r="H1177" t="s">
        <v>14</v>
      </c>
      <c r="I1177" t="s">
        <v>31</v>
      </c>
    </row>
    <row r="1178" spans="1:9" x14ac:dyDescent="0.45">
      <c r="A1178" t="s">
        <v>6019</v>
      </c>
      <c r="B1178" s="2">
        <v>46053</v>
      </c>
      <c r="C1178" t="s">
        <v>99</v>
      </c>
      <c r="D1178" t="s">
        <v>6020</v>
      </c>
      <c r="E1178" t="s">
        <v>58</v>
      </c>
      <c r="F1178">
        <v>12</v>
      </c>
      <c r="G1178" t="s">
        <v>24</v>
      </c>
      <c r="H1178" t="s">
        <v>25</v>
      </c>
      <c r="I1178" t="s">
        <v>60</v>
      </c>
    </row>
    <row r="1179" spans="1:9" x14ac:dyDescent="0.45">
      <c r="A1179" t="s">
        <v>6021</v>
      </c>
      <c r="B1179" s="2">
        <v>46129</v>
      </c>
      <c r="C1179" t="s">
        <v>16</v>
      </c>
      <c r="D1179" t="s">
        <v>6022</v>
      </c>
      <c r="E1179" t="s">
        <v>75</v>
      </c>
      <c r="F1179">
        <v>8</v>
      </c>
      <c r="G1179" t="s">
        <v>24</v>
      </c>
      <c r="H1179" t="s">
        <v>25</v>
      </c>
      <c r="I1179" t="s">
        <v>19</v>
      </c>
    </row>
    <row r="1180" spans="1:9" x14ac:dyDescent="0.45">
      <c r="A1180" t="s">
        <v>6023</v>
      </c>
      <c r="B1180" s="2">
        <v>46260</v>
      </c>
      <c r="C1180" t="s">
        <v>52</v>
      </c>
      <c r="D1180" t="s">
        <v>6024</v>
      </c>
      <c r="E1180" t="s">
        <v>46</v>
      </c>
      <c r="F1180">
        <v>3</v>
      </c>
      <c r="G1180" t="s">
        <v>13</v>
      </c>
      <c r="H1180" t="s">
        <v>14</v>
      </c>
      <c r="I1180" t="s">
        <v>60</v>
      </c>
    </row>
    <row r="1181" spans="1:9" x14ac:dyDescent="0.45">
      <c r="A1181" t="s">
        <v>6025</v>
      </c>
      <c r="B1181" s="2">
        <v>46080</v>
      </c>
      <c r="C1181" t="s">
        <v>28</v>
      </c>
      <c r="D1181" t="s">
        <v>6026</v>
      </c>
      <c r="E1181" t="s">
        <v>42</v>
      </c>
      <c r="F1181">
        <v>2</v>
      </c>
      <c r="G1181" t="s">
        <v>68</v>
      </c>
      <c r="H1181" t="s">
        <v>25</v>
      </c>
      <c r="I1181" t="s">
        <v>60</v>
      </c>
    </row>
    <row r="1182" spans="1:9" x14ac:dyDescent="0.45">
      <c r="A1182" t="s">
        <v>6027</v>
      </c>
      <c r="B1182" s="2">
        <v>46064</v>
      </c>
      <c r="C1182" t="s">
        <v>52</v>
      </c>
      <c r="D1182" t="s">
        <v>6028</v>
      </c>
      <c r="E1182" t="s">
        <v>30</v>
      </c>
      <c r="F1182">
        <v>3</v>
      </c>
      <c r="G1182" t="s">
        <v>24</v>
      </c>
      <c r="H1182" t="s">
        <v>25</v>
      </c>
      <c r="I1182" t="s">
        <v>47</v>
      </c>
    </row>
    <row r="1183" spans="1:9" x14ac:dyDescent="0.45">
      <c r="A1183" t="s">
        <v>6029</v>
      </c>
      <c r="B1183" s="2">
        <v>46109</v>
      </c>
      <c r="C1183" t="s">
        <v>28</v>
      </c>
      <c r="D1183" t="s">
        <v>6030</v>
      </c>
      <c r="E1183" t="s">
        <v>7974</v>
      </c>
      <c r="F1183">
        <v>8</v>
      </c>
      <c r="G1183" t="s">
        <v>59</v>
      </c>
      <c r="H1183" t="s">
        <v>14</v>
      </c>
      <c r="I1183" t="s">
        <v>19</v>
      </c>
    </row>
    <row r="1184" spans="1:9" x14ac:dyDescent="0.45">
      <c r="A1184" t="s">
        <v>6031</v>
      </c>
      <c r="B1184" s="2">
        <v>46162</v>
      </c>
      <c r="C1184" t="s">
        <v>66</v>
      </c>
      <c r="D1184" t="s">
        <v>6032</v>
      </c>
      <c r="E1184" t="s">
        <v>7973</v>
      </c>
      <c r="F1184">
        <v>4</v>
      </c>
      <c r="G1184" t="s">
        <v>55</v>
      </c>
      <c r="H1184" t="s">
        <v>72</v>
      </c>
      <c r="I1184" t="s">
        <v>26</v>
      </c>
    </row>
    <row r="1185" spans="1:9" x14ac:dyDescent="0.45">
      <c r="A1185" t="s">
        <v>6033</v>
      </c>
      <c r="B1185" s="2">
        <v>46029</v>
      </c>
      <c r="C1185" t="s">
        <v>28</v>
      </c>
      <c r="D1185" t="s">
        <v>6034</v>
      </c>
      <c r="E1185" t="s">
        <v>71</v>
      </c>
      <c r="F1185">
        <v>11</v>
      </c>
      <c r="G1185" t="s">
        <v>55</v>
      </c>
      <c r="H1185" t="s">
        <v>72</v>
      </c>
      <c r="I1185" t="s">
        <v>60</v>
      </c>
    </row>
    <row r="1186" spans="1:9" x14ac:dyDescent="0.45">
      <c r="A1186" t="s">
        <v>6035</v>
      </c>
      <c r="B1186" s="2">
        <v>46120</v>
      </c>
      <c r="C1186" t="s">
        <v>52</v>
      </c>
      <c r="D1186" t="s">
        <v>6036</v>
      </c>
      <c r="E1186" t="s">
        <v>46</v>
      </c>
      <c r="F1186">
        <v>4</v>
      </c>
      <c r="G1186" t="s">
        <v>59</v>
      </c>
      <c r="H1186" t="s">
        <v>14</v>
      </c>
      <c r="I1186" t="s">
        <v>31</v>
      </c>
    </row>
    <row r="1187" spans="1:9" x14ac:dyDescent="0.45">
      <c r="A1187" t="s">
        <v>6037</v>
      </c>
      <c r="B1187" s="2">
        <v>46033</v>
      </c>
      <c r="C1187" t="s">
        <v>16</v>
      </c>
      <c r="D1187" t="s">
        <v>6038</v>
      </c>
      <c r="E1187" t="s">
        <v>42</v>
      </c>
      <c r="F1187">
        <v>10</v>
      </c>
      <c r="G1187" t="s">
        <v>43</v>
      </c>
      <c r="H1187" t="s">
        <v>14</v>
      </c>
      <c r="I1187" t="s">
        <v>60</v>
      </c>
    </row>
    <row r="1188" spans="1:9" x14ac:dyDescent="0.45">
      <c r="A1188" t="s">
        <v>6039</v>
      </c>
      <c r="B1188" s="2">
        <v>46074</v>
      </c>
      <c r="C1188" t="s">
        <v>16</v>
      </c>
      <c r="D1188" t="s">
        <v>6040</v>
      </c>
      <c r="E1188" t="s">
        <v>71</v>
      </c>
      <c r="F1188">
        <v>6</v>
      </c>
      <c r="G1188" t="s">
        <v>59</v>
      </c>
      <c r="H1188" t="s">
        <v>14</v>
      </c>
      <c r="I1188" t="s">
        <v>47</v>
      </c>
    </row>
    <row r="1189" spans="1:9" x14ac:dyDescent="0.45">
      <c r="A1189" t="s">
        <v>6041</v>
      </c>
      <c r="B1189" s="2">
        <v>46040</v>
      </c>
      <c r="C1189" t="s">
        <v>10</v>
      </c>
      <c r="D1189" t="s">
        <v>6042</v>
      </c>
      <c r="E1189" t="s">
        <v>38</v>
      </c>
      <c r="F1189">
        <v>9</v>
      </c>
      <c r="G1189" t="s">
        <v>55</v>
      </c>
      <c r="H1189" t="s">
        <v>72</v>
      </c>
      <c r="I1189" t="s">
        <v>60</v>
      </c>
    </row>
    <row r="1190" spans="1:9" x14ac:dyDescent="0.45">
      <c r="A1190" t="s">
        <v>6043</v>
      </c>
      <c r="B1190" s="2">
        <v>46068</v>
      </c>
      <c r="C1190" t="s">
        <v>10</v>
      </c>
      <c r="D1190" t="s">
        <v>6044</v>
      </c>
      <c r="E1190" t="s">
        <v>163</v>
      </c>
      <c r="F1190">
        <v>8</v>
      </c>
      <c r="G1190" t="s">
        <v>35</v>
      </c>
      <c r="H1190" t="s">
        <v>25</v>
      </c>
      <c r="I1190" t="s">
        <v>26</v>
      </c>
    </row>
    <row r="1191" spans="1:9" x14ac:dyDescent="0.45">
      <c r="A1191" t="s">
        <v>6045</v>
      </c>
      <c r="B1191" s="2">
        <v>46200</v>
      </c>
      <c r="C1191" t="s">
        <v>52</v>
      </c>
      <c r="D1191" t="s">
        <v>6046</v>
      </c>
      <c r="E1191" t="s">
        <v>42</v>
      </c>
      <c r="F1191">
        <v>4</v>
      </c>
      <c r="G1191" t="s">
        <v>68</v>
      </c>
      <c r="H1191" t="s">
        <v>25</v>
      </c>
      <c r="I1191" t="s">
        <v>26</v>
      </c>
    </row>
    <row r="1192" spans="1:9" x14ac:dyDescent="0.45">
      <c r="A1192" t="s">
        <v>6047</v>
      </c>
      <c r="B1192" s="2">
        <v>46212</v>
      </c>
      <c r="C1192" t="s">
        <v>16</v>
      </c>
      <c r="D1192" t="s">
        <v>6048</v>
      </c>
      <c r="E1192" t="s">
        <v>38</v>
      </c>
      <c r="F1192">
        <v>2</v>
      </c>
      <c r="G1192" t="s">
        <v>18</v>
      </c>
      <c r="H1192" t="s">
        <v>14</v>
      </c>
      <c r="I1192" t="s">
        <v>47</v>
      </c>
    </row>
    <row r="1193" spans="1:9" x14ac:dyDescent="0.45">
      <c r="A1193" t="s">
        <v>6049</v>
      </c>
      <c r="B1193" s="2">
        <v>46204</v>
      </c>
      <c r="C1193" t="s">
        <v>16</v>
      </c>
      <c r="D1193" t="s">
        <v>6050</v>
      </c>
      <c r="E1193" t="s">
        <v>75</v>
      </c>
      <c r="F1193">
        <v>4</v>
      </c>
      <c r="G1193" t="s">
        <v>18</v>
      </c>
      <c r="H1193" t="s">
        <v>14</v>
      </c>
      <c r="I1193" t="s">
        <v>31</v>
      </c>
    </row>
    <row r="1194" spans="1:9" x14ac:dyDescent="0.45">
      <c r="A1194" t="s">
        <v>6051</v>
      </c>
      <c r="B1194" s="2">
        <v>46106</v>
      </c>
      <c r="C1194" t="s">
        <v>49</v>
      </c>
      <c r="D1194" t="s">
        <v>6052</v>
      </c>
      <c r="E1194" t="s">
        <v>7974</v>
      </c>
      <c r="F1194">
        <v>12</v>
      </c>
      <c r="G1194" t="s">
        <v>59</v>
      </c>
      <c r="H1194" t="s">
        <v>14</v>
      </c>
      <c r="I1194" t="s">
        <v>19</v>
      </c>
    </row>
    <row r="1195" spans="1:9" x14ac:dyDescent="0.45">
      <c r="A1195" t="s">
        <v>6053</v>
      </c>
      <c r="B1195" s="2">
        <v>46097</v>
      </c>
      <c r="C1195" t="s">
        <v>21</v>
      </c>
      <c r="D1195" t="s">
        <v>6054</v>
      </c>
      <c r="E1195" t="s">
        <v>71</v>
      </c>
      <c r="F1195">
        <v>12</v>
      </c>
      <c r="G1195" t="s">
        <v>59</v>
      </c>
      <c r="H1195" t="s">
        <v>14</v>
      </c>
      <c r="I1195" t="s">
        <v>39</v>
      </c>
    </row>
    <row r="1196" spans="1:9" x14ac:dyDescent="0.45">
      <c r="A1196" t="s">
        <v>6055</v>
      </c>
      <c r="B1196" s="2">
        <v>46159</v>
      </c>
      <c r="C1196" t="s">
        <v>28</v>
      </c>
      <c r="D1196" t="s">
        <v>6056</v>
      </c>
      <c r="E1196" t="s">
        <v>34</v>
      </c>
      <c r="F1196">
        <v>12</v>
      </c>
      <c r="G1196" t="s">
        <v>13</v>
      </c>
      <c r="H1196" t="s">
        <v>14</v>
      </c>
      <c r="I1196" t="s">
        <v>47</v>
      </c>
    </row>
    <row r="1197" spans="1:9" x14ac:dyDescent="0.45">
      <c r="A1197" t="s">
        <v>6057</v>
      </c>
      <c r="B1197" s="2">
        <v>46144</v>
      </c>
      <c r="C1197" t="s">
        <v>49</v>
      </c>
      <c r="D1197" t="s">
        <v>6058</v>
      </c>
      <c r="E1197" t="s">
        <v>7973</v>
      </c>
      <c r="F1197">
        <v>8</v>
      </c>
      <c r="G1197" t="s">
        <v>55</v>
      </c>
      <c r="H1197" t="s">
        <v>72</v>
      </c>
      <c r="I1197" t="s">
        <v>26</v>
      </c>
    </row>
    <row r="1198" spans="1:9" x14ac:dyDescent="0.45">
      <c r="A1198" t="s">
        <v>6059</v>
      </c>
      <c r="B1198" s="2">
        <v>46132</v>
      </c>
      <c r="C1198" t="s">
        <v>49</v>
      </c>
      <c r="D1198" t="s">
        <v>6060</v>
      </c>
      <c r="E1198" t="s">
        <v>58</v>
      </c>
      <c r="F1198">
        <v>12</v>
      </c>
      <c r="G1198" t="s">
        <v>59</v>
      </c>
      <c r="H1198" t="s">
        <v>14</v>
      </c>
      <c r="I1198" t="s">
        <v>19</v>
      </c>
    </row>
    <row r="1199" spans="1:9" x14ac:dyDescent="0.45">
      <c r="A1199" t="s">
        <v>6061</v>
      </c>
      <c r="B1199" s="2">
        <v>46216</v>
      </c>
      <c r="C1199" t="s">
        <v>52</v>
      </c>
      <c r="D1199" t="s">
        <v>6062</v>
      </c>
      <c r="E1199" t="s">
        <v>449</v>
      </c>
      <c r="F1199">
        <v>4</v>
      </c>
      <c r="G1199" t="s">
        <v>35</v>
      </c>
      <c r="H1199" t="s">
        <v>25</v>
      </c>
      <c r="I1199" t="s">
        <v>47</v>
      </c>
    </row>
    <row r="1200" spans="1:9" x14ac:dyDescent="0.45">
      <c r="A1200" t="s">
        <v>6063</v>
      </c>
      <c r="B1200" s="2">
        <v>46149</v>
      </c>
      <c r="C1200" t="s">
        <v>66</v>
      </c>
      <c r="D1200" t="s">
        <v>6064</v>
      </c>
      <c r="E1200" t="s">
        <v>71</v>
      </c>
      <c r="F1200">
        <v>2</v>
      </c>
      <c r="G1200" t="s">
        <v>7967</v>
      </c>
      <c r="H1200" t="s">
        <v>14</v>
      </c>
      <c r="I1200" t="s">
        <v>31</v>
      </c>
    </row>
    <row r="1201" spans="1:9" x14ac:dyDescent="0.45">
      <c r="A1201" t="s">
        <v>6065</v>
      </c>
      <c r="B1201" s="2">
        <v>46221</v>
      </c>
      <c r="C1201" t="s">
        <v>16</v>
      </c>
      <c r="D1201" t="s">
        <v>6066</v>
      </c>
      <c r="E1201" t="s">
        <v>46</v>
      </c>
      <c r="F1201">
        <v>2</v>
      </c>
      <c r="G1201" t="s">
        <v>43</v>
      </c>
      <c r="H1201" t="s">
        <v>14</v>
      </c>
      <c r="I1201" t="s">
        <v>39</v>
      </c>
    </row>
    <row r="1202" spans="1:9" x14ac:dyDescent="0.45">
      <c r="A1202" t="s">
        <v>6067</v>
      </c>
      <c r="B1202" s="2">
        <v>46269</v>
      </c>
      <c r="C1202" t="s">
        <v>66</v>
      </c>
      <c r="D1202" t="s">
        <v>6068</v>
      </c>
      <c r="E1202" t="s">
        <v>42</v>
      </c>
      <c r="F1202">
        <v>10</v>
      </c>
      <c r="G1202" t="s">
        <v>59</v>
      </c>
      <c r="H1202" t="s">
        <v>14</v>
      </c>
      <c r="I1202" t="s">
        <v>47</v>
      </c>
    </row>
    <row r="1203" spans="1:9" x14ac:dyDescent="0.45">
      <c r="A1203" t="s">
        <v>6069</v>
      </c>
      <c r="B1203" s="2">
        <v>46100</v>
      </c>
      <c r="C1203" t="s">
        <v>10</v>
      </c>
      <c r="D1203" t="s">
        <v>6070</v>
      </c>
      <c r="E1203" t="s">
        <v>42</v>
      </c>
      <c r="F1203">
        <v>6</v>
      </c>
      <c r="G1203" t="s">
        <v>24</v>
      </c>
      <c r="H1203" t="s">
        <v>25</v>
      </c>
      <c r="I1203" t="s">
        <v>31</v>
      </c>
    </row>
    <row r="1204" spans="1:9" x14ac:dyDescent="0.45">
      <c r="A1204" t="s">
        <v>6071</v>
      </c>
      <c r="B1204" s="2">
        <v>46166</v>
      </c>
      <c r="C1204" t="s">
        <v>52</v>
      </c>
      <c r="D1204" t="s">
        <v>6072</v>
      </c>
      <c r="E1204" t="s">
        <v>7973</v>
      </c>
      <c r="F1204">
        <v>4</v>
      </c>
      <c r="G1204" t="s">
        <v>18</v>
      </c>
      <c r="H1204" t="s">
        <v>14</v>
      </c>
      <c r="I1204" t="s">
        <v>39</v>
      </c>
    </row>
    <row r="1205" spans="1:9" x14ac:dyDescent="0.45">
      <c r="A1205" t="s">
        <v>6073</v>
      </c>
      <c r="B1205" s="2">
        <v>46223</v>
      </c>
      <c r="C1205" t="s">
        <v>52</v>
      </c>
      <c r="D1205" t="s">
        <v>6074</v>
      </c>
      <c r="E1205" t="s">
        <v>71</v>
      </c>
      <c r="F1205">
        <v>5</v>
      </c>
      <c r="G1205" t="s">
        <v>18</v>
      </c>
      <c r="H1205" t="s">
        <v>14</v>
      </c>
      <c r="I1205" t="s">
        <v>60</v>
      </c>
    </row>
    <row r="1206" spans="1:9" x14ac:dyDescent="0.45">
      <c r="A1206" t="s">
        <v>6075</v>
      </c>
      <c r="B1206" s="2">
        <v>46125</v>
      </c>
      <c r="C1206" t="s">
        <v>21</v>
      </c>
      <c r="D1206" t="s">
        <v>6076</v>
      </c>
      <c r="E1206" t="s">
        <v>58</v>
      </c>
      <c r="F1206">
        <v>1</v>
      </c>
      <c r="G1206" t="s">
        <v>43</v>
      </c>
      <c r="H1206" t="s">
        <v>14</v>
      </c>
      <c r="I1206" t="s">
        <v>47</v>
      </c>
    </row>
    <row r="1207" spans="1:9" x14ac:dyDescent="0.45">
      <c r="A1207" t="s">
        <v>6077</v>
      </c>
      <c r="B1207" s="2">
        <v>46127</v>
      </c>
      <c r="C1207" t="s">
        <v>66</v>
      </c>
      <c r="D1207" t="s">
        <v>6078</v>
      </c>
      <c r="E1207" t="s">
        <v>866</v>
      </c>
      <c r="F1207">
        <v>11</v>
      </c>
      <c r="G1207" t="s">
        <v>13</v>
      </c>
      <c r="H1207" t="s">
        <v>14</v>
      </c>
      <c r="I1207" t="s">
        <v>31</v>
      </c>
    </row>
    <row r="1208" spans="1:9" x14ac:dyDescent="0.45">
      <c r="A1208" t="s">
        <v>6079</v>
      </c>
      <c r="B1208" s="2">
        <v>46093</v>
      </c>
      <c r="C1208" t="s">
        <v>10</v>
      </c>
      <c r="D1208" t="s">
        <v>6080</v>
      </c>
      <c r="E1208" t="s">
        <v>58</v>
      </c>
      <c r="F1208">
        <v>11</v>
      </c>
      <c r="G1208" t="s">
        <v>43</v>
      </c>
      <c r="H1208" t="s">
        <v>14</v>
      </c>
      <c r="I1208" t="s">
        <v>60</v>
      </c>
    </row>
    <row r="1209" spans="1:9" x14ac:dyDescent="0.45">
      <c r="A1209" t="s">
        <v>6081</v>
      </c>
      <c r="B1209" s="2">
        <v>46067</v>
      </c>
      <c r="C1209" t="s">
        <v>28</v>
      </c>
      <c r="D1209" t="s">
        <v>6082</v>
      </c>
      <c r="E1209" t="s">
        <v>71</v>
      </c>
      <c r="F1209">
        <v>3</v>
      </c>
      <c r="G1209" t="s">
        <v>55</v>
      </c>
      <c r="H1209" t="s">
        <v>72</v>
      </c>
      <c r="I1209" t="s">
        <v>26</v>
      </c>
    </row>
    <row r="1210" spans="1:9" x14ac:dyDescent="0.45">
      <c r="A1210" t="s">
        <v>6083</v>
      </c>
      <c r="B1210" s="2">
        <v>46137</v>
      </c>
      <c r="C1210" t="s">
        <v>21</v>
      </c>
      <c r="D1210" t="s">
        <v>6084</v>
      </c>
      <c r="E1210" t="s">
        <v>23</v>
      </c>
      <c r="F1210">
        <v>4</v>
      </c>
      <c r="G1210" t="s">
        <v>43</v>
      </c>
      <c r="H1210" t="s">
        <v>14</v>
      </c>
      <c r="I1210" t="s">
        <v>31</v>
      </c>
    </row>
    <row r="1211" spans="1:9" x14ac:dyDescent="0.45">
      <c r="A1211" t="s">
        <v>6085</v>
      </c>
      <c r="B1211" s="2">
        <v>46181</v>
      </c>
      <c r="C1211" t="s">
        <v>99</v>
      </c>
      <c r="D1211" t="s">
        <v>6086</v>
      </c>
      <c r="E1211" t="s">
        <v>75</v>
      </c>
      <c r="F1211">
        <v>2</v>
      </c>
      <c r="G1211" t="s">
        <v>35</v>
      </c>
      <c r="H1211" t="s">
        <v>25</v>
      </c>
      <c r="I1211" t="s">
        <v>26</v>
      </c>
    </row>
    <row r="1212" spans="1:9" x14ac:dyDescent="0.45">
      <c r="A1212" t="s">
        <v>6087</v>
      </c>
      <c r="B1212" s="2">
        <v>46165</v>
      </c>
      <c r="C1212" t="s">
        <v>49</v>
      </c>
      <c r="D1212" t="s">
        <v>6088</v>
      </c>
      <c r="E1212" t="s">
        <v>71</v>
      </c>
      <c r="F1212">
        <v>10</v>
      </c>
      <c r="G1212" t="s">
        <v>59</v>
      </c>
      <c r="H1212" t="s">
        <v>14</v>
      </c>
      <c r="I1212" t="s">
        <v>19</v>
      </c>
    </row>
    <row r="1213" spans="1:9" x14ac:dyDescent="0.45">
      <c r="A1213" t="s">
        <v>6089</v>
      </c>
      <c r="B1213" s="2">
        <v>46263</v>
      </c>
      <c r="C1213" t="s">
        <v>21</v>
      </c>
      <c r="D1213" t="s">
        <v>6090</v>
      </c>
      <c r="E1213" t="s">
        <v>54</v>
      </c>
      <c r="F1213">
        <v>6</v>
      </c>
      <c r="G1213" t="s">
        <v>43</v>
      </c>
      <c r="H1213" t="s">
        <v>14</v>
      </c>
      <c r="I1213" t="s">
        <v>31</v>
      </c>
    </row>
    <row r="1214" spans="1:9" x14ac:dyDescent="0.45">
      <c r="A1214" t="s">
        <v>6091</v>
      </c>
      <c r="B1214" s="2">
        <v>46146</v>
      </c>
      <c r="C1214" t="s">
        <v>49</v>
      </c>
      <c r="D1214" t="s">
        <v>6092</v>
      </c>
      <c r="E1214" t="s">
        <v>38</v>
      </c>
      <c r="F1214">
        <v>7</v>
      </c>
      <c r="G1214" t="s">
        <v>43</v>
      </c>
      <c r="H1214" t="s">
        <v>14</v>
      </c>
      <c r="I1214" t="s">
        <v>31</v>
      </c>
    </row>
    <row r="1215" spans="1:9" x14ac:dyDescent="0.45">
      <c r="A1215" t="s">
        <v>6093</v>
      </c>
      <c r="B1215" s="2">
        <v>46254</v>
      </c>
      <c r="C1215" t="s">
        <v>52</v>
      </c>
      <c r="D1215" t="s">
        <v>6094</v>
      </c>
      <c r="E1215" t="s">
        <v>54</v>
      </c>
      <c r="F1215">
        <v>2</v>
      </c>
      <c r="G1215" t="s">
        <v>59</v>
      </c>
      <c r="H1215" t="s">
        <v>14</v>
      </c>
      <c r="I1215" t="s">
        <v>47</v>
      </c>
    </row>
    <row r="1216" spans="1:9" x14ac:dyDescent="0.45">
      <c r="A1216" t="s">
        <v>6095</v>
      </c>
      <c r="B1216" s="2">
        <v>46224</v>
      </c>
      <c r="C1216" t="s">
        <v>66</v>
      </c>
      <c r="D1216" t="s">
        <v>6096</v>
      </c>
      <c r="E1216" t="s">
        <v>42</v>
      </c>
      <c r="F1216">
        <v>5</v>
      </c>
      <c r="G1216" t="s">
        <v>24</v>
      </c>
      <c r="H1216" t="s">
        <v>25</v>
      </c>
      <c r="I1216" t="s">
        <v>19</v>
      </c>
    </row>
    <row r="1217" spans="1:9" x14ac:dyDescent="0.45">
      <c r="A1217" t="s">
        <v>6097</v>
      </c>
      <c r="B1217" s="2">
        <v>46249</v>
      </c>
      <c r="C1217" t="s">
        <v>52</v>
      </c>
      <c r="D1217" t="s">
        <v>6098</v>
      </c>
      <c r="E1217" t="s">
        <v>38</v>
      </c>
      <c r="F1217">
        <v>6</v>
      </c>
      <c r="G1217" t="s">
        <v>18</v>
      </c>
      <c r="H1217" t="s">
        <v>14</v>
      </c>
      <c r="I1217" t="s">
        <v>26</v>
      </c>
    </row>
    <row r="1218" spans="1:9" x14ac:dyDescent="0.45">
      <c r="A1218" t="s">
        <v>6099</v>
      </c>
      <c r="B1218" s="2">
        <v>46228</v>
      </c>
      <c r="C1218" t="s">
        <v>28</v>
      </c>
      <c r="D1218" t="s">
        <v>6100</v>
      </c>
      <c r="E1218" t="s">
        <v>46</v>
      </c>
      <c r="F1218">
        <v>5</v>
      </c>
      <c r="G1218" t="s">
        <v>18</v>
      </c>
      <c r="H1218" t="s">
        <v>14</v>
      </c>
      <c r="I1218" t="s">
        <v>26</v>
      </c>
    </row>
    <row r="1219" spans="1:9" x14ac:dyDescent="0.45">
      <c r="A1219" t="s">
        <v>6101</v>
      </c>
      <c r="B1219" s="2">
        <v>46245</v>
      </c>
      <c r="C1219" t="s">
        <v>28</v>
      </c>
      <c r="D1219" t="s">
        <v>6102</v>
      </c>
      <c r="E1219" t="s">
        <v>7973</v>
      </c>
      <c r="F1219">
        <v>3</v>
      </c>
      <c r="G1219" t="s">
        <v>68</v>
      </c>
      <c r="H1219" t="s">
        <v>25</v>
      </c>
      <c r="I1219" t="s">
        <v>60</v>
      </c>
    </row>
    <row r="1220" spans="1:9" x14ac:dyDescent="0.45">
      <c r="A1220" t="s">
        <v>6103</v>
      </c>
      <c r="B1220" s="2">
        <v>46151</v>
      </c>
      <c r="C1220" t="s">
        <v>49</v>
      </c>
      <c r="D1220" t="s">
        <v>6104</v>
      </c>
      <c r="E1220" t="s">
        <v>7974</v>
      </c>
      <c r="F1220">
        <v>3</v>
      </c>
      <c r="G1220" t="s">
        <v>55</v>
      </c>
      <c r="H1220" t="s">
        <v>72</v>
      </c>
      <c r="I1220" t="s">
        <v>19</v>
      </c>
    </row>
    <row r="1221" spans="1:9" x14ac:dyDescent="0.45">
      <c r="A1221" t="s">
        <v>6105</v>
      </c>
      <c r="B1221" s="2">
        <v>46128</v>
      </c>
      <c r="C1221" t="s">
        <v>49</v>
      </c>
      <c r="D1221" t="s">
        <v>6106</v>
      </c>
      <c r="E1221" t="s">
        <v>75</v>
      </c>
      <c r="F1221">
        <v>10</v>
      </c>
      <c r="G1221" t="s">
        <v>13</v>
      </c>
      <c r="H1221" t="s">
        <v>14</v>
      </c>
      <c r="I1221" t="s">
        <v>26</v>
      </c>
    </row>
    <row r="1222" spans="1:9" x14ac:dyDescent="0.45">
      <c r="A1222" t="s">
        <v>6107</v>
      </c>
      <c r="B1222" s="2">
        <v>46041</v>
      </c>
      <c r="C1222" t="s">
        <v>99</v>
      </c>
      <c r="D1222" t="s">
        <v>6108</v>
      </c>
      <c r="E1222" t="s">
        <v>42</v>
      </c>
      <c r="F1222">
        <v>10</v>
      </c>
      <c r="G1222" t="s">
        <v>68</v>
      </c>
      <c r="H1222" t="s">
        <v>25</v>
      </c>
      <c r="I1222" t="s">
        <v>60</v>
      </c>
    </row>
    <row r="1223" spans="1:9" x14ac:dyDescent="0.45">
      <c r="A1223" t="s">
        <v>6109</v>
      </c>
      <c r="B1223" s="2">
        <v>46177</v>
      </c>
      <c r="C1223" t="s">
        <v>10</v>
      </c>
      <c r="D1223" t="s">
        <v>6110</v>
      </c>
      <c r="E1223" t="s">
        <v>7967</v>
      </c>
      <c r="F1223">
        <v>5</v>
      </c>
      <c r="G1223" t="s">
        <v>55</v>
      </c>
      <c r="H1223" t="s">
        <v>72</v>
      </c>
      <c r="I1223" t="s">
        <v>47</v>
      </c>
    </row>
    <row r="1224" spans="1:9" x14ac:dyDescent="0.45">
      <c r="A1224" t="s">
        <v>6111</v>
      </c>
      <c r="B1224" s="2">
        <v>46097</v>
      </c>
      <c r="C1224" t="s">
        <v>52</v>
      </c>
      <c r="D1224" t="s">
        <v>6112</v>
      </c>
      <c r="E1224" t="s">
        <v>34</v>
      </c>
      <c r="F1224">
        <v>11</v>
      </c>
      <c r="G1224" t="s">
        <v>55</v>
      </c>
      <c r="H1224" t="s">
        <v>72</v>
      </c>
      <c r="I1224" t="s">
        <v>60</v>
      </c>
    </row>
    <row r="1225" spans="1:9" x14ac:dyDescent="0.45">
      <c r="A1225" t="s">
        <v>6113</v>
      </c>
      <c r="B1225" s="2">
        <v>46252</v>
      </c>
      <c r="C1225" t="s">
        <v>49</v>
      </c>
      <c r="D1225" t="s">
        <v>6114</v>
      </c>
      <c r="E1225" t="s">
        <v>42</v>
      </c>
      <c r="F1225">
        <v>10</v>
      </c>
      <c r="G1225" t="s">
        <v>24</v>
      </c>
      <c r="H1225" t="s">
        <v>25</v>
      </c>
      <c r="I1225" t="s">
        <v>31</v>
      </c>
    </row>
    <row r="1226" spans="1:9" x14ac:dyDescent="0.45">
      <c r="A1226" t="s">
        <v>6115</v>
      </c>
      <c r="B1226" s="2">
        <v>46264</v>
      </c>
      <c r="C1226" t="s">
        <v>52</v>
      </c>
      <c r="D1226" t="s">
        <v>6116</v>
      </c>
      <c r="E1226" t="s">
        <v>7974</v>
      </c>
      <c r="F1226">
        <v>4</v>
      </c>
      <c r="G1226" t="s">
        <v>43</v>
      </c>
      <c r="H1226" t="s">
        <v>14</v>
      </c>
      <c r="I1226" t="s">
        <v>26</v>
      </c>
    </row>
    <row r="1227" spans="1:9" x14ac:dyDescent="0.45">
      <c r="A1227" t="s">
        <v>6117</v>
      </c>
      <c r="B1227" s="2">
        <v>46030</v>
      </c>
      <c r="C1227" t="s">
        <v>28</v>
      </c>
      <c r="D1227" t="s">
        <v>6118</v>
      </c>
      <c r="E1227" t="s">
        <v>38</v>
      </c>
      <c r="F1227">
        <v>11</v>
      </c>
      <c r="G1227" t="s">
        <v>55</v>
      </c>
      <c r="H1227" t="s">
        <v>72</v>
      </c>
      <c r="I1227" t="s">
        <v>26</v>
      </c>
    </row>
    <row r="1228" spans="1:9" x14ac:dyDescent="0.45">
      <c r="A1228" t="s">
        <v>6119</v>
      </c>
      <c r="B1228" s="2">
        <v>46186</v>
      </c>
      <c r="C1228" t="s">
        <v>52</v>
      </c>
      <c r="D1228" t="s">
        <v>6120</v>
      </c>
      <c r="E1228" t="s">
        <v>75</v>
      </c>
      <c r="F1228">
        <v>12</v>
      </c>
      <c r="G1228" t="s">
        <v>55</v>
      </c>
      <c r="H1228" t="s">
        <v>72</v>
      </c>
      <c r="I1228" t="s">
        <v>47</v>
      </c>
    </row>
    <row r="1229" spans="1:9" x14ac:dyDescent="0.45">
      <c r="A1229" t="s">
        <v>6121</v>
      </c>
      <c r="B1229" s="2">
        <v>46188</v>
      </c>
      <c r="C1229" t="s">
        <v>49</v>
      </c>
      <c r="D1229" t="s">
        <v>6122</v>
      </c>
      <c r="E1229" t="s">
        <v>54</v>
      </c>
      <c r="F1229">
        <v>8</v>
      </c>
      <c r="G1229" t="s">
        <v>35</v>
      </c>
      <c r="H1229" t="s">
        <v>25</v>
      </c>
      <c r="I1229" t="s">
        <v>19</v>
      </c>
    </row>
    <row r="1230" spans="1:9" x14ac:dyDescent="0.45">
      <c r="A1230" t="s">
        <v>6123</v>
      </c>
      <c r="B1230" s="2">
        <v>46237</v>
      </c>
      <c r="C1230" t="s">
        <v>16</v>
      </c>
      <c r="D1230" t="s">
        <v>6124</v>
      </c>
      <c r="E1230" t="s">
        <v>7973</v>
      </c>
      <c r="F1230">
        <v>9</v>
      </c>
      <c r="G1230" t="s">
        <v>13</v>
      </c>
      <c r="H1230" t="s">
        <v>14</v>
      </c>
      <c r="I1230" t="s">
        <v>26</v>
      </c>
    </row>
    <row r="1231" spans="1:9" x14ac:dyDescent="0.45">
      <c r="A1231" t="s">
        <v>6125</v>
      </c>
      <c r="B1231" s="2">
        <v>46222</v>
      </c>
      <c r="C1231" t="s">
        <v>66</v>
      </c>
      <c r="D1231" t="s">
        <v>6126</v>
      </c>
      <c r="E1231" t="s">
        <v>71</v>
      </c>
      <c r="F1231">
        <v>12</v>
      </c>
      <c r="G1231" t="s">
        <v>18</v>
      </c>
      <c r="H1231" t="s">
        <v>14</v>
      </c>
      <c r="I1231" t="s">
        <v>60</v>
      </c>
    </row>
    <row r="1232" spans="1:9" x14ac:dyDescent="0.45">
      <c r="A1232" t="s">
        <v>6127</v>
      </c>
      <c r="B1232" s="2">
        <v>46259</v>
      </c>
      <c r="C1232" t="s">
        <v>99</v>
      </c>
      <c r="D1232" t="s">
        <v>6128</v>
      </c>
      <c r="E1232" t="s">
        <v>7974</v>
      </c>
      <c r="F1232">
        <v>5</v>
      </c>
      <c r="G1232" t="s">
        <v>24</v>
      </c>
      <c r="H1232" t="s">
        <v>25</v>
      </c>
      <c r="I1232" t="s">
        <v>31</v>
      </c>
    </row>
    <row r="1233" spans="1:9" x14ac:dyDescent="0.45">
      <c r="A1233" t="s">
        <v>6129</v>
      </c>
      <c r="B1233" s="2">
        <v>46132</v>
      </c>
      <c r="C1233" t="s">
        <v>66</v>
      </c>
      <c r="D1233" t="s">
        <v>6130</v>
      </c>
      <c r="E1233" t="s">
        <v>58</v>
      </c>
      <c r="F1233">
        <v>4</v>
      </c>
      <c r="G1233" t="s">
        <v>55</v>
      </c>
      <c r="H1233" t="s">
        <v>72</v>
      </c>
      <c r="I1233" t="s">
        <v>39</v>
      </c>
    </row>
    <row r="1234" spans="1:9" x14ac:dyDescent="0.45">
      <c r="A1234" t="s">
        <v>6131</v>
      </c>
      <c r="B1234" s="2">
        <v>46243</v>
      </c>
      <c r="C1234" t="s">
        <v>10</v>
      </c>
      <c r="D1234" t="s">
        <v>6132</v>
      </c>
      <c r="E1234" t="s">
        <v>7974</v>
      </c>
      <c r="F1234">
        <v>9</v>
      </c>
      <c r="G1234" t="s">
        <v>68</v>
      </c>
      <c r="H1234" t="s">
        <v>25</v>
      </c>
      <c r="I1234" t="s">
        <v>39</v>
      </c>
    </row>
    <row r="1235" spans="1:9" x14ac:dyDescent="0.45">
      <c r="A1235" t="s">
        <v>6133</v>
      </c>
      <c r="B1235" s="2">
        <v>46248</v>
      </c>
      <c r="C1235" t="s">
        <v>16</v>
      </c>
      <c r="D1235" t="s">
        <v>6134</v>
      </c>
      <c r="E1235" t="s">
        <v>7974</v>
      </c>
      <c r="F1235">
        <v>3</v>
      </c>
      <c r="G1235" t="s">
        <v>68</v>
      </c>
      <c r="H1235" t="s">
        <v>25</v>
      </c>
      <c r="I1235" t="s">
        <v>60</v>
      </c>
    </row>
    <row r="1236" spans="1:9" x14ac:dyDescent="0.45">
      <c r="A1236" t="s">
        <v>6135</v>
      </c>
      <c r="B1236" s="2">
        <v>46114</v>
      </c>
      <c r="C1236" t="s">
        <v>66</v>
      </c>
      <c r="D1236" t="s">
        <v>6136</v>
      </c>
      <c r="E1236" t="s">
        <v>7974</v>
      </c>
      <c r="F1236">
        <v>8</v>
      </c>
      <c r="G1236" t="s">
        <v>13</v>
      </c>
      <c r="H1236" t="s">
        <v>14</v>
      </c>
      <c r="I1236" t="s">
        <v>31</v>
      </c>
    </row>
    <row r="1237" spans="1:9" x14ac:dyDescent="0.45">
      <c r="A1237" t="s">
        <v>6137</v>
      </c>
      <c r="B1237" s="2">
        <v>46205</v>
      </c>
      <c r="C1237" t="s">
        <v>52</v>
      </c>
      <c r="D1237" t="s">
        <v>6138</v>
      </c>
      <c r="E1237" t="s">
        <v>23</v>
      </c>
      <c r="F1237">
        <v>2</v>
      </c>
      <c r="G1237" t="s">
        <v>24</v>
      </c>
      <c r="H1237" t="s">
        <v>25</v>
      </c>
      <c r="I1237" t="s">
        <v>31</v>
      </c>
    </row>
    <row r="1238" spans="1:9" x14ac:dyDescent="0.45">
      <c r="A1238" t="s">
        <v>6139</v>
      </c>
      <c r="B1238" s="2">
        <v>46204</v>
      </c>
      <c r="C1238" t="s">
        <v>52</v>
      </c>
      <c r="D1238" t="s">
        <v>6140</v>
      </c>
      <c r="E1238" t="s">
        <v>58</v>
      </c>
      <c r="F1238">
        <v>1</v>
      </c>
      <c r="G1238" t="s">
        <v>68</v>
      </c>
      <c r="H1238" t="s">
        <v>25</v>
      </c>
      <c r="I1238" t="s">
        <v>47</v>
      </c>
    </row>
    <row r="1239" spans="1:9" x14ac:dyDescent="0.45">
      <c r="A1239" t="s">
        <v>6141</v>
      </c>
      <c r="B1239" s="2">
        <v>46239</v>
      </c>
      <c r="C1239" t="s">
        <v>16</v>
      </c>
      <c r="D1239" t="s">
        <v>6142</v>
      </c>
      <c r="E1239" t="s">
        <v>30</v>
      </c>
      <c r="F1239">
        <v>7</v>
      </c>
      <c r="G1239" t="s">
        <v>13</v>
      </c>
      <c r="H1239" t="s">
        <v>14</v>
      </c>
      <c r="I1239" t="s">
        <v>19</v>
      </c>
    </row>
    <row r="1240" spans="1:9" x14ac:dyDescent="0.45">
      <c r="A1240" t="s">
        <v>6143</v>
      </c>
      <c r="B1240" s="2">
        <v>46131</v>
      </c>
      <c r="C1240" t="s">
        <v>16</v>
      </c>
      <c r="D1240" t="s">
        <v>6144</v>
      </c>
      <c r="E1240" t="s">
        <v>7973</v>
      </c>
      <c r="F1240">
        <v>2</v>
      </c>
      <c r="G1240" t="s">
        <v>13</v>
      </c>
      <c r="H1240" t="s">
        <v>14</v>
      </c>
      <c r="I1240" t="s">
        <v>39</v>
      </c>
    </row>
    <row r="1241" spans="1:9" x14ac:dyDescent="0.45">
      <c r="A1241" t="s">
        <v>6145</v>
      </c>
      <c r="B1241" s="2">
        <v>46115</v>
      </c>
      <c r="C1241" t="s">
        <v>28</v>
      </c>
      <c r="D1241" t="s">
        <v>6146</v>
      </c>
      <c r="E1241" t="s">
        <v>30</v>
      </c>
      <c r="F1241">
        <v>12</v>
      </c>
      <c r="G1241" t="s">
        <v>24</v>
      </c>
      <c r="H1241" t="s">
        <v>25</v>
      </c>
      <c r="I1241" t="s">
        <v>26</v>
      </c>
    </row>
    <row r="1242" spans="1:9" x14ac:dyDescent="0.45">
      <c r="A1242" t="s">
        <v>6147</v>
      </c>
      <c r="B1242" s="2">
        <v>46153</v>
      </c>
      <c r="C1242" t="s">
        <v>52</v>
      </c>
      <c r="D1242" t="s">
        <v>6148</v>
      </c>
      <c r="E1242" t="s">
        <v>58</v>
      </c>
      <c r="F1242">
        <v>9</v>
      </c>
      <c r="G1242" t="s">
        <v>18</v>
      </c>
      <c r="H1242" t="s">
        <v>14</v>
      </c>
      <c r="I1242" t="s">
        <v>47</v>
      </c>
    </row>
    <row r="1243" spans="1:9" x14ac:dyDescent="0.45">
      <c r="A1243" t="s">
        <v>6149</v>
      </c>
      <c r="B1243" s="2">
        <v>46157</v>
      </c>
      <c r="C1243" t="s">
        <v>49</v>
      </c>
      <c r="D1243" t="s">
        <v>6150</v>
      </c>
      <c r="E1243" t="s">
        <v>30</v>
      </c>
      <c r="F1243">
        <v>4</v>
      </c>
      <c r="G1243" t="s">
        <v>43</v>
      </c>
      <c r="H1243" t="s">
        <v>14</v>
      </c>
      <c r="I1243" t="s">
        <v>31</v>
      </c>
    </row>
    <row r="1244" spans="1:9" x14ac:dyDescent="0.45">
      <c r="A1244" t="s">
        <v>6151</v>
      </c>
      <c r="B1244" s="2">
        <v>46044</v>
      </c>
      <c r="C1244" t="s">
        <v>49</v>
      </c>
      <c r="D1244" t="s">
        <v>6152</v>
      </c>
      <c r="E1244" t="s">
        <v>75</v>
      </c>
      <c r="F1244">
        <v>1</v>
      </c>
      <c r="G1244" t="s">
        <v>18</v>
      </c>
      <c r="H1244" t="s">
        <v>14</v>
      </c>
      <c r="I1244" t="s">
        <v>26</v>
      </c>
    </row>
    <row r="1245" spans="1:9" x14ac:dyDescent="0.45">
      <c r="A1245" t="s">
        <v>6153</v>
      </c>
      <c r="B1245" s="2">
        <v>46183</v>
      </c>
      <c r="C1245" t="s">
        <v>52</v>
      </c>
      <c r="D1245" t="s">
        <v>6154</v>
      </c>
      <c r="E1245" t="s">
        <v>30</v>
      </c>
      <c r="F1245">
        <v>1</v>
      </c>
      <c r="G1245" t="s">
        <v>35</v>
      </c>
      <c r="H1245" t="s">
        <v>25</v>
      </c>
      <c r="I1245" t="s">
        <v>60</v>
      </c>
    </row>
    <row r="1246" spans="1:9" x14ac:dyDescent="0.45">
      <c r="A1246" t="s">
        <v>6155</v>
      </c>
      <c r="B1246" s="2">
        <v>46141</v>
      </c>
      <c r="C1246" t="s">
        <v>16</v>
      </c>
      <c r="D1246" t="s">
        <v>6156</v>
      </c>
      <c r="E1246" t="s">
        <v>23</v>
      </c>
      <c r="F1246">
        <v>9</v>
      </c>
      <c r="G1246" t="s">
        <v>35</v>
      </c>
      <c r="H1246" t="s">
        <v>25</v>
      </c>
      <c r="I1246" t="s">
        <v>19</v>
      </c>
    </row>
    <row r="1247" spans="1:9" x14ac:dyDescent="0.45">
      <c r="A1247" t="s">
        <v>6157</v>
      </c>
      <c r="B1247" s="2">
        <v>46092</v>
      </c>
      <c r="C1247" t="s">
        <v>49</v>
      </c>
      <c r="D1247" t="s">
        <v>6158</v>
      </c>
      <c r="E1247" t="s">
        <v>7974</v>
      </c>
      <c r="F1247">
        <v>9</v>
      </c>
      <c r="G1247" t="s">
        <v>24</v>
      </c>
      <c r="H1247" t="s">
        <v>25</v>
      </c>
      <c r="I1247" t="s">
        <v>19</v>
      </c>
    </row>
    <row r="1248" spans="1:9" x14ac:dyDescent="0.45">
      <c r="A1248" t="s">
        <v>6159</v>
      </c>
      <c r="B1248" s="2">
        <v>46144</v>
      </c>
      <c r="C1248" t="s">
        <v>99</v>
      </c>
      <c r="D1248" t="s">
        <v>6160</v>
      </c>
      <c r="E1248" t="s">
        <v>46</v>
      </c>
      <c r="F1248">
        <v>7</v>
      </c>
      <c r="G1248" t="s">
        <v>24</v>
      </c>
      <c r="H1248" t="s">
        <v>25</v>
      </c>
      <c r="I1248" t="s">
        <v>31</v>
      </c>
    </row>
    <row r="1249" spans="1:9" x14ac:dyDescent="0.45">
      <c r="A1249" t="s">
        <v>6161</v>
      </c>
      <c r="B1249" s="2">
        <v>46245</v>
      </c>
      <c r="C1249" t="s">
        <v>99</v>
      </c>
      <c r="D1249" t="s">
        <v>6162</v>
      </c>
      <c r="E1249" t="s">
        <v>42</v>
      </c>
      <c r="F1249">
        <v>4</v>
      </c>
      <c r="G1249" t="s">
        <v>13</v>
      </c>
      <c r="H1249" t="s">
        <v>14</v>
      </c>
      <c r="I1249" t="s">
        <v>47</v>
      </c>
    </row>
    <row r="1250" spans="1:9" x14ac:dyDescent="0.45">
      <c r="A1250" t="s">
        <v>6163</v>
      </c>
      <c r="B1250" s="2">
        <v>46209</v>
      </c>
      <c r="C1250" t="s">
        <v>21</v>
      </c>
      <c r="D1250" t="s">
        <v>6164</v>
      </c>
      <c r="E1250" t="s">
        <v>38</v>
      </c>
      <c r="F1250">
        <v>12</v>
      </c>
      <c r="G1250" t="s">
        <v>59</v>
      </c>
      <c r="H1250" t="s">
        <v>14</v>
      </c>
      <c r="I1250" t="s">
        <v>26</v>
      </c>
    </row>
    <row r="1251" spans="1:9" x14ac:dyDescent="0.45">
      <c r="A1251" t="s">
        <v>6165</v>
      </c>
      <c r="B1251" s="2">
        <v>46141</v>
      </c>
      <c r="C1251" t="s">
        <v>66</v>
      </c>
      <c r="D1251" t="s">
        <v>6166</v>
      </c>
      <c r="E1251" t="s">
        <v>42</v>
      </c>
      <c r="F1251">
        <v>7</v>
      </c>
      <c r="G1251" t="s">
        <v>55</v>
      </c>
      <c r="H1251" t="s">
        <v>72</v>
      </c>
      <c r="I1251" t="s">
        <v>60</v>
      </c>
    </row>
    <row r="1252" spans="1:9" x14ac:dyDescent="0.45">
      <c r="A1252" t="s">
        <v>6167</v>
      </c>
      <c r="B1252" s="2">
        <v>46191</v>
      </c>
      <c r="C1252" t="s">
        <v>16</v>
      </c>
      <c r="D1252" t="s">
        <v>6168</v>
      </c>
      <c r="E1252" t="s">
        <v>75</v>
      </c>
      <c r="F1252">
        <v>7</v>
      </c>
      <c r="G1252" t="s">
        <v>55</v>
      </c>
      <c r="H1252" t="s">
        <v>72</v>
      </c>
      <c r="I1252" t="s">
        <v>60</v>
      </c>
    </row>
    <row r="1253" spans="1:9" x14ac:dyDescent="0.45">
      <c r="A1253" t="s">
        <v>6169</v>
      </c>
      <c r="B1253" s="2">
        <v>46061</v>
      </c>
      <c r="C1253" t="s">
        <v>99</v>
      </c>
      <c r="D1253" t="s">
        <v>6170</v>
      </c>
      <c r="E1253" t="s">
        <v>38</v>
      </c>
      <c r="F1253">
        <v>9</v>
      </c>
      <c r="G1253" t="s">
        <v>35</v>
      </c>
      <c r="H1253" t="s">
        <v>25</v>
      </c>
      <c r="I1253" t="s">
        <v>19</v>
      </c>
    </row>
    <row r="1254" spans="1:9" x14ac:dyDescent="0.45">
      <c r="A1254" t="s">
        <v>6171</v>
      </c>
      <c r="B1254" s="2">
        <v>46185</v>
      </c>
      <c r="C1254" t="s">
        <v>66</v>
      </c>
      <c r="D1254" t="s">
        <v>6172</v>
      </c>
      <c r="E1254" t="s">
        <v>866</v>
      </c>
      <c r="F1254">
        <v>2</v>
      </c>
      <c r="G1254" t="s">
        <v>18</v>
      </c>
      <c r="H1254" t="s">
        <v>14</v>
      </c>
      <c r="I1254" t="s">
        <v>19</v>
      </c>
    </row>
    <row r="1255" spans="1:9" x14ac:dyDescent="0.45">
      <c r="A1255" t="s">
        <v>6173</v>
      </c>
      <c r="B1255" s="2">
        <v>46210</v>
      </c>
      <c r="C1255" t="s">
        <v>10</v>
      </c>
      <c r="D1255" t="s">
        <v>6174</v>
      </c>
      <c r="E1255" t="s">
        <v>75</v>
      </c>
      <c r="F1255">
        <v>5</v>
      </c>
      <c r="G1255" t="s">
        <v>18</v>
      </c>
      <c r="H1255" t="s">
        <v>14</v>
      </c>
      <c r="I1255" t="s">
        <v>39</v>
      </c>
    </row>
    <row r="1256" spans="1:9" x14ac:dyDescent="0.45">
      <c r="A1256" t="s">
        <v>6175</v>
      </c>
      <c r="B1256" s="2">
        <v>46061</v>
      </c>
      <c r="C1256" t="s">
        <v>21</v>
      </c>
      <c r="D1256" t="s">
        <v>6176</v>
      </c>
      <c r="E1256" t="s">
        <v>23</v>
      </c>
      <c r="F1256">
        <v>3</v>
      </c>
      <c r="G1256" t="s">
        <v>43</v>
      </c>
      <c r="H1256" t="s">
        <v>14</v>
      </c>
      <c r="I1256" t="s">
        <v>31</v>
      </c>
    </row>
    <row r="1257" spans="1:9" x14ac:dyDescent="0.45">
      <c r="A1257" t="s">
        <v>6177</v>
      </c>
      <c r="B1257" s="2">
        <v>46229</v>
      </c>
      <c r="C1257" t="s">
        <v>21</v>
      </c>
      <c r="D1257" t="s">
        <v>6178</v>
      </c>
      <c r="E1257" t="s">
        <v>7967</v>
      </c>
      <c r="F1257">
        <v>10</v>
      </c>
      <c r="G1257" t="s">
        <v>55</v>
      </c>
      <c r="H1257" t="s">
        <v>72</v>
      </c>
      <c r="I1257" t="s">
        <v>31</v>
      </c>
    </row>
    <row r="1258" spans="1:9" x14ac:dyDescent="0.45">
      <c r="A1258" t="s">
        <v>6179</v>
      </c>
      <c r="B1258" s="2">
        <v>46057</v>
      </c>
      <c r="C1258" t="s">
        <v>66</v>
      </c>
      <c r="D1258" t="s">
        <v>6180</v>
      </c>
      <c r="E1258" t="s">
        <v>7974</v>
      </c>
      <c r="F1258">
        <v>3</v>
      </c>
      <c r="G1258" t="s">
        <v>59</v>
      </c>
      <c r="H1258" t="s">
        <v>14</v>
      </c>
      <c r="I1258" t="s">
        <v>39</v>
      </c>
    </row>
    <row r="1259" spans="1:9" x14ac:dyDescent="0.45">
      <c r="A1259" t="s">
        <v>6181</v>
      </c>
      <c r="B1259" s="2">
        <v>46076</v>
      </c>
      <c r="C1259" t="s">
        <v>99</v>
      </c>
      <c r="D1259" t="s">
        <v>6182</v>
      </c>
      <c r="E1259" t="s">
        <v>75</v>
      </c>
      <c r="F1259">
        <v>10</v>
      </c>
      <c r="G1259" t="s">
        <v>55</v>
      </c>
      <c r="H1259" t="s">
        <v>72</v>
      </c>
      <c r="I1259" t="s">
        <v>19</v>
      </c>
    </row>
    <row r="1260" spans="1:9" x14ac:dyDescent="0.45">
      <c r="A1260" t="s">
        <v>6183</v>
      </c>
      <c r="B1260" s="2">
        <v>46159</v>
      </c>
      <c r="C1260" t="s">
        <v>66</v>
      </c>
      <c r="D1260" t="s">
        <v>6184</v>
      </c>
      <c r="E1260" t="s">
        <v>58</v>
      </c>
      <c r="F1260">
        <v>7</v>
      </c>
      <c r="G1260" t="s">
        <v>55</v>
      </c>
      <c r="H1260" t="s">
        <v>72</v>
      </c>
      <c r="I1260" t="s">
        <v>60</v>
      </c>
    </row>
    <row r="1261" spans="1:9" x14ac:dyDescent="0.45">
      <c r="A1261" t="s">
        <v>6185</v>
      </c>
      <c r="B1261" s="2">
        <v>46168</v>
      </c>
      <c r="C1261" t="s">
        <v>28</v>
      </c>
      <c r="D1261" t="s">
        <v>6186</v>
      </c>
      <c r="E1261" t="s">
        <v>75</v>
      </c>
      <c r="F1261">
        <v>6</v>
      </c>
      <c r="G1261" t="s">
        <v>18</v>
      </c>
      <c r="H1261" t="s">
        <v>14</v>
      </c>
      <c r="I1261" t="s">
        <v>31</v>
      </c>
    </row>
    <row r="1262" spans="1:9" x14ac:dyDescent="0.45">
      <c r="A1262" t="s">
        <v>6187</v>
      </c>
      <c r="B1262" s="2">
        <v>46128</v>
      </c>
      <c r="C1262" t="s">
        <v>16</v>
      </c>
      <c r="D1262" t="s">
        <v>6188</v>
      </c>
      <c r="E1262" t="s">
        <v>7974</v>
      </c>
      <c r="F1262">
        <v>5</v>
      </c>
      <c r="G1262" t="s">
        <v>24</v>
      </c>
      <c r="H1262" t="s">
        <v>25</v>
      </c>
      <c r="I1262" t="s">
        <v>19</v>
      </c>
    </row>
    <row r="1263" spans="1:9" x14ac:dyDescent="0.45">
      <c r="A1263" t="s">
        <v>6189</v>
      </c>
      <c r="B1263" s="2">
        <v>46124</v>
      </c>
      <c r="C1263" t="s">
        <v>16</v>
      </c>
      <c r="D1263" t="s">
        <v>6190</v>
      </c>
      <c r="E1263" t="s">
        <v>58</v>
      </c>
      <c r="F1263">
        <v>3</v>
      </c>
      <c r="G1263" t="s">
        <v>68</v>
      </c>
      <c r="H1263" t="s">
        <v>25</v>
      </c>
      <c r="I1263" t="s">
        <v>39</v>
      </c>
    </row>
    <row r="1264" spans="1:9" x14ac:dyDescent="0.45">
      <c r="A1264" t="s">
        <v>6191</v>
      </c>
      <c r="B1264" s="2">
        <v>46251</v>
      </c>
      <c r="C1264" t="s">
        <v>52</v>
      </c>
      <c r="D1264" t="s">
        <v>6192</v>
      </c>
      <c r="E1264" t="s">
        <v>58</v>
      </c>
      <c r="F1264">
        <v>1</v>
      </c>
      <c r="G1264" t="s">
        <v>24</v>
      </c>
      <c r="H1264" t="s">
        <v>25</v>
      </c>
      <c r="I1264" t="s">
        <v>60</v>
      </c>
    </row>
    <row r="1265" spans="1:9" x14ac:dyDescent="0.45">
      <c r="A1265" t="s">
        <v>6193</v>
      </c>
      <c r="B1265" s="2">
        <v>46146</v>
      </c>
      <c r="C1265" t="s">
        <v>49</v>
      </c>
      <c r="D1265" t="s">
        <v>6194</v>
      </c>
      <c r="E1265" t="s">
        <v>7974</v>
      </c>
      <c r="F1265">
        <v>5</v>
      </c>
      <c r="G1265" t="s">
        <v>18</v>
      </c>
      <c r="H1265" t="s">
        <v>14</v>
      </c>
      <c r="I1265" t="s">
        <v>19</v>
      </c>
    </row>
    <row r="1266" spans="1:9" x14ac:dyDescent="0.45">
      <c r="A1266" t="s">
        <v>6195</v>
      </c>
      <c r="B1266" s="2">
        <v>46049</v>
      </c>
      <c r="C1266" t="s">
        <v>10</v>
      </c>
      <c r="D1266" t="s">
        <v>6196</v>
      </c>
      <c r="E1266" t="s">
        <v>34</v>
      </c>
      <c r="F1266">
        <v>7</v>
      </c>
      <c r="G1266" t="s">
        <v>55</v>
      </c>
      <c r="H1266" t="s">
        <v>72</v>
      </c>
      <c r="I1266" t="s">
        <v>19</v>
      </c>
    </row>
    <row r="1267" spans="1:9" x14ac:dyDescent="0.45">
      <c r="A1267" t="s">
        <v>6197</v>
      </c>
      <c r="B1267" s="2">
        <v>46197</v>
      </c>
      <c r="C1267" t="s">
        <v>16</v>
      </c>
      <c r="D1267" t="s">
        <v>6198</v>
      </c>
      <c r="E1267" t="s">
        <v>38</v>
      </c>
      <c r="F1267">
        <v>9</v>
      </c>
      <c r="G1267" t="s">
        <v>43</v>
      </c>
      <c r="H1267" t="s">
        <v>14</v>
      </c>
      <c r="I1267" t="s">
        <v>60</v>
      </c>
    </row>
    <row r="1268" spans="1:9" x14ac:dyDescent="0.45">
      <c r="A1268" t="s">
        <v>6199</v>
      </c>
      <c r="B1268" s="2">
        <v>46193</v>
      </c>
      <c r="C1268" t="s">
        <v>49</v>
      </c>
      <c r="D1268" t="s">
        <v>6200</v>
      </c>
      <c r="E1268" t="s">
        <v>38</v>
      </c>
      <c r="F1268">
        <v>7</v>
      </c>
      <c r="G1268" t="s">
        <v>43</v>
      </c>
      <c r="H1268" t="s">
        <v>14</v>
      </c>
      <c r="I1268" t="s">
        <v>47</v>
      </c>
    </row>
    <row r="1269" spans="1:9" x14ac:dyDescent="0.45">
      <c r="A1269" t="s">
        <v>6201</v>
      </c>
      <c r="B1269" s="2">
        <v>46027</v>
      </c>
      <c r="C1269" t="s">
        <v>10</v>
      </c>
      <c r="D1269" t="s">
        <v>6202</v>
      </c>
      <c r="E1269" t="s">
        <v>54</v>
      </c>
      <c r="F1269">
        <v>10</v>
      </c>
      <c r="G1269" t="s">
        <v>24</v>
      </c>
      <c r="H1269" t="s">
        <v>25</v>
      </c>
      <c r="I1269" t="s">
        <v>60</v>
      </c>
    </row>
    <row r="1270" spans="1:9" x14ac:dyDescent="0.45">
      <c r="A1270" t="s">
        <v>6203</v>
      </c>
      <c r="B1270" s="2">
        <v>46068</v>
      </c>
      <c r="C1270" t="s">
        <v>49</v>
      </c>
      <c r="D1270" t="s">
        <v>6204</v>
      </c>
      <c r="E1270" t="s">
        <v>34</v>
      </c>
      <c r="F1270">
        <v>11</v>
      </c>
      <c r="G1270" t="s">
        <v>68</v>
      </c>
      <c r="H1270" t="s">
        <v>25</v>
      </c>
      <c r="I1270" t="s">
        <v>60</v>
      </c>
    </row>
    <row r="1271" spans="1:9" x14ac:dyDescent="0.45">
      <c r="A1271" t="s">
        <v>6205</v>
      </c>
      <c r="B1271" s="2">
        <v>46046</v>
      </c>
      <c r="C1271" t="s">
        <v>16</v>
      </c>
      <c r="D1271" t="s">
        <v>6206</v>
      </c>
      <c r="E1271" t="s">
        <v>7967</v>
      </c>
      <c r="F1271">
        <v>5</v>
      </c>
      <c r="G1271" t="s">
        <v>35</v>
      </c>
      <c r="H1271" t="s">
        <v>25</v>
      </c>
      <c r="I1271" t="s">
        <v>47</v>
      </c>
    </row>
    <row r="1272" spans="1:9" x14ac:dyDescent="0.45">
      <c r="A1272" t="s">
        <v>6207</v>
      </c>
      <c r="B1272" s="2">
        <v>46189</v>
      </c>
      <c r="C1272" t="s">
        <v>66</v>
      </c>
      <c r="D1272" t="s">
        <v>6208</v>
      </c>
      <c r="E1272" t="s">
        <v>23</v>
      </c>
      <c r="F1272">
        <v>8</v>
      </c>
      <c r="G1272" t="s">
        <v>68</v>
      </c>
      <c r="H1272" t="s">
        <v>25</v>
      </c>
      <c r="I1272" t="s">
        <v>31</v>
      </c>
    </row>
    <row r="1273" spans="1:9" x14ac:dyDescent="0.45">
      <c r="A1273" t="s">
        <v>6209</v>
      </c>
      <c r="B1273" s="2">
        <v>46154</v>
      </c>
      <c r="C1273" t="s">
        <v>99</v>
      </c>
      <c r="D1273" t="s">
        <v>6210</v>
      </c>
      <c r="E1273" t="s">
        <v>75</v>
      </c>
      <c r="F1273">
        <v>2</v>
      </c>
      <c r="G1273" t="s">
        <v>35</v>
      </c>
      <c r="H1273" t="s">
        <v>25</v>
      </c>
      <c r="I1273" t="s">
        <v>26</v>
      </c>
    </row>
    <row r="1274" spans="1:9" x14ac:dyDescent="0.45">
      <c r="A1274" t="s">
        <v>6211</v>
      </c>
      <c r="B1274" s="2">
        <v>46040</v>
      </c>
      <c r="C1274" t="s">
        <v>49</v>
      </c>
      <c r="D1274" t="s">
        <v>6212</v>
      </c>
      <c r="E1274" t="s">
        <v>42</v>
      </c>
      <c r="F1274">
        <v>4</v>
      </c>
      <c r="G1274" t="s">
        <v>68</v>
      </c>
      <c r="H1274" t="s">
        <v>25</v>
      </c>
      <c r="I1274" t="s">
        <v>39</v>
      </c>
    </row>
    <row r="1275" spans="1:9" x14ac:dyDescent="0.45">
      <c r="A1275" t="s">
        <v>6213</v>
      </c>
      <c r="B1275" s="2">
        <v>46144</v>
      </c>
      <c r="C1275" t="s">
        <v>28</v>
      </c>
      <c r="D1275" t="s">
        <v>6214</v>
      </c>
      <c r="E1275" t="s">
        <v>58</v>
      </c>
      <c r="F1275">
        <v>4</v>
      </c>
      <c r="G1275" t="s">
        <v>18</v>
      </c>
      <c r="H1275" t="s">
        <v>14</v>
      </c>
      <c r="I1275" t="s">
        <v>47</v>
      </c>
    </row>
    <row r="1276" spans="1:9" x14ac:dyDescent="0.45">
      <c r="A1276" t="s">
        <v>6215</v>
      </c>
      <c r="B1276" s="2">
        <v>46192</v>
      </c>
      <c r="C1276" t="s">
        <v>28</v>
      </c>
      <c r="D1276" t="s">
        <v>6216</v>
      </c>
      <c r="E1276" t="s">
        <v>34</v>
      </c>
      <c r="F1276">
        <v>8</v>
      </c>
      <c r="G1276" t="s">
        <v>35</v>
      </c>
      <c r="H1276" t="s">
        <v>25</v>
      </c>
      <c r="I1276" t="s">
        <v>26</v>
      </c>
    </row>
    <row r="1277" spans="1:9" x14ac:dyDescent="0.45">
      <c r="A1277" t="s">
        <v>6217</v>
      </c>
      <c r="B1277" s="2">
        <v>46206</v>
      </c>
      <c r="C1277" t="s">
        <v>16</v>
      </c>
      <c r="D1277" t="s">
        <v>6218</v>
      </c>
      <c r="E1277" t="s">
        <v>34</v>
      </c>
      <c r="F1277">
        <v>9</v>
      </c>
      <c r="G1277" t="s">
        <v>59</v>
      </c>
      <c r="H1277" t="s">
        <v>14</v>
      </c>
      <c r="I1277" t="s">
        <v>31</v>
      </c>
    </row>
    <row r="1278" spans="1:9" x14ac:dyDescent="0.45">
      <c r="A1278" t="s">
        <v>6219</v>
      </c>
      <c r="B1278" s="2">
        <v>46160</v>
      </c>
      <c r="C1278" t="s">
        <v>28</v>
      </c>
      <c r="D1278" t="s">
        <v>6220</v>
      </c>
      <c r="E1278" t="s">
        <v>54</v>
      </c>
      <c r="F1278">
        <v>8</v>
      </c>
      <c r="G1278" t="s">
        <v>59</v>
      </c>
      <c r="H1278" t="s">
        <v>14</v>
      </c>
      <c r="I1278" t="s">
        <v>47</v>
      </c>
    </row>
    <row r="1279" spans="1:9" x14ac:dyDescent="0.45">
      <c r="A1279" t="s">
        <v>6221</v>
      </c>
      <c r="B1279" s="2">
        <v>46082</v>
      </c>
      <c r="C1279" t="s">
        <v>66</v>
      </c>
      <c r="D1279" t="s">
        <v>6222</v>
      </c>
      <c r="E1279" t="s">
        <v>23</v>
      </c>
      <c r="F1279">
        <v>8</v>
      </c>
      <c r="G1279" t="s">
        <v>68</v>
      </c>
      <c r="H1279" t="s">
        <v>25</v>
      </c>
      <c r="I1279" t="s">
        <v>47</v>
      </c>
    </row>
    <row r="1280" spans="1:9" x14ac:dyDescent="0.45">
      <c r="A1280" t="s">
        <v>6223</v>
      </c>
      <c r="B1280" s="2">
        <v>46096</v>
      </c>
      <c r="C1280" t="s">
        <v>16</v>
      </c>
      <c r="D1280" t="s">
        <v>6224</v>
      </c>
      <c r="E1280" t="s">
        <v>71</v>
      </c>
      <c r="F1280">
        <v>5</v>
      </c>
      <c r="G1280" t="s">
        <v>35</v>
      </c>
      <c r="H1280" t="s">
        <v>25</v>
      </c>
      <c r="I1280" t="s">
        <v>19</v>
      </c>
    </row>
    <row r="1281" spans="1:9" x14ac:dyDescent="0.45">
      <c r="A1281" t="s">
        <v>6225</v>
      </c>
      <c r="B1281" s="2">
        <v>46256</v>
      </c>
      <c r="C1281" t="s">
        <v>49</v>
      </c>
      <c r="D1281" t="s">
        <v>6226</v>
      </c>
      <c r="E1281" t="s">
        <v>58</v>
      </c>
      <c r="F1281">
        <v>4</v>
      </c>
      <c r="G1281" t="s">
        <v>18</v>
      </c>
      <c r="H1281" t="s">
        <v>14</v>
      </c>
      <c r="I1281" t="s">
        <v>47</v>
      </c>
    </row>
    <row r="1282" spans="1:9" x14ac:dyDescent="0.45">
      <c r="A1282" t="s">
        <v>6227</v>
      </c>
      <c r="B1282" s="2">
        <v>46057</v>
      </c>
      <c r="C1282" t="s">
        <v>10</v>
      </c>
      <c r="D1282" t="s">
        <v>6228</v>
      </c>
      <c r="E1282" t="s">
        <v>42</v>
      </c>
      <c r="F1282">
        <v>3</v>
      </c>
      <c r="G1282" t="s">
        <v>13</v>
      </c>
      <c r="H1282" t="s">
        <v>14</v>
      </c>
      <c r="I1282" t="s">
        <v>26</v>
      </c>
    </row>
    <row r="1283" spans="1:9" x14ac:dyDescent="0.45">
      <c r="A1283" t="s">
        <v>6229</v>
      </c>
      <c r="B1283" s="2">
        <v>46168</v>
      </c>
      <c r="C1283" t="s">
        <v>52</v>
      </c>
      <c r="D1283" t="s">
        <v>6230</v>
      </c>
      <c r="E1283" t="s">
        <v>7973</v>
      </c>
      <c r="F1283">
        <v>3</v>
      </c>
      <c r="G1283" t="s">
        <v>18</v>
      </c>
      <c r="H1283" t="s">
        <v>14</v>
      </c>
      <c r="I1283" t="s">
        <v>31</v>
      </c>
    </row>
    <row r="1284" spans="1:9" x14ac:dyDescent="0.45">
      <c r="A1284" t="s">
        <v>6231</v>
      </c>
      <c r="B1284" s="2">
        <v>46227</v>
      </c>
      <c r="C1284" t="s">
        <v>16</v>
      </c>
      <c r="D1284" t="s">
        <v>6232</v>
      </c>
      <c r="E1284" t="s">
        <v>7974</v>
      </c>
      <c r="F1284">
        <v>1</v>
      </c>
      <c r="G1284" t="s">
        <v>59</v>
      </c>
      <c r="H1284" t="s">
        <v>14</v>
      </c>
      <c r="I1284" t="s">
        <v>39</v>
      </c>
    </row>
    <row r="1285" spans="1:9" x14ac:dyDescent="0.45">
      <c r="A1285" t="s">
        <v>6233</v>
      </c>
      <c r="B1285" s="2">
        <v>46207</v>
      </c>
      <c r="C1285" t="s">
        <v>49</v>
      </c>
      <c r="D1285" t="s">
        <v>6234</v>
      </c>
      <c r="E1285" t="s">
        <v>42</v>
      </c>
      <c r="F1285">
        <v>6</v>
      </c>
      <c r="G1285" t="s">
        <v>43</v>
      </c>
      <c r="H1285" t="s">
        <v>14</v>
      </c>
      <c r="I1285" t="s">
        <v>26</v>
      </c>
    </row>
    <row r="1286" spans="1:9" x14ac:dyDescent="0.45">
      <c r="A1286" t="s">
        <v>6235</v>
      </c>
      <c r="B1286" s="2">
        <v>46260</v>
      </c>
      <c r="C1286" t="s">
        <v>28</v>
      </c>
      <c r="D1286" t="s">
        <v>6236</v>
      </c>
      <c r="E1286" t="s">
        <v>46</v>
      </c>
      <c r="F1286">
        <v>9</v>
      </c>
      <c r="G1286" t="s">
        <v>24</v>
      </c>
      <c r="H1286" t="s">
        <v>25</v>
      </c>
      <c r="I1286" t="s">
        <v>31</v>
      </c>
    </row>
    <row r="1287" spans="1:9" x14ac:dyDescent="0.45">
      <c r="A1287" t="s">
        <v>6237</v>
      </c>
      <c r="B1287" s="2">
        <v>46112</v>
      </c>
      <c r="C1287" t="s">
        <v>52</v>
      </c>
      <c r="D1287" t="s">
        <v>6238</v>
      </c>
      <c r="E1287" t="s">
        <v>7974</v>
      </c>
      <c r="F1287">
        <v>10</v>
      </c>
      <c r="G1287" t="s">
        <v>55</v>
      </c>
      <c r="H1287" t="s">
        <v>72</v>
      </c>
      <c r="I1287" t="s">
        <v>39</v>
      </c>
    </row>
    <row r="1288" spans="1:9" x14ac:dyDescent="0.45">
      <c r="A1288" t="s">
        <v>6239</v>
      </c>
      <c r="B1288" s="2">
        <v>46163</v>
      </c>
      <c r="C1288" t="s">
        <v>16</v>
      </c>
      <c r="D1288" t="s">
        <v>6240</v>
      </c>
      <c r="E1288" t="s">
        <v>46</v>
      </c>
      <c r="F1288">
        <v>9</v>
      </c>
      <c r="G1288" t="s">
        <v>59</v>
      </c>
      <c r="H1288" t="s">
        <v>14</v>
      </c>
      <c r="I1288" t="s">
        <v>39</v>
      </c>
    </row>
    <row r="1289" spans="1:9" x14ac:dyDescent="0.45">
      <c r="A1289" t="s">
        <v>6241</v>
      </c>
      <c r="B1289" s="2">
        <v>46096</v>
      </c>
      <c r="C1289" t="s">
        <v>99</v>
      </c>
      <c r="D1289" t="s">
        <v>6242</v>
      </c>
      <c r="E1289" t="s">
        <v>75</v>
      </c>
      <c r="F1289">
        <v>4</v>
      </c>
      <c r="G1289" t="s">
        <v>59</v>
      </c>
      <c r="H1289" t="s">
        <v>14</v>
      </c>
      <c r="I1289" t="s">
        <v>47</v>
      </c>
    </row>
    <row r="1290" spans="1:9" x14ac:dyDescent="0.45">
      <c r="A1290" t="s">
        <v>6243</v>
      </c>
      <c r="B1290" s="2">
        <v>46265</v>
      </c>
      <c r="C1290" t="s">
        <v>21</v>
      </c>
      <c r="D1290" t="s">
        <v>6244</v>
      </c>
      <c r="E1290" t="s">
        <v>34</v>
      </c>
      <c r="F1290">
        <v>10</v>
      </c>
      <c r="G1290" t="s">
        <v>35</v>
      </c>
      <c r="H1290" t="s">
        <v>25</v>
      </c>
      <c r="I1290" t="s">
        <v>31</v>
      </c>
    </row>
    <row r="1291" spans="1:9" x14ac:dyDescent="0.45">
      <c r="A1291" t="s">
        <v>6245</v>
      </c>
      <c r="B1291" s="2">
        <v>46253</v>
      </c>
      <c r="C1291" t="s">
        <v>66</v>
      </c>
      <c r="D1291" t="s">
        <v>6246</v>
      </c>
      <c r="E1291" t="s">
        <v>7974</v>
      </c>
      <c r="F1291">
        <v>8</v>
      </c>
      <c r="G1291" t="s">
        <v>24</v>
      </c>
      <c r="H1291" t="s">
        <v>25</v>
      </c>
      <c r="I1291" t="s">
        <v>39</v>
      </c>
    </row>
    <row r="1292" spans="1:9" x14ac:dyDescent="0.45">
      <c r="A1292" t="s">
        <v>6247</v>
      </c>
      <c r="B1292" s="2">
        <v>46158</v>
      </c>
      <c r="C1292" t="s">
        <v>16</v>
      </c>
      <c r="D1292" t="s">
        <v>6248</v>
      </c>
      <c r="E1292" t="s">
        <v>58</v>
      </c>
      <c r="F1292">
        <v>9</v>
      </c>
      <c r="G1292" t="s">
        <v>68</v>
      </c>
      <c r="H1292" t="s">
        <v>25</v>
      </c>
      <c r="I1292" t="s">
        <v>39</v>
      </c>
    </row>
    <row r="1293" spans="1:9" x14ac:dyDescent="0.45">
      <c r="A1293" t="s">
        <v>6249</v>
      </c>
      <c r="B1293" s="2">
        <v>46047</v>
      </c>
      <c r="C1293" t="s">
        <v>28</v>
      </c>
      <c r="D1293" t="s">
        <v>6250</v>
      </c>
      <c r="E1293" t="s">
        <v>54</v>
      </c>
      <c r="F1293">
        <v>2</v>
      </c>
      <c r="G1293" t="s">
        <v>55</v>
      </c>
      <c r="H1293" t="s">
        <v>72</v>
      </c>
      <c r="I1293" t="s">
        <v>19</v>
      </c>
    </row>
    <row r="1294" spans="1:9" x14ac:dyDescent="0.45">
      <c r="A1294" t="s">
        <v>6251</v>
      </c>
      <c r="B1294" s="2">
        <v>46089</v>
      </c>
      <c r="C1294" t="s">
        <v>28</v>
      </c>
      <c r="D1294" t="s">
        <v>6252</v>
      </c>
      <c r="E1294" t="s">
        <v>7973</v>
      </c>
      <c r="F1294">
        <v>3</v>
      </c>
      <c r="G1294" t="s">
        <v>13</v>
      </c>
      <c r="H1294" t="s">
        <v>14</v>
      </c>
      <c r="I1294" t="s">
        <v>19</v>
      </c>
    </row>
    <row r="1295" spans="1:9" x14ac:dyDescent="0.45">
      <c r="A1295" t="s">
        <v>6253</v>
      </c>
      <c r="B1295" s="2">
        <v>46226</v>
      </c>
      <c r="C1295" t="s">
        <v>16</v>
      </c>
      <c r="D1295" t="s">
        <v>6254</v>
      </c>
      <c r="E1295" t="s">
        <v>42</v>
      </c>
      <c r="F1295">
        <v>6</v>
      </c>
      <c r="G1295" t="s">
        <v>18</v>
      </c>
      <c r="H1295" t="s">
        <v>14</v>
      </c>
      <c r="I1295" t="s">
        <v>19</v>
      </c>
    </row>
    <row r="1296" spans="1:9" x14ac:dyDescent="0.45">
      <c r="A1296" t="s">
        <v>6255</v>
      </c>
      <c r="B1296" s="2">
        <v>46215</v>
      </c>
      <c r="C1296" t="s">
        <v>66</v>
      </c>
      <c r="D1296" t="s">
        <v>6256</v>
      </c>
      <c r="E1296" t="s">
        <v>54</v>
      </c>
      <c r="F1296">
        <v>4</v>
      </c>
      <c r="G1296" t="s">
        <v>35</v>
      </c>
      <c r="H1296" t="s">
        <v>25</v>
      </c>
      <c r="I1296" t="s">
        <v>19</v>
      </c>
    </row>
    <row r="1297" spans="1:9" x14ac:dyDescent="0.45">
      <c r="A1297" t="s">
        <v>6257</v>
      </c>
      <c r="B1297" s="2">
        <v>46088</v>
      </c>
      <c r="C1297" t="s">
        <v>49</v>
      </c>
      <c r="D1297" t="s">
        <v>6258</v>
      </c>
      <c r="E1297" t="s">
        <v>7974</v>
      </c>
      <c r="F1297">
        <v>9</v>
      </c>
      <c r="G1297" t="s">
        <v>68</v>
      </c>
      <c r="H1297" t="s">
        <v>25</v>
      </c>
      <c r="I1297" t="s">
        <v>31</v>
      </c>
    </row>
    <row r="1298" spans="1:9" x14ac:dyDescent="0.45">
      <c r="A1298" t="s">
        <v>6259</v>
      </c>
      <c r="B1298" s="2">
        <v>46211</v>
      </c>
      <c r="C1298" t="s">
        <v>16</v>
      </c>
      <c r="D1298" t="s">
        <v>6260</v>
      </c>
      <c r="E1298" t="s">
        <v>54</v>
      </c>
      <c r="F1298">
        <v>11</v>
      </c>
      <c r="G1298" t="s">
        <v>43</v>
      </c>
      <c r="H1298" t="s">
        <v>14</v>
      </c>
      <c r="I1298" t="s">
        <v>39</v>
      </c>
    </row>
    <row r="1299" spans="1:9" x14ac:dyDescent="0.45">
      <c r="A1299" t="s">
        <v>6261</v>
      </c>
      <c r="B1299" s="2">
        <v>46084</v>
      </c>
      <c r="C1299" t="s">
        <v>21</v>
      </c>
      <c r="D1299" t="s">
        <v>6262</v>
      </c>
      <c r="E1299" t="s">
        <v>7974</v>
      </c>
      <c r="F1299">
        <v>1</v>
      </c>
      <c r="G1299" t="s">
        <v>35</v>
      </c>
      <c r="H1299" t="s">
        <v>25</v>
      </c>
      <c r="I1299" t="s">
        <v>26</v>
      </c>
    </row>
    <row r="1300" spans="1:9" x14ac:dyDescent="0.45">
      <c r="A1300" t="s">
        <v>6263</v>
      </c>
      <c r="B1300" s="2">
        <v>46260</v>
      </c>
      <c r="C1300" t="s">
        <v>52</v>
      </c>
      <c r="D1300" t="s">
        <v>6264</v>
      </c>
      <c r="E1300" t="s">
        <v>54</v>
      </c>
      <c r="F1300">
        <v>12</v>
      </c>
      <c r="G1300" t="s">
        <v>43</v>
      </c>
      <c r="H1300" t="s">
        <v>14</v>
      </c>
      <c r="I1300" t="s">
        <v>47</v>
      </c>
    </row>
    <row r="1301" spans="1:9" x14ac:dyDescent="0.45">
      <c r="A1301" t="s">
        <v>6265</v>
      </c>
      <c r="B1301" s="2">
        <v>46087</v>
      </c>
      <c r="C1301" t="s">
        <v>16</v>
      </c>
      <c r="D1301" t="s">
        <v>6266</v>
      </c>
      <c r="E1301" t="s">
        <v>23</v>
      </c>
      <c r="F1301">
        <v>8</v>
      </c>
      <c r="G1301" t="s">
        <v>59</v>
      </c>
      <c r="H1301" t="s">
        <v>14</v>
      </c>
      <c r="I1301" t="s">
        <v>19</v>
      </c>
    </row>
    <row r="1302" spans="1:9" x14ac:dyDescent="0.45">
      <c r="A1302" t="s">
        <v>6267</v>
      </c>
      <c r="B1302" s="2">
        <v>46116</v>
      </c>
      <c r="C1302" t="s">
        <v>52</v>
      </c>
      <c r="D1302" t="s">
        <v>6268</v>
      </c>
      <c r="E1302" t="s">
        <v>7967</v>
      </c>
      <c r="F1302">
        <v>9</v>
      </c>
      <c r="G1302" t="s">
        <v>24</v>
      </c>
      <c r="H1302" t="s">
        <v>25</v>
      </c>
      <c r="I1302" t="s">
        <v>26</v>
      </c>
    </row>
    <row r="1303" spans="1:9" x14ac:dyDescent="0.45">
      <c r="A1303" t="s">
        <v>6269</v>
      </c>
      <c r="B1303" s="2">
        <v>46181</v>
      </c>
      <c r="C1303" t="s">
        <v>49</v>
      </c>
      <c r="D1303" t="s">
        <v>6270</v>
      </c>
      <c r="E1303" t="s">
        <v>38</v>
      </c>
      <c r="F1303">
        <v>2</v>
      </c>
      <c r="G1303" t="s">
        <v>68</v>
      </c>
      <c r="H1303" t="s">
        <v>25</v>
      </c>
      <c r="I1303" t="s">
        <v>39</v>
      </c>
    </row>
    <row r="1304" spans="1:9" x14ac:dyDescent="0.45">
      <c r="A1304" t="s">
        <v>6271</v>
      </c>
      <c r="B1304" s="2">
        <v>46268</v>
      </c>
      <c r="C1304" t="s">
        <v>16</v>
      </c>
      <c r="D1304" t="s">
        <v>6272</v>
      </c>
      <c r="E1304" t="s">
        <v>54</v>
      </c>
      <c r="F1304">
        <v>4</v>
      </c>
      <c r="G1304" t="s">
        <v>18</v>
      </c>
      <c r="H1304" t="s">
        <v>14</v>
      </c>
      <c r="I1304" t="s">
        <v>26</v>
      </c>
    </row>
    <row r="1305" spans="1:9" x14ac:dyDescent="0.45">
      <c r="A1305" t="s">
        <v>6273</v>
      </c>
      <c r="B1305" s="2">
        <v>46090</v>
      </c>
      <c r="C1305" t="s">
        <v>66</v>
      </c>
      <c r="D1305" t="s">
        <v>6274</v>
      </c>
      <c r="E1305" t="s">
        <v>2306</v>
      </c>
      <c r="F1305">
        <v>6</v>
      </c>
      <c r="G1305" t="s">
        <v>55</v>
      </c>
      <c r="H1305" t="s">
        <v>72</v>
      </c>
      <c r="I1305" t="s">
        <v>39</v>
      </c>
    </row>
    <row r="1306" spans="1:9" x14ac:dyDescent="0.45">
      <c r="A1306" t="s">
        <v>6275</v>
      </c>
      <c r="B1306" s="2">
        <v>46138</v>
      </c>
      <c r="C1306" t="s">
        <v>10</v>
      </c>
      <c r="D1306" t="s">
        <v>6276</v>
      </c>
      <c r="E1306" t="s">
        <v>38</v>
      </c>
      <c r="F1306">
        <v>6</v>
      </c>
      <c r="G1306" t="s">
        <v>35</v>
      </c>
      <c r="H1306" t="s">
        <v>25</v>
      </c>
      <c r="I1306" t="s">
        <v>26</v>
      </c>
    </row>
    <row r="1307" spans="1:9" x14ac:dyDescent="0.45">
      <c r="A1307" t="s">
        <v>6277</v>
      </c>
      <c r="B1307" s="2">
        <v>46080</v>
      </c>
      <c r="C1307" t="s">
        <v>49</v>
      </c>
      <c r="D1307" t="s">
        <v>6278</v>
      </c>
      <c r="E1307" t="s">
        <v>71</v>
      </c>
      <c r="F1307">
        <v>9</v>
      </c>
      <c r="G1307" t="s">
        <v>59</v>
      </c>
      <c r="H1307" t="s">
        <v>14</v>
      </c>
      <c r="I1307" t="s">
        <v>26</v>
      </c>
    </row>
    <row r="1308" spans="1:9" x14ac:dyDescent="0.45">
      <c r="A1308" t="s">
        <v>6279</v>
      </c>
      <c r="B1308" s="2">
        <v>46078</v>
      </c>
      <c r="C1308" t="s">
        <v>49</v>
      </c>
      <c r="D1308" t="s">
        <v>6280</v>
      </c>
      <c r="E1308" t="s">
        <v>75</v>
      </c>
      <c r="F1308">
        <v>9</v>
      </c>
      <c r="G1308" t="s">
        <v>43</v>
      </c>
      <c r="H1308" t="s">
        <v>14</v>
      </c>
      <c r="I1308" t="s">
        <v>60</v>
      </c>
    </row>
    <row r="1309" spans="1:9" x14ac:dyDescent="0.45">
      <c r="A1309" t="s">
        <v>6281</v>
      </c>
      <c r="B1309" s="2">
        <v>46243</v>
      </c>
      <c r="C1309" t="s">
        <v>49</v>
      </c>
      <c r="D1309" t="s">
        <v>6282</v>
      </c>
      <c r="E1309" t="s">
        <v>75</v>
      </c>
      <c r="F1309">
        <v>12</v>
      </c>
      <c r="G1309" t="s">
        <v>68</v>
      </c>
      <c r="H1309" t="s">
        <v>25</v>
      </c>
      <c r="I1309" t="s">
        <v>47</v>
      </c>
    </row>
    <row r="1310" spans="1:9" x14ac:dyDescent="0.45">
      <c r="A1310" t="s">
        <v>6283</v>
      </c>
      <c r="B1310" s="2">
        <v>46159</v>
      </c>
      <c r="C1310" t="s">
        <v>16</v>
      </c>
      <c r="D1310" t="s">
        <v>6284</v>
      </c>
      <c r="E1310" t="s">
        <v>46</v>
      </c>
      <c r="F1310">
        <v>4</v>
      </c>
      <c r="G1310" t="s">
        <v>18</v>
      </c>
      <c r="H1310" t="s">
        <v>14</v>
      </c>
      <c r="I1310" t="s">
        <v>60</v>
      </c>
    </row>
    <row r="1311" spans="1:9" x14ac:dyDescent="0.45">
      <c r="A1311" t="s">
        <v>6285</v>
      </c>
      <c r="B1311" s="2">
        <v>46071</v>
      </c>
      <c r="C1311" t="s">
        <v>49</v>
      </c>
      <c r="D1311" t="s">
        <v>6286</v>
      </c>
      <c r="E1311" t="s">
        <v>34</v>
      </c>
      <c r="F1311">
        <v>10</v>
      </c>
      <c r="G1311" t="s">
        <v>35</v>
      </c>
      <c r="H1311" t="s">
        <v>25</v>
      </c>
      <c r="I1311" t="s">
        <v>47</v>
      </c>
    </row>
    <row r="1312" spans="1:9" x14ac:dyDescent="0.45">
      <c r="A1312" t="s">
        <v>6287</v>
      </c>
      <c r="B1312" s="2">
        <v>46119</v>
      </c>
      <c r="C1312" t="s">
        <v>28</v>
      </c>
      <c r="D1312" t="s">
        <v>6288</v>
      </c>
      <c r="E1312" t="s">
        <v>23</v>
      </c>
      <c r="F1312">
        <v>1</v>
      </c>
      <c r="G1312" t="s">
        <v>35</v>
      </c>
      <c r="H1312" t="s">
        <v>25</v>
      </c>
      <c r="I1312" t="s">
        <v>19</v>
      </c>
    </row>
    <row r="1313" spans="1:9" x14ac:dyDescent="0.45">
      <c r="A1313" t="s">
        <v>6289</v>
      </c>
      <c r="B1313" s="2">
        <v>46030</v>
      </c>
      <c r="C1313" t="s">
        <v>28</v>
      </c>
      <c r="D1313" t="s">
        <v>6290</v>
      </c>
      <c r="E1313" t="s">
        <v>7974</v>
      </c>
      <c r="F1313">
        <v>4</v>
      </c>
      <c r="G1313" t="s">
        <v>68</v>
      </c>
      <c r="H1313" t="s">
        <v>25</v>
      </c>
      <c r="I1313" t="s">
        <v>39</v>
      </c>
    </row>
    <row r="1314" spans="1:9" x14ac:dyDescent="0.45">
      <c r="A1314" t="s">
        <v>6291</v>
      </c>
      <c r="B1314" s="2">
        <v>46122</v>
      </c>
      <c r="C1314" t="s">
        <v>28</v>
      </c>
      <c r="D1314" t="s">
        <v>6292</v>
      </c>
      <c r="E1314" t="s">
        <v>58</v>
      </c>
      <c r="F1314">
        <v>3</v>
      </c>
      <c r="G1314" t="s">
        <v>24</v>
      </c>
      <c r="H1314" t="s">
        <v>25</v>
      </c>
      <c r="I1314" t="s">
        <v>39</v>
      </c>
    </row>
    <row r="1315" spans="1:9" x14ac:dyDescent="0.45">
      <c r="A1315" t="s">
        <v>6293</v>
      </c>
      <c r="B1315" s="2">
        <v>46240</v>
      </c>
      <c r="C1315" t="s">
        <v>10</v>
      </c>
      <c r="D1315" t="s">
        <v>6294</v>
      </c>
      <c r="E1315" t="s">
        <v>449</v>
      </c>
      <c r="F1315">
        <v>8</v>
      </c>
      <c r="G1315" t="s">
        <v>35</v>
      </c>
      <c r="H1315" t="s">
        <v>25</v>
      </c>
      <c r="I1315" t="s">
        <v>31</v>
      </c>
    </row>
    <row r="1316" spans="1:9" x14ac:dyDescent="0.45">
      <c r="A1316" t="s">
        <v>6295</v>
      </c>
      <c r="B1316" s="2">
        <v>46041</v>
      </c>
      <c r="C1316" t="s">
        <v>21</v>
      </c>
      <c r="D1316" t="s">
        <v>6296</v>
      </c>
      <c r="E1316" t="s">
        <v>54</v>
      </c>
      <c r="F1316">
        <v>1</v>
      </c>
      <c r="G1316" t="s">
        <v>43</v>
      </c>
      <c r="H1316" t="s">
        <v>14</v>
      </c>
      <c r="I1316" t="s">
        <v>47</v>
      </c>
    </row>
    <row r="1317" spans="1:9" x14ac:dyDescent="0.45">
      <c r="A1317" t="s">
        <v>6297</v>
      </c>
      <c r="B1317" s="2">
        <v>46094</v>
      </c>
      <c r="C1317" t="s">
        <v>52</v>
      </c>
      <c r="D1317" t="s">
        <v>6298</v>
      </c>
      <c r="E1317" t="s">
        <v>38</v>
      </c>
      <c r="F1317">
        <v>10</v>
      </c>
      <c r="G1317" t="s">
        <v>43</v>
      </c>
      <c r="H1317" t="s">
        <v>14</v>
      </c>
      <c r="I1317" t="s">
        <v>39</v>
      </c>
    </row>
    <row r="1318" spans="1:9" x14ac:dyDescent="0.45">
      <c r="A1318" t="s">
        <v>6299</v>
      </c>
      <c r="B1318" s="2">
        <v>46266</v>
      </c>
      <c r="C1318" t="s">
        <v>16</v>
      </c>
      <c r="D1318" t="s">
        <v>6300</v>
      </c>
      <c r="E1318" t="s">
        <v>1495</v>
      </c>
      <c r="F1318">
        <v>2</v>
      </c>
      <c r="G1318" t="s">
        <v>18</v>
      </c>
      <c r="H1318" t="s">
        <v>14</v>
      </c>
      <c r="I1318" t="s">
        <v>26</v>
      </c>
    </row>
    <row r="1319" spans="1:9" x14ac:dyDescent="0.45">
      <c r="A1319" t="s">
        <v>6301</v>
      </c>
      <c r="B1319" s="2">
        <v>46031</v>
      </c>
      <c r="C1319" t="s">
        <v>16</v>
      </c>
      <c r="D1319" t="s">
        <v>6302</v>
      </c>
      <c r="E1319" t="s">
        <v>30</v>
      </c>
      <c r="F1319">
        <v>5</v>
      </c>
      <c r="G1319" t="s">
        <v>35</v>
      </c>
      <c r="H1319" t="s">
        <v>25</v>
      </c>
      <c r="I1319" t="s">
        <v>39</v>
      </c>
    </row>
    <row r="1320" spans="1:9" x14ac:dyDescent="0.45">
      <c r="A1320" t="s">
        <v>6303</v>
      </c>
      <c r="B1320" s="2">
        <v>46023</v>
      </c>
      <c r="C1320" t="s">
        <v>21</v>
      </c>
      <c r="D1320" t="s">
        <v>6304</v>
      </c>
      <c r="E1320" t="s">
        <v>42</v>
      </c>
      <c r="F1320">
        <v>11</v>
      </c>
      <c r="G1320" t="s">
        <v>24</v>
      </c>
      <c r="H1320" t="s">
        <v>25</v>
      </c>
      <c r="I1320" t="s">
        <v>26</v>
      </c>
    </row>
    <row r="1321" spans="1:9" x14ac:dyDescent="0.45">
      <c r="A1321" t="s">
        <v>6305</v>
      </c>
      <c r="B1321" s="2">
        <v>46100</v>
      </c>
      <c r="C1321" t="s">
        <v>16</v>
      </c>
      <c r="D1321" t="s">
        <v>6306</v>
      </c>
      <c r="E1321" t="s">
        <v>38</v>
      </c>
      <c r="F1321">
        <v>11</v>
      </c>
      <c r="G1321" t="s">
        <v>59</v>
      </c>
      <c r="H1321" t="s">
        <v>14</v>
      </c>
      <c r="I1321" t="s">
        <v>19</v>
      </c>
    </row>
    <row r="1322" spans="1:9" x14ac:dyDescent="0.45">
      <c r="A1322" t="s">
        <v>6307</v>
      </c>
      <c r="B1322" s="2">
        <v>46084</v>
      </c>
      <c r="C1322" t="s">
        <v>52</v>
      </c>
      <c r="D1322" t="s">
        <v>6308</v>
      </c>
      <c r="E1322" t="s">
        <v>23</v>
      </c>
      <c r="F1322">
        <v>7</v>
      </c>
      <c r="G1322" t="s">
        <v>35</v>
      </c>
      <c r="H1322" t="s">
        <v>25</v>
      </c>
      <c r="I1322" t="s">
        <v>19</v>
      </c>
    </row>
    <row r="1323" spans="1:9" x14ac:dyDescent="0.45">
      <c r="A1323" t="s">
        <v>6309</v>
      </c>
      <c r="B1323" s="2">
        <v>46109</v>
      </c>
      <c r="C1323" t="s">
        <v>49</v>
      </c>
      <c r="D1323" t="s">
        <v>6310</v>
      </c>
      <c r="E1323" t="s">
        <v>38</v>
      </c>
      <c r="F1323">
        <v>8</v>
      </c>
      <c r="G1323" t="s">
        <v>35</v>
      </c>
      <c r="H1323" t="s">
        <v>25</v>
      </c>
      <c r="I1323" t="s">
        <v>39</v>
      </c>
    </row>
    <row r="1324" spans="1:9" x14ac:dyDescent="0.45">
      <c r="A1324" t="s">
        <v>6311</v>
      </c>
      <c r="B1324" s="2">
        <v>46056</v>
      </c>
      <c r="C1324" t="s">
        <v>52</v>
      </c>
      <c r="D1324" t="s">
        <v>6312</v>
      </c>
      <c r="E1324" t="s">
        <v>75</v>
      </c>
      <c r="F1324">
        <v>2</v>
      </c>
      <c r="G1324" t="s">
        <v>68</v>
      </c>
      <c r="H1324" t="s">
        <v>25</v>
      </c>
      <c r="I1324" t="s">
        <v>7967</v>
      </c>
    </row>
    <row r="1325" spans="1:9" x14ac:dyDescent="0.45">
      <c r="A1325" t="s">
        <v>6313</v>
      </c>
      <c r="B1325" s="2">
        <v>46234</v>
      </c>
      <c r="C1325" t="s">
        <v>99</v>
      </c>
      <c r="D1325" t="s">
        <v>6314</v>
      </c>
      <c r="E1325" t="s">
        <v>58</v>
      </c>
      <c r="F1325">
        <v>6</v>
      </c>
      <c r="G1325" t="s">
        <v>43</v>
      </c>
      <c r="H1325" t="s">
        <v>14</v>
      </c>
      <c r="I1325" t="s">
        <v>26</v>
      </c>
    </row>
    <row r="1326" spans="1:9" x14ac:dyDescent="0.45">
      <c r="A1326" t="s">
        <v>6315</v>
      </c>
      <c r="B1326" s="2">
        <v>46175</v>
      </c>
      <c r="C1326" t="s">
        <v>10</v>
      </c>
      <c r="D1326" t="s">
        <v>6316</v>
      </c>
      <c r="E1326" t="s">
        <v>7973</v>
      </c>
      <c r="F1326">
        <v>1</v>
      </c>
      <c r="G1326" t="s">
        <v>59</v>
      </c>
      <c r="H1326" t="s">
        <v>14</v>
      </c>
      <c r="I1326" t="s">
        <v>19</v>
      </c>
    </row>
    <row r="1327" spans="1:9" x14ac:dyDescent="0.45">
      <c r="A1327" t="s">
        <v>6317</v>
      </c>
      <c r="B1327" s="2">
        <v>46256</v>
      </c>
      <c r="C1327" t="s">
        <v>21</v>
      </c>
      <c r="D1327" t="s">
        <v>6318</v>
      </c>
      <c r="E1327" t="s">
        <v>58</v>
      </c>
      <c r="F1327">
        <v>3</v>
      </c>
      <c r="G1327" t="s">
        <v>18</v>
      </c>
      <c r="H1327" t="s">
        <v>14</v>
      </c>
      <c r="I1327" t="s">
        <v>31</v>
      </c>
    </row>
    <row r="1328" spans="1:9" x14ac:dyDescent="0.45">
      <c r="A1328" t="s">
        <v>6319</v>
      </c>
      <c r="B1328" s="2">
        <v>46178</v>
      </c>
      <c r="C1328" t="s">
        <v>99</v>
      </c>
      <c r="D1328" t="s">
        <v>6320</v>
      </c>
      <c r="E1328" t="s">
        <v>75</v>
      </c>
      <c r="F1328">
        <v>3</v>
      </c>
      <c r="G1328" t="s">
        <v>68</v>
      </c>
      <c r="H1328" t="s">
        <v>25</v>
      </c>
      <c r="I1328" t="s">
        <v>19</v>
      </c>
    </row>
    <row r="1329" spans="1:9" x14ac:dyDescent="0.45">
      <c r="A1329" t="s">
        <v>6321</v>
      </c>
      <c r="B1329" s="2">
        <v>46186</v>
      </c>
      <c r="C1329" t="s">
        <v>28</v>
      </c>
      <c r="D1329" t="s">
        <v>6322</v>
      </c>
      <c r="E1329" t="s">
        <v>34</v>
      </c>
      <c r="F1329">
        <v>1</v>
      </c>
      <c r="G1329" t="s">
        <v>35</v>
      </c>
      <c r="H1329" t="s">
        <v>25</v>
      </c>
      <c r="I1329" t="s">
        <v>60</v>
      </c>
    </row>
    <row r="1330" spans="1:9" x14ac:dyDescent="0.45">
      <c r="A1330" t="s">
        <v>6323</v>
      </c>
      <c r="B1330" s="2">
        <v>46240</v>
      </c>
      <c r="C1330" t="s">
        <v>66</v>
      </c>
      <c r="D1330" t="s">
        <v>6324</v>
      </c>
      <c r="E1330" t="s">
        <v>23</v>
      </c>
      <c r="F1330">
        <v>11</v>
      </c>
      <c r="G1330" t="s">
        <v>59</v>
      </c>
      <c r="H1330" t="s">
        <v>14</v>
      </c>
      <c r="I1330" t="s">
        <v>26</v>
      </c>
    </row>
    <row r="1331" spans="1:9" x14ac:dyDescent="0.45">
      <c r="A1331" t="s">
        <v>6325</v>
      </c>
      <c r="B1331" s="2">
        <v>46186</v>
      </c>
      <c r="C1331" t="s">
        <v>66</v>
      </c>
      <c r="D1331" t="s">
        <v>6326</v>
      </c>
      <c r="E1331" t="s">
        <v>58</v>
      </c>
      <c r="F1331">
        <v>1</v>
      </c>
      <c r="G1331" t="s">
        <v>18</v>
      </c>
      <c r="H1331" t="s">
        <v>14</v>
      </c>
      <c r="I1331" t="s">
        <v>7967</v>
      </c>
    </row>
    <row r="1332" spans="1:9" x14ac:dyDescent="0.45">
      <c r="A1332" t="s">
        <v>6327</v>
      </c>
      <c r="B1332" s="2">
        <v>46162</v>
      </c>
      <c r="C1332" t="s">
        <v>49</v>
      </c>
      <c r="D1332" t="s">
        <v>6328</v>
      </c>
      <c r="E1332" t="s">
        <v>71</v>
      </c>
      <c r="F1332">
        <v>11</v>
      </c>
      <c r="G1332" t="s">
        <v>59</v>
      </c>
      <c r="H1332" t="s">
        <v>14</v>
      </c>
      <c r="I1332" t="s">
        <v>26</v>
      </c>
    </row>
    <row r="1333" spans="1:9" x14ac:dyDescent="0.45">
      <c r="A1333" t="s">
        <v>6329</v>
      </c>
      <c r="B1333" s="2">
        <v>46204</v>
      </c>
      <c r="C1333" t="s">
        <v>16</v>
      </c>
      <c r="D1333" t="s">
        <v>6330</v>
      </c>
      <c r="E1333" t="s">
        <v>46</v>
      </c>
      <c r="F1333">
        <v>8</v>
      </c>
      <c r="G1333" t="s">
        <v>68</v>
      </c>
      <c r="H1333" t="s">
        <v>25</v>
      </c>
      <c r="I1333" t="s">
        <v>19</v>
      </c>
    </row>
    <row r="1334" spans="1:9" x14ac:dyDescent="0.45">
      <c r="A1334" t="s">
        <v>6331</v>
      </c>
      <c r="B1334" s="2">
        <v>46254</v>
      </c>
      <c r="C1334" t="s">
        <v>52</v>
      </c>
      <c r="D1334" t="s">
        <v>6332</v>
      </c>
      <c r="E1334" t="s">
        <v>75</v>
      </c>
      <c r="F1334">
        <v>12</v>
      </c>
      <c r="G1334" t="s">
        <v>68</v>
      </c>
      <c r="H1334" t="s">
        <v>25</v>
      </c>
      <c r="I1334" t="s">
        <v>31</v>
      </c>
    </row>
    <row r="1335" spans="1:9" x14ac:dyDescent="0.45">
      <c r="A1335" t="s">
        <v>6333</v>
      </c>
      <c r="B1335" s="2">
        <v>46196</v>
      </c>
      <c r="C1335" t="s">
        <v>52</v>
      </c>
      <c r="D1335" t="s">
        <v>6334</v>
      </c>
      <c r="E1335" t="s">
        <v>58</v>
      </c>
      <c r="F1335">
        <v>6</v>
      </c>
      <c r="G1335" t="s">
        <v>18</v>
      </c>
      <c r="H1335" t="s">
        <v>14</v>
      </c>
      <c r="I1335" t="s">
        <v>26</v>
      </c>
    </row>
    <row r="1336" spans="1:9" x14ac:dyDescent="0.45">
      <c r="A1336" t="s">
        <v>6335</v>
      </c>
      <c r="B1336" s="2">
        <v>46211</v>
      </c>
      <c r="C1336" t="s">
        <v>49</v>
      </c>
      <c r="D1336" t="s">
        <v>6336</v>
      </c>
      <c r="E1336" t="s">
        <v>30</v>
      </c>
      <c r="F1336">
        <v>5</v>
      </c>
      <c r="G1336" t="s">
        <v>35</v>
      </c>
      <c r="H1336" t="s">
        <v>25</v>
      </c>
      <c r="I1336" t="s">
        <v>60</v>
      </c>
    </row>
    <row r="1337" spans="1:9" x14ac:dyDescent="0.45">
      <c r="A1337" t="s">
        <v>6337</v>
      </c>
      <c r="B1337" s="2">
        <v>46157</v>
      </c>
      <c r="C1337" t="s">
        <v>99</v>
      </c>
      <c r="D1337" t="s">
        <v>6338</v>
      </c>
      <c r="E1337" t="s">
        <v>866</v>
      </c>
      <c r="F1337">
        <v>3</v>
      </c>
      <c r="G1337" t="s">
        <v>35</v>
      </c>
      <c r="H1337" t="s">
        <v>25</v>
      </c>
      <c r="I1337" t="s">
        <v>26</v>
      </c>
    </row>
    <row r="1338" spans="1:9" x14ac:dyDescent="0.45">
      <c r="A1338" t="s">
        <v>6339</v>
      </c>
      <c r="B1338" s="2">
        <v>46067</v>
      </c>
      <c r="C1338" t="s">
        <v>52</v>
      </c>
      <c r="D1338" t="s">
        <v>6340</v>
      </c>
      <c r="E1338" t="s">
        <v>54</v>
      </c>
      <c r="F1338">
        <v>4</v>
      </c>
      <c r="G1338" t="s">
        <v>68</v>
      </c>
      <c r="H1338" t="s">
        <v>25</v>
      </c>
      <c r="I1338" t="s">
        <v>60</v>
      </c>
    </row>
    <row r="1339" spans="1:9" x14ac:dyDescent="0.45">
      <c r="A1339" t="s">
        <v>6341</v>
      </c>
      <c r="B1339" s="2">
        <v>46200</v>
      </c>
      <c r="C1339" t="s">
        <v>52</v>
      </c>
      <c r="D1339" t="s">
        <v>6342</v>
      </c>
      <c r="E1339" t="s">
        <v>46</v>
      </c>
      <c r="F1339">
        <v>6</v>
      </c>
      <c r="G1339" t="s">
        <v>18</v>
      </c>
      <c r="H1339" t="s">
        <v>14</v>
      </c>
      <c r="I1339" t="s">
        <v>60</v>
      </c>
    </row>
    <row r="1340" spans="1:9" x14ac:dyDescent="0.45">
      <c r="A1340" t="s">
        <v>6343</v>
      </c>
      <c r="B1340" s="2">
        <v>46033</v>
      </c>
      <c r="C1340" t="s">
        <v>52</v>
      </c>
      <c r="D1340" t="s">
        <v>6344</v>
      </c>
      <c r="E1340" t="s">
        <v>75</v>
      </c>
      <c r="F1340">
        <v>1</v>
      </c>
      <c r="G1340" t="s">
        <v>43</v>
      </c>
      <c r="H1340" t="s">
        <v>14</v>
      </c>
      <c r="I1340" t="s">
        <v>26</v>
      </c>
    </row>
    <row r="1341" spans="1:9" x14ac:dyDescent="0.45">
      <c r="A1341" t="s">
        <v>6345</v>
      </c>
      <c r="B1341" s="2">
        <v>46205</v>
      </c>
      <c r="C1341" t="s">
        <v>49</v>
      </c>
      <c r="D1341" t="s">
        <v>6346</v>
      </c>
      <c r="E1341" t="s">
        <v>7973</v>
      </c>
      <c r="F1341">
        <v>7</v>
      </c>
      <c r="G1341" t="s">
        <v>43</v>
      </c>
      <c r="H1341" t="s">
        <v>14</v>
      </c>
      <c r="I1341" t="s">
        <v>19</v>
      </c>
    </row>
    <row r="1342" spans="1:9" x14ac:dyDescent="0.45">
      <c r="A1342" t="s">
        <v>6347</v>
      </c>
      <c r="B1342" s="2">
        <v>46173</v>
      </c>
      <c r="C1342" t="s">
        <v>99</v>
      </c>
      <c r="D1342" t="s">
        <v>6348</v>
      </c>
      <c r="E1342" t="s">
        <v>310</v>
      </c>
      <c r="F1342">
        <v>3</v>
      </c>
      <c r="G1342" t="s">
        <v>68</v>
      </c>
      <c r="H1342" t="s">
        <v>25</v>
      </c>
      <c r="I1342" t="s">
        <v>60</v>
      </c>
    </row>
    <row r="1343" spans="1:9" x14ac:dyDescent="0.45">
      <c r="A1343" t="s">
        <v>6349</v>
      </c>
      <c r="B1343" s="2">
        <v>46210</v>
      </c>
      <c r="C1343" t="s">
        <v>16</v>
      </c>
      <c r="D1343" t="s">
        <v>6350</v>
      </c>
      <c r="E1343" t="s">
        <v>7974</v>
      </c>
      <c r="F1343">
        <v>8</v>
      </c>
      <c r="G1343" t="s">
        <v>18</v>
      </c>
      <c r="H1343" t="s">
        <v>14</v>
      </c>
      <c r="I1343" t="s">
        <v>19</v>
      </c>
    </row>
    <row r="1344" spans="1:9" x14ac:dyDescent="0.45">
      <c r="A1344" t="s">
        <v>6351</v>
      </c>
      <c r="B1344" s="2">
        <v>46033</v>
      </c>
      <c r="C1344" t="s">
        <v>28</v>
      </c>
      <c r="D1344" t="s">
        <v>6352</v>
      </c>
      <c r="E1344" t="s">
        <v>34</v>
      </c>
      <c r="F1344">
        <v>9</v>
      </c>
      <c r="G1344" t="s">
        <v>55</v>
      </c>
      <c r="H1344" t="s">
        <v>72</v>
      </c>
      <c r="I1344" t="s">
        <v>31</v>
      </c>
    </row>
    <row r="1345" spans="1:9" x14ac:dyDescent="0.45">
      <c r="A1345" t="s">
        <v>6353</v>
      </c>
      <c r="B1345" s="2">
        <v>46257</v>
      </c>
      <c r="C1345" t="s">
        <v>10</v>
      </c>
      <c r="D1345" t="s">
        <v>6354</v>
      </c>
      <c r="E1345" t="s">
        <v>34</v>
      </c>
      <c r="F1345">
        <v>12</v>
      </c>
      <c r="G1345" t="s">
        <v>13</v>
      </c>
      <c r="H1345" t="s">
        <v>14</v>
      </c>
      <c r="I1345" t="s">
        <v>60</v>
      </c>
    </row>
    <row r="1346" spans="1:9" x14ac:dyDescent="0.45">
      <c r="A1346" t="s">
        <v>6355</v>
      </c>
      <c r="B1346" s="2">
        <v>46117</v>
      </c>
      <c r="C1346" t="s">
        <v>16</v>
      </c>
      <c r="D1346" t="s">
        <v>6356</v>
      </c>
      <c r="E1346" t="s">
        <v>75</v>
      </c>
      <c r="F1346">
        <v>11</v>
      </c>
      <c r="G1346" t="s">
        <v>43</v>
      </c>
      <c r="H1346" t="s">
        <v>14</v>
      </c>
      <c r="I1346" t="s">
        <v>19</v>
      </c>
    </row>
    <row r="1347" spans="1:9" x14ac:dyDescent="0.45">
      <c r="A1347" t="s">
        <v>6357</v>
      </c>
      <c r="B1347" s="2">
        <v>46145</v>
      </c>
      <c r="C1347" t="s">
        <v>66</v>
      </c>
      <c r="D1347" t="s">
        <v>6358</v>
      </c>
      <c r="E1347" t="s">
        <v>54</v>
      </c>
      <c r="F1347">
        <v>8</v>
      </c>
      <c r="G1347" t="s">
        <v>18</v>
      </c>
      <c r="H1347" t="s">
        <v>14</v>
      </c>
      <c r="I1347" t="s">
        <v>19</v>
      </c>
    </row>
    <row r="1348" spans="1:9" x14ac:dyDescent="0.45">
      <c r="A1348" t="s">
        <v>6359</v>
      </c>
      <c r="B1348" s="2">
        <v>46164</v>
      </c>
      <c r="C1348" t="s">
        <v>10</v>
      </c>
      <c r="D1348" t="s">
        <v>6360</v>
      </c>
      <c r="E1348" t="s">
        <v>71</v>
      </c>
      <c r="F1348">
        <v>5</v>
      </c>
      <c r="G1348" t="s">
        <v>13</v>
      </c>
      <c r="H1348" t="s">
        <v>14</v>
      </c>
      <c r="I1348" t="s">
        <v>47</v>
      </c>
    </row>
    <row r="1349" spans="1:9" x14ac:dyDescent="0.45">
      <c r="A1349" t="s">
        <v>6361</v>
      </c>
      <c r="B1349" s="2">
        <v>46201</v>
      </c>
      <c r="C1349" t="s">
        <v>28</v>
      </c>
      <c r="D1349" t="s">
        <v>6362</v>
      </c>
      <c r="E1349" t="s">
        <v>23</v>
      </c>
      <c r="F1349">
        <v>11</v>
      </c>
      <c r="G1349" t="s">
        <v>59</v>
      </c>
      <c r="H1349" t="s">
        <v>14</v>
      </c>
      <c r="I1349" t="s">
        <v>31</v>
      </c>
    </row>
    <row r="1350" spans="1:9" x14ac:dyDescent="0.45">
      <c r="A1350" t="s">
        <v>6363</v>
      </c>
      <c r="B1350" s="2">
        <v>46028</v>
      </c>
      <c r="C1350" t="s">
        <v>49</v>
      </c>
      <c r="D1350" t="s">
        <v>6364</v>
      </c>
      <c r="E1350" t="s">
        <v>54</v>
      </c>
      <c r="F1350">
        <v>11</v>
      </c>
      <c r="G1350" t="s">
        <v>55</v>
      </c>
      <c r="H1350" t="s">
        <v>72</v>
      </c>
      <c r="I1350" t="s">
        <v>31</v>
      </c>
    </row>
    <row r="1351" spans="1:9" x14ac:dyDescent="0.45">
      <c r="A1351" t="s">
        <v>6365</v>
      </c>
      <c r="B1351" s="2">
        <v>46183</v>
      </c>
      <c r="C1351" t="s">
        <v>66</v>
      </c>
      <c r="D1351" t="s">
        <v>6366</v>
      </c>
      <c r="E1351" t="s">
        <v>71</v>
      </c>
      <c r="F1351">
        <v>5</v>
      </c>
      <c r="G1351" t="s">
        <v>59</v>
      </c>
      <c r="H1351" t="s">
        <v>14</v>
      </c>
      <c r="I1351" t="s">
        <v>47</v>
      </c>
    </row>
    <row r="1352" spans="1:9" x14ac:dyDescent="0.45">
      <c r="A1352" t="s">
        <v>6367</v>
      </c>
      <c r="B1352" s="2">
        <v>46188</v>
      </c>
      <c r="C1352" t="s">
        <v>66</v>
      </c>
      <c r="D1352" t="s">
        <v>6368</v>
      </c>
      <c r="E1352" t="s">
        <v>38</v>
      </c>
      <c r="F1352">
        <v>10</v>
      </c>
      <c r="G1352" t="s">
        <v>59</v>
      </c>
      <c r="H1352" t="s">
        <v>14</v>
      </c>
      <c r="I1352" t="s">
        <v>39</v>
      </c>
    </row>
    <row r="1353" spans="1:9" x14ac:dyDescent="0.45">
      <c r="A1353" t="s">
        <v>6369</v>
      </c>
      <c r="B1353" s="2">
        <v>46108</v>
      </c>
      <c r="C1353" t="s">
        <v>52</v>
      </c>
      <c r="D1353" t="s">
        <v>6370</v>
      </c>
      <c r="E1353" t="s">
        <v>71</v>
      </c>
      <c r="F1353">
        <v>1</v>
      </c>
      <c r="G1353" t="s">
        <v>13</v>
      </c>
      <c r="H1353" t="s">
        <v>14</v>
      </c>
      <c r="I1353" t="s">
        <v>26</v>
      </c>
    </row>
    <row r="1354" spans="1:9" x14ac:dyDescent="0.45">
      <c r="A1354" t="s">
        <v>6371</v>
      </c>
      <c r="B1354" s="2">
        <v>46258</v>
      </c>
      <c r="C1354" t="s">
        <v>99</v>
      </c>
      <c r="D1354" t="s">
        <v>6372</v>
      </c>
      <c r="E1354" t="s">
        <v>38</v>
      </c>
      <c r="F1354">
        <v>12</v>
      </c>
      <c r="G1354" t="s">
        <v>18</v>
      </c>
      <c r="H1354" t="s">
        <v>14</v>
      </c>
      <c r="I1354" t="s">
        <v>31</v>
      </c>
    </row>
    <row r="1355" spans="1:9" x14ac:dyDescent="0.45">
      <c r="A1355" t="s">
        <v>6373</v>
      </c>
      <c r="B1355" s="2">
        <v>46144</v>
      </c>
      <c r="C1355" t="s">
        <v>66</v>
      </c>
      <c r="D1355" t="s">
        <v>6374</v>
      </c>
      <c r="E1355" t="s">
        <v>7973</v>
      </c>
      <c r="F1355">
        <v>9</v>
      </c>
      <c r="G1355" t="s">
        <v>59</v>
      </c>
      <c r="H1355" t="s">
        <v>14</v>
      </c>
      <c r="I1355" t="s">
        <v>39</v>
      </c>
    </row>
    <row r="1356" spans="1:9" x14ac:dyDescent="0.45">
      <c r="A1356" t="s">
        <v>6375</v>
      </c>
      <c r="B1356" s="2">
        <v>46083</v>
      </c>
      <c r="C1356" t="s">
        <v>49</v>
      </c>
      <c r="D1356" t="s">
        <v>6376</v>
      </c>
      <c r="E1356" t="s">
        <v>42</v>
      </c>
      <c r="F1356">
        <v>7</v>
      </c>
      <c r="G1356" t="s">
        <v>24</v>
      </c>
      <c r="H1356" t="s">
        <v>25</v>
      </c>
      <c r="I1356" t="s">
        <v>31</v>
      </c>
    </row>
    <row r="1357" spans="1:9" x14ac:dyDescent="0.45">
      <c r="A1357" t="s">
        <v>6377</v>
      </c>
      <c r="B1357" s="2">
        <v>46209</v>
      </c>
      <c r="C1357" t="s">
        <v>66</v>
      </c>
      <c r="D1357" t="s">
        <v>6378</v>
      </c>
      <c r="E1357" t="s">
        <v>38</v>
      </c>
      <c r="F1357">
        <v>12</v>
      </c>
      <c r="G1357" t="s">
        <v>55</v>
      </c>
      <c r="H1357" t="s">
        <v>72</v>
      </c>
      <c r="I1357" t="s">
        <v>19</v>
      </c>
    </row>
    <row r="1358" spans="1:9" x14ac:dyDescent="0.45">
      <c r="A1358" t="s">
        <v>6379</v>
      </c>
      <c r="B1358" s="2">
        <v>46259</v>
      </c>
      <c r="C1358" t="s">
        <v>49</v>
      </c>
      <c r="D1358" t="s">
        <v>6380</v>
      </c>
      <c r="E1358" t="s">
        <v>58</v>
      </c>
      <c r="F1358">
        <v>3</v>
      </c>
      <c r="G1358" t="s">
        <v>13</v>
      </c>
      <c r="H1358" t="s">
        <v>14</v>
      </c>
      <c r="I1358" t="s">
        <v>31</v>
      </c>
    </row>
    <row r="1359" spans="1:9" x14ac:dyDescent="0.45">
      <c r="A1359" t="s">
        <v>6381</v>
      </c>
      <c r="B1359" s="2">
        <v>46243</v>
      </c>
      <c r="C1359" t="s">
        <v>16</v>
      </c>
      <c r="D1359" t="s">
        <v>6382</v>
      </c>
      <c r="E1359" t="s">
        <v>7974</v>
      </c>
      <c r="F1359">
        <v>1</v>
      </c>
      <c r="G1359" t="s">
        <v>55</v>
      </c>
      <c r="H1359" t="s">
        <v>72</v>
      </c>
      <c r="I1359" t="s">
        <v>19</v>
      </c>
    </row>
    <row r="1360" spans="1:9" x14ac:dyDescent="0.45">
      <c r="A1360" t="s">
        <v>6383</v>
      </c>
      <c r="B1360" s="2">
        <v>46109</v>
      </c>
      <c r="C1360" t="s">
        <v>66</v>
      </c>
      <c r="D1360" t="s">
        <v>6384</v>
      </c>
      <c r="E1360" t="s">
        <v>54</v>
      </c>
      <c r="F1360">
        <v>7</v>
      </c>
      <c r="G1360" t="s">
        <v>59</v>
      </c>
      <c r="H1360" t="s">
        <v>14</v>
      </c>
      <c r="I1360" t="s">
        <v>60</v>
      </c>
    </row>
    <row r="1361" spans="1:9" x14ac:dyDescent="0.45">
      <c r="A1361" t="s">
        <v>6385</v>
      </c>
      <c r="B1361" s="2">
        <v>46196</v>
      </c>
      <c r="C1361" t="s">
        <v>52</v>
      </c>
      <c r="D1361" t="s">
        <v>6386</v>
      </c>
      <c r="E1361" t="s">
        <v>30</v>
      </c>
      <c r="F1361">
        <v>2</v>
      </c>
      <c r="G1361" t="s">
        <v>59</v>
      </c>
      <c r="H1361" t="s">
        <v>14</v>
      </c>
      <c r="I1361" t="s">
        <v>26</v>
      </c>
    </row>
    <row r="1362" spans="1:9" x14ac:dyDescent="0.45">
      <c r="A1362" t="s">
        <v>6387</v>
      </c>
      <c r="B1362" s="2">
        <v>46044</v>
      </c>
      <c r="C1362" t="s">
        <v>21</v>
      </c>
      <c r="D1362" t="s">
        <v>6388</v>
      </c>
      <c r="E1362" t="s">
        <v>58</v>
      </c>
      <c r="F1362">
        <v>12</v>
      </c>
      <c r="G1362" t="s">
        <v>35</v>
      </c>
      <c r="H1362" t="s">
        <v>25</v>
      </c>
      <c r="I1362" t="s">
        <v>47</v>
      </c>
    </row>
    <row r="1363" spans="1:9" x14ac:dyDescent="0.45">
      <c r="A1363" t="s">
        <v>6389</v>
      </c>
      <c r="B1363" s="2">
        <v>46064</v>
      </c>
      <c r="C1363" t="s">
        <v>16</v>
      </c>
      <c r="D1363" t="s">
        <v>6390</v>
      </c>
      <c r="E1363" t="s">
        <v>71</v>
      </c>
      <c r="F1363">
        <v>8</v>
      </c>
      <c r="G1363" t="s">
        <v>35</v>
      </c>
      <c r="H1363" t="s">
        <v>25</v>
      </c>
      <c r="I1363" t="s">
        <v>47</v>
      </c>
    </row>
    <row r="1364" spans="1:9" x14ac:dyDescent="0.45">
      <c r="A1364" t="s">
        <v>6391</v>
      </c>
      <c r="B1364" s="2">
        <v>46089</v>
      </c>
      <c r="C1364" t="s">
        <v>99</v>
      </c>
      <c r="D1364" t="s">
        <v>6392</v>
      </c>
      <c r="E1364" t="s">
        <v>75</v>
      </c>
      <c r="F1364">
        <v>9</v>
      </c>
      <c r="G1364" t="s">
        <v>18</v>
      </c>
      <c r="H1364" t="s">
        <v>14</v>
      </c>
      <c r="I1364" t="s">
        <v>39</v>
      </c>
    </row>
    <row r="1365" spans="1:9" x14ac:dyDescent="0.45">
      <c r="A1365" t="s">
        <v>6393</v>
      </c>
      <c r="B1365" s="2">
        <v>46232</v>
      </c>
      <c r="C1365" t="s">
        <v>66</v>
      </c>
      <c r="D1365" t="s">
        <v>6394</v>
      </c>
      <c r="E1365" t="s">
        <v>54</v>
      </c>
      <c r="F1365">
        <v>7</v>
      </c>
      <c r="G1365" t="s">
        <v>55</v>
      </c>
      <c r="H1365" t="s">
        <v>72</v>
      </c>
      <c r="I1365" t="s">
        <v>60</v>
      </c>
    </row>
    <row r="1366" spans="1:9" x14ac:dyDescent="0.45">
      <c r="A1366" t="s">
        <v>6395</v>
      </c>
      <c r="B1366" s="2">
        <v>46222</v>
      </c>
      <c r="C1366" t="s">
        <v>21</v>
      </c>
      <c r="D1366" t="s">
        <v>6396</v>
      </c>
      <c r="E1366" t="s">
        <v>34</v>
      </c>
      <c r="F1366">
        <v>5</v>
      </c>
      <c r="G1366" t="s">
        <v>68</v>
      </c>
      <c r="H1366" t="s">
        <v>25</v>
      </c>
      <c r="I1366" t="s">
        <v>47</v>
      </c>
    </row>
    <row r="1367" spans="1:9" x14ac:dyDescent="0.45">
      <c r="A1367" t="s">
        <v>6397</v>
      </c>
      <c r="B1367" s="2">
        <v>46046</v>
      </c>
      <c r="C1367" t="s">
        <v>52</v>
      </c>
      <c r="D1367" t="s">
        <v>6398</v>
      </c>
      <c r="E1367" t="s">
        <v>7974</v>
      </c>
      <c r="F1367">
        <v>1</v>
      </c>
      <c r="G1367" t="s">
        <v>7967</v>
      </c>
      <c r="H1367" t="s">
        <v>14</v>
      </c>
      <c r="I1367" t="s">
        <v>31</v>
      </c>
    </row>
    <row r="1368" spans="1:9" x14ac:dyDescent="0.45">
      <c r="A1368" t="s">
        <v>6399</v>
      </c>
      <c r="B1368" s="2">
        <v>46145</v>
      </c>
      <c r="C1368" t="s">
        <v>66</v>
      </c>
      <c r="D1368" t="s">
        <v>6400</v>
      </c>
      <c r="E1368" t="s">
        <v>46</v>
      </c>
      <c r="F1368">
        <v>6</v>
      </c>
      <c r="G1368" t="s">
        <v>55</v>
      </c>
      <c r="H1368" t="s">
        <v>72</v>
      </c>
      <c r="I1368" t="s">
        <v>19</v>
      </c>
    </row>
    <row r="1369" spans="1:9" x14ac:dyDescent="0.45">
      <c r="A1369" t="s">
        <v>6401</v>
      </c>
      <c r="B1369" s="2">
        <v>46089</v>
      </c>
      <c r="C1369" t="s">
        <v>49</v>
      </c>
      <c r="D1369" t="s">
        <v>6402</v>
      </c>
      <c r="E1369" t="s">
        <v>42</v>
      </c>
      <c r="F1369">
        <v>9</v>
      </c>
      <c r="G1369" t="s">
        <v>18</v>
      </c>
      <c r="H1369" t="s">
        <v>14</v>
      </c>
      <c r="I1369" t="s">
        <v>26</v>
      </c>
    </row>
    <row r="1370" spans="1:9" x14ac:dyDescent="0.45">
      <c r="A1370" t="s">
        <v>6403</v>
      </c>
      <c r="B1370" s="2">
        <v>46064</v>
      </c>
      <c r="C1370" t="s">
        <v>66</v>
      </c>
      <c r="D1370" t="s">
        <v>6404</v>
      </c>
      <c r="E1370" t="s">
        <v>7973</v>
      </c>
      <c r="F1370">
        <v>7</v>
      </c>
      <c r="G1370" t="s">
        <v>24</v>
      </c>
      <c r="H1370" t="s">
        <v>25</v>
      </c>
      <c r="I1370" t="s">
        <v>39</v>
      </c>
    </row>
    <row r="1371" spans="1:9" x14ac:dyDescent="0.45">
      <c r="A1371" t="s">
        <v>6405</v>
      </c>
      <c r="B1371" s="2">
        <v>46087</v>
      </c>
      <c r="C1371" t="s">
        <v>49</v>
      </c>
      <c r="D1371" t="s">
        <v>6406</v>
      </c>
      <c r="E1371" t="s">
        <v>42</v>
      </c>
      <c r="F1371">
        <v>1</v>
      </c>
      <c r="G1371" t="s">
        <v>68</v>
      </c>
      <c r="H1371" t="s">
        <v>25</v>
      </c>
      <c r="I1371" t="s">
        <v>47</v>
      </c>
    </row>
    <row r="1372" spans="1:9" x14ac:dyDescent="0.45">
      <c r="A1372" t="s">
        <v>6407</v>
      </c>
      <c r="B1372" s="2">
        <v>46127</v>
      </c>
      <c r="C1372" t="s">
        <v>49</v>
      </c>
      <c r="D1372" t="s">
        <v>6408</v>
      </c>
      <c r="E1372" t="s">
        <v>58</v>
      </c>
      <c r="F1372">
        <v>9</v>
      </c>
      <c r="G1372" t="s">
        <v>55</v>
      </c>
      <c r="H1372" t="s">
        <v>72</v>
      </c>
      <c r="I1372" t="s">
        <v>39</v>
      </c>
    </row>
    <row r="1373" spans="1:9" x14ac:dyDescent="0.45">
      <c r="A1373" t="s">
        <v>6409</v>
      </c>
      <c r="B1373" s="2">
        <v>46028</v>
      </c>
      <c r="C1373" t="s">
        <v>28</v>
      </c>
      <c r="D1373" t="s">
        <v>6410</v>
      </c>
      <c r="E1373" t="s">
        <v>23</v>
      </c>
      <c r="F1373">
        <v>9</v>
      </c>
      <c r="G1373" t="s">
        <v>43</v>
      </c>
      <c r="H1373" t="s">
        <v>14</v>
      </c>
      <c r="I1373" t="s">
        <v>26</v>
      </c>
    </row>
    <row r="1374" spans="1:9" x14ac:dyDescent="0.45">
      <c r="A1374" t="s">
        <v>6411</v>
      </c>
      <c r="B1374" s="2">
        <v>46241</v>
      </c>
      <c r="C1374" t="s">
        <v>99</v>
      </c>
      <c r="D1374" t="s">
        <v>6412</v>
      </c>
      <c r="E1374" t="s">
        <v>23</v>
      </c>
      <c r="F1374">
        <v>11</v>
      </c>
      <c r="G1374" t="s">
        <v>35</v>
      </c>
      <c r="H1374" t="s">
        <v>25</v>
      </c>
      <c r="I1374" t="s">
        <v>39</v>
      </c>
    </row>
    <row r="1375" spans="1:9" x14ac:dyDescent="0.45">
      <c r="A1375" t="s">
        <v>6413</v>
      </c>
      <c r="B1375" s="2">
        <v>46049</v>
      </c>
      <c r="C1375" t="s">
        <v>28</v>
      </c>
      <c r="D1375" t="s">
        <v>6414</v>
      </c>
      <c r="E1375" t="s">
        <v>23</v>
      </c>
      <c r="F1375">
        <v>9</v>
      </c>
      <c r="G1375" t="s">
        <v>55</v>
      </c>
      <c r="H1375" t="s">
        <v>72</v>
      </c>
      <c r="I1375" t="s">
        <v>60</v>
      </c>
    </row>
    <row r="1376" spans="1:9" x14ac:dyDescent="0.45">
      <c r="A1376" t="s">
        <v>6415</v>
      </c>
      <c r="B1376" s="2">
        <v>46035</v>
      </c>
      <c r="C1376" t="s">
        <v>10</v>
      </c>
      <c r="D1376" t="s">
        <v>6416</v>
      </c>
      <c r="E1376" t="s">
        <v>38</v>
      </c>
      <c r="F1376">
        <v>8</v>
      </c>
      <c r="G1376" t="s">
        <v>59</v>
      </c>
      <c r="H1376" t="s">
        <v>14</v>
      </c>
      <c r="I1376" t="s">
        <v>26</v>
      </c>
    </row>
    <row r="1377" spans="1:9" x14ac:dyDescent="0.45">
      <c r="A1377" t="s">
        <v>6417</v>
      </c>
      <c r="B1377" s="2">
        <v>46156</v>
      </c>
      <c r="C1377" t="s">
        <v>52</v>
      </c>
      <c r="D1377" t="s">
        <v>6418</v>
      </c>
      <c r="E1377" t="s">
        <v>23</v>
      </c>
      <c r="F1377">
        <v>9</v>
      </c>
      <c r="G1377" t="s">
        <v>13</v>
      </c>
      <c r="H1377" t="s">
        <v>14</v>
      </c>
      <c r="I1377" t="s">
        <v>19</v>
      </c>
    </row>
    <row r="1378" spans="1:9" x14ac:dyDescent="0.45">
      <c r="A1378" t="s">
        <v>6419</v>
      </c>
      <c r="B1378" s="2">
        <v>46237</v>
      </c>
      <c r="C1378" t="s">
        <v>21</v>
      </c>
      <c r="D1378" t="s">
        <v>6420</v>
      </c>
      <c r="E1378" t="s">
        <v>54</v>
      </c>
      <c r="F1378">
        <v>4</v>
      </c>
      <c r="G1378" t="s">
        <v>18</v>
      </c>
      <c r="H1378" t="s">
        <v>14</v>
      </c>
      <c r="I1378" t="s">
        <v>26</v>
      </c>
    </row>
    <row r="1379" spans="1:9" x14ac:dyDescent="0.45">
      <c r="A1379" t="s">
        <v>6421</v>
      </c>
      <c r="B1379" s="2">
        <v>46215</v>
      </c>
      <c r="C1379" t="s">
        <v>16</v>
      </c>
      <c r="D1379" t="s">
        <v>6422</v>
      </c>
      <c r="E1379" t="s">
        <v>7973</v>
      </c>
      <c r="F1379">
        <v>10</v>
      </c>
      <c r="G1379" t="s">
        <v>43</v>
      </c>
      <c r="H1379" t="s">
        <v>14</v>
      </c>
      <c r="I1379" t="s">
        <v>31</v>
      </c>
    </row>
    <row r="1380" spans="1:9" x14ac:dyDescent="0.45">
      <c r="A1380" t="s">
        <v>6423</v>
      </c>
      <c r="B1380" s="2">
        <v>46246</v>
      </c>
      <c r="C1380" t="s">
        <v>16</v>
      </c>
      <c r="D1380" t="s">
        <v>6424</v>
      </c>
      <c r="E1380" t="s">
        <v>30</v>
      </c>
      <c r="F1380">
        <v>1</v>
      </c>
      <c r="G1380" t="s">
        <v>68</v>
      </c>
      <c r="H1380" t="s">
        <v>25</v>
      </c>
      <c r="I1380" t="s">
        <v>39</v>
      </c>
    </row>
    <row r="1381" spans="1:9" x14ac:dyDescent="0.45">
      <c r="A1381" t="s">
        <v>6425</v>
      </c>
      <c r="B1381" s="2">
        <v>46128</v>
      </c>
      <c r="C1381" t="s">
        <v>66</v>
      </c>
      <c r="D1381" t="s">
        <v>6426</v>
      </c>
      <c r="E1381" t="s">
        <v>34</v>
      </c>
      <c r="F1381">
        <v>8</v>
      </c>
      <c r="G1381" t="s">
        <v>55</v>
      </c>
      <c r="H1381" t="s">
        <v>72</v>
      </c>
      <c r="I1381" t="s">
        <v>47</v>
      </c>
    </row>
    <row r="1382" spans="1:9" x14ac:dyDescent="0.45">
      <c r="A1382" t="s">
        <v>6427</v>
      </c>
      <c r="B1382" s="2">
        <v>46050</v>
      </c>
      <c r="C1382" t="s">
        <v>52</v>
      </c>
      <c r="D1382" t="s">
        <v>6428</v>
      </c>
      <c r="E1382" t="s">
        <v>46</v>
      </c>
      <c r="F1382">
        <v>8</v>
      </c>
      <c r="G1382" t="s">
        <v>55</v>
      </c>
      <c r="H1382" t="s">
        <v>72</v>
      </c>
      <c r="I1382" t="s">
        <v>39</v>
      </c>
    </row>
    <row r="1383" spans="1:9" x14ac:dyDescent="0.45">
      <c r="A1383" t="s">
        <v>6429</v>
      </c>
      <c r="B1383" s="2">
        <v>46246</v>
      </c>
      <c r="C1383" t="s">
        <v>10</v>
      </c>
      <c r="D1383" t="s">
        <v>6430</v>
      </c>
      <c r="E1383" t="s">
        <v>34</v>
      </c>
      <c r="F1383">
        <v>5</v>
      </c>
      <c r="G1383" t="s">
        <v>24</v>
      </c>
      <c r="H1383" t="s">
        <v>25</v>
      </c>
      <c r="I1383" t="s">
        <v>47</v>
      </c>
    </row>
    <row r="1384" spans="1:9" x14ac:dyDescent="0.45">
      <c r="A1384" t="s">
        <v>6431</v>
      </c>
      <c r="B1384" s="2">
        <v>46151</v>
      </c>
      <c r="C1384" t="s">
        <v>16</v>
      </c>
      <c r="D1384" t="s">
        <v>6432</v>
      </c>
      <c r="E1384" t="s">
        <v>54</v>
      </c>
      <c r="F1384">
        <v>2</v>
      </c>
      <c r="G1384" t="s">
        <v>13</v>
      </c>
      <c r="H1384" t="s">
        <v>14</v>
      </c>
      <c r="I1384" t="s">
        <v>19</v>
      </c>
    </row>
    <row r="1385" spans="1:9" x14ac:dyDescent="0.45">
      <c r="A1385" t="s">
        <v>6433</v>
      </c>
      <c r="B1385" s="2">
        <v>46213</v>
      </c>
      <c r="C1385" t="s">
        <v>28</v>
      </c>
      <c r="D1385" t="s">
        <v>6434</v>
      </c>
      <c r="E1385" t="s">
        <v>23</v>
      </c>
      <c r="F1385">
        <v>1</v>
      </c>
      <c r="G1385" t="s">
        <v>13</v>
      </c>
      <c r="H1385" t="s">
        <v>14</v>
      </c>
      <c r="I1385" t="s">
        <v>19</v>
      </c>
    </row>
    <row r="1386" spans="1:9" x14ac:dyDescent="0.45">
      <c r="A1386" t="s">
        <v>6435</v>
      </c>
      <c r="B1386" s="2">
        <v>46203</v>
      </c>
      <c r="C1386" t="s">
        <v>52</v>
      </c>
      <c r="D1386" t="s">
        <v>6436</v>
      </c>
      <c r="E1386" t="s">
        <v>54</v>
      </c>
      <c r="F1386">
        <v>1</v>
      </c>
      <c r="G1386" t="s">
        <v>18</v>
      </c>
      <c r="H1386" t="s">
        <v>14</v>
      </c>
      <c r="I1386" t="s">
        <v>60</v>
      </c>
    </row>
    <row r="1387" spans="1:9" x14ac:dyDescent="0.45">
      <c r="A1387" t="s">
        <v>6437</v>
      </c>
      <c r="B1387" s="2">
        <v>46072</v>
      </c>
      <c r="C1387" t="s">
        <v>52</v>
      </c>
      <c r="D1387" t="s">
        <v>6438</v>
      </c>
      <c r="E1387" t="s">
        <v>71</v>
      </c>
      <c r="F1387">
        <v>2</v>
      </c>
      <c r="G1387" t="s">
        <v>35</v>
      </c>
      <c r="H1387" t="s">
        <v>25</v>
      </c>
      <c r="I1387" t="s">
        <v>39</v>
      </c>
    </row>
    <row r="1388" spans="1:9" x14ac:dyDescent="0.45">
      <c r="A1388" t="s">
        <v>6439</v>
      </c>
      <c r="B1388" s="2">
        <v>46046</v>
      </c>
      <c r="C1388" t="s">
        <v>52</v>
      </c>
      <c r="D1388" t="s">
        <v>6440</v>
      </c>
      <c r="E1388" t="s">
        <v>54</v>
      </c>
      <c r="F1388">
        <v>6</v>
      </c>
      <c r="G1388" t="s">
        <v>35</v>
      </c>
      <c r="H1388" t="s">
        <v>25</v>
      </c>
      <c r="I1388" t="s">
        <v>31</v>
      </c>
    </row>
    <row r="1389" spans="1:9" x14ac:dyDescent="0.45">
      <c r="A1389" t="s">
        <v>6441</v>
      </c>
      <c r="B1389" s="2">
        <v>46137</v>
      </c>
      <c r="C1389" t="s">
        <v>52</v>
      </c>
      <c r="D1389" t="s">
        <v>6442</v>
      </c>
      <c r="E1389" t="s">
        <v>38</v>
      </c>
      <c r="F1389">
        <v>5</v>
      </c>
      <c r="G1389" t="s">
        <v>55</v>
      </c>
      <c r="H1389" t="s">
        <v>72</v>
      </c>
      <c r="I1389" t="s">
        <v>31</v>
      </c>
    </row>
    <row r="1390" spans="1:9" x14ac:dyDescent="0.45">
      <c r="A1390" t="s">
        <v>6443</v>
      </c>
      <c r="B1390" s="2">
        <v>46165</v>
      </c>
      <c r="C1390" t="s">
        <v>49</v>
      </c>
      <c r="D1390" t="s">
        <v>6444</v>
      </c>
      <c r="E1390" t="s">
        <v>46</v>
      </c>
      <c r="F1390">
        <v>11</v>
      </c>
      <c r="G1390" t="s">
        <v>35</v>
      </c>
      <c r="H1390" t="s">
        <v>25</v>
      </c>
      <c r="I1390" t="s">
        <v>47</v>
      </c>
    </row>
    <row r="1391" spans="1:9" x14ac:dyDescent="0.45">
      <c r="A1391" t="s">
        <v>6445</v>
      </c>
      <c r="B1391" s="2">
        <v>46198</v>
      </c>
      <c r="C1391" t="s">
        <v>16</v>
      </c>
      <c r="D1391" t="s">
        <v>6446</v>
      </c>
      <c r="E1391" t="s">
        <v>75</v>
      </c>
      <c r="F1391">
        <v>5</v>
      </c>
      <c r="G1391" t="s">
        <v>55</v>
      </c>
      <c r="H1391" t="s">
        <v>72</v>
      </c>
      <c r="I1391" t="s">
        <v>19</v>
      </c>
    </row>
    <row r="1392" spans="1:9" x14ac:dyDescent="0.45">
      <c r="A1392" t="s">
        <v>6447</v>
      </c>
      <c r="B1392" s="2">
        <v>46236</v>
      </c>
      <c r="C1392" t="s">
        <v>10</v>
      </c>
      <c r="D1392" t="s">
        <v>6448</v>
      </c>
      <c r="E1392" t="s">
        <v>46</v>
      </c>
      <c r="F1392">
        <v>9</v>
      </c>
      <c r="G1392" t="s">
        <v>18</v>
      </c>
      <c r="H1392" t="s">
        <v>14</v>
      </c>
      <c r="I1392" t="s">
        <v>39</v>
      </c>
    </row>
    <row r="1393" spans="1:9" x14ac:dyDescent="0.45">
      <c r="A1393" t="s">
        <v>6449</v>
      </c>
      <c r="B1393" s="2">
        <v>46129</v>
      </c>
      <c r="C1393" t="s">
        <v>49</v>
      </c>
      <c r="D1393" t="s">
        <v>6450</v>
      </c>
      <c r="E1393" t="s">
        <v>75</v>
      </c>
      <c r="F1393">
        <v>8</v>
      </c>
      <c r="G1393" t="s">
        <v>24</v>
      </c>
      <c r="H1393" t="s">
        <v>25</v>
      </c>
      <c r="I1393" t="s">
        <v>19</v>
      </c>
    </row>
    <row r="1394" spans="1:9" x14ac:dyDescent="0.45">
      <c r="A1394" t="s">
        <v>6451</v>
      </c>
      <c r="B1394" s="2">
        <v>46224</v>
      </c>
      <c r="C1394" t="s">
        <v>52</v>
      </c>
      <c r="D1394" t="s">
        <v>6452</v>
      </c>
      <c r="E1394" t="s">
        <v>7974</v>
      </c>
      <c r="F1394">
        <v>4</v>
      </c>
      <c r="G1394" t="s">
        <v>13</v>
      </c>
      <c r="H1394" t="s">
        <v>14</v>
      </c>
      <c r="I1394" t="s">
        <v>60</v>
      </c>
    </row>
    <row r="1395" spans="1:9" x14ac:dyDescent="0.45">
      <c r="A1395" t="s">
        <v>6453</v>
      </c>
      <c r="B1395" s="2">
        <v>46136</v>
      </c>
      <c r="C1395" t="s">
        <v>16</v>
      </c>
      <c r="D1395" t="s">
        <v>6454</v>
      </c>
      <c r="E1395" t="s">
        <v>71</v>
      </c>
      <c r="F1395">
        <v>10</v>
      </c>
      <c r="G1395" t="s">
        <v>68</v>
      </c>
      <c r="H1395" t="s">
        <v>25</v>
      </c>
      <c r="I1395" t="s">
        <v>47</v>
      </c>
    </row>
    <row r="1396" spans="1:9" x14ac:dyDescent="0.45">
      <c r="A1396" t="s">
        <v>6455</v>
      </c>
      <c r="B1396" s="2">
        <v>46059</v>
      </c>
      <c r="C1396" t="s">
        <v>28</v>
      </c>
      <c r="D1396" t="s">
        <v>6456</v>
      </c>
      <c r="E1396" t="s">
        <v>30</v>
      </c>
      <c r="F1396">
        <v>7</v>
      </c>
      <c r="G1396" t="s">
        <v>43</v>
      </c>
      <c r="H1396" t="s">
        <v>14</v>
      </c>
      <c r="I1396" t="s">
        <v>19</v>
      </c>
    </row>
    <row r="1397" spans="1:9" x14ac:dyDescent="0.45">
      <c r="A1397" t="s">
        <v>6457</v>
      </c>
      <c r="B1397" s="2">
        <v>46061</v>
      </c>
      <c r="C1397" t="s">
        <v>52</v>
      </c>
      <c r="D1397" t="s">
        <v>6458</v>
      </c>
      <c r="E1397" t="s">
        <v>7974</v>
      </c>
      <c r="F1397">
        <v>5</v>
      </c>
      <c r="G1397" t="s">
        <v>35</v>
      </c>
      <c r="H1397" t="s">
        <v>25</v>
      </c>
      <c r="I1397" t="s">
        <v>47</v>
      </c>
    </row>
    <row r="1398" spans="1:9" x14ac:dyDescent="0.45">
      <c r="A1398" t="s">
        <v>6459</v>
      </c>
      <c r="B1398" s="2">
        <v>46140</v>
      </c>
      <c r="C1398" t="s">
        <v>21</v>
      </c>
      <c r="D1398" t="s">
        <v>6460</v>
      </c>
      <c r="E1398" t="s">
        <v>58</v>
      </c>
      <c r="F1398">
        <v>10</v>
      </c>
      <c r="G1398" t="s">
        <v>24</v>
      </c>
      <c r="H1398" t="s">
        <v>25</v>
      </c>
      <c r="I1398" t="s">
        <v>47</v>
      </c>
    </row>
    <row r="1399" spans="1:9" x14ac:dyDescent="0.45">
      <c r="A1399" t="s">
        <v>6461</v>
      </c>
      <c r="B1399" s="2">
        <v>46247</v>
      </c>
      <c r="C1399" t="s">
        <v>49</v>
      </c>
      <c r="D1399" t="s">
        <v>6462</v>
      </c>
      <c r="E1399" t="s">
        <v>71</v>
      </c>
      <c r="F1399">
        <v>5</v>
      </c>
      <c r="G1399" t="s">
        <v>18</v>
      </c>
      <c r="H1399" t="s">
        <v>14</v>
      </c>
      <c r="I1399" t="s">
        <v>60</v>
      </c>
    </row>
    <row r="1400" spans="1:9" x14ac:dyDescent="0.45">
      <c r="A1400" t="s">
        <v>6463</v>
      </c>
      <c r="B1400" s="2">
        <v>46197</v>
      </c>
      <c r="C1400" t="s">
        <v>21</v>
      </c>
      <c r="D1400" t="s">
        <v>6464</v>
      </c>
      <c r="E1400" t="s">
        <v>42</v>
      </c>
      <c r="F1400">
        <v>1</v>
      </c>
      <c r="G1400" t="s">
        <v>43</v>
      </c>
      <c r="H1400" t="s">
        <v>14</v>
      </c>
      <c r="I1400" t="s">
        <v>31</v>
      </c>
    </row>
    <row r="1401" spans="1:9" x14ac:dyDescent="0.45">
      <c r="A1401" t="s">
        <v>6465</v>
      </c>
      <c r="B1401" s="2">
        <v>46082</v>
      </c>
      <c r="C1401" t="s">
        <v>66</v>
      </c>
      <c r="D1401" t="s">
        <v>6466</v>
      </c>
      <c r="E1401" t="s">
        <v>30</v>
      </c>
      <c r="F1401">
        <v>9</v>
      </c>
      <c r="G1401" t="s">
        <v>59</v>
      </c>
      <c r="H1401" t="s">
        <v>14</v>
      </c>
      <c r="I1401" t="s">
        <v>31</v>
      </c>
    </row>
    <row r="1402" spans="1:9" x14ac:dyDescent="0.45">
      <c r="A1402" t="s">
        <v>6467</v>
      </c>
      <c r="B1402" s="2">
        <v>46188</v>
      </c>
      <c r="C1402" t="s">
        <v>21</v>
      </c>
      <c r="D1402" t="s">
        <v>6468</v>
      </c>
      <c r="E1402" t="s">
        <v>23</v>
      </c>
      <c r="F1402">
        <v>1</v>
      </c>
      <c r="G1402" t="s">
        <v>55</v>
      </c>
      <c r="H1402" t="s">
        <v>72</v>
      </c>
      <c r="I1402" t="s">
        <v>31</v>
      </c>
    </row>
    <row r="1403" spans="1:9" x14ac:dyDescent="0.45">
      <c r="A1403" t="s">
        <v>6469</v>
      </c>
      <c r="B1403" s="2">
        <v>46170</v>
      </c>
      <c r="C1403" t="s">
        <v>52</v>
      </c>
      <c r="D1403" t="s">
        <v>6470</v>
      </c>
      <c r="E1403" t="s">
        <v>54</v>
      </c>
      <c r="F1403">
        <v>3</v>
      </c>
      <c r="G1403" t="s">
        <v>18</v>
      </c>
      <c r="H1403" t="s">
        <v>14</v>
      </c>
      <c r="I1403" t="s">
        <v>26</v>
      </c>
    </row>
    <row r="1404" spans="1:9" x14ac:dyDescent="0.45">
      <c r="A1404" t="s">
        <v>6471</v>
      </c>
      <c r="B1404" s="2">
        <v>46137</v>
      </c>
      <c r="C1404" t="s">
        <v>16</v>
      </c>
      <c r="D1404" t="s">
        <v>6472</v>
      </c>
      <c r="E1404" t="s">
        <v>7967</v>
      </c>
      <c r="F1404">
        <v>5</v>
      </c>
      <c r="G1404" t="s">
        <v>18</v>
      </c>
      <c r="H1404" t="s">
        <v>14</v>
      </c>
      <c r="I1404" t="s">
        <v>19</v>
      </c>
    </row>
    <row r="1405" spans="1:9" x14ac:dyDescent="0.45">
      <c r="A1405" t="s">
        <v>6473</v>
      </c>
      <c r="B1405" s="2">
        <v>46068</v>
      </c>
      <c r="C1405" t="s">
        <v>49</v>
      </c>
      <c r="D1405" t="s">
        <v>6474</v>
      </c>
      <c r="E1405" t="s">
        <v>75</v>
      </c>
      <c r="F1405">
        <v>12</v>
      </c>
      <c r="G1405" t="s">
        <v>13</v>
      </c>
      <c r="H1405" t="s">
        <v>14</v>
      </c>
      <c r="I1405" t="s">
        <v>47</v>
      </c>
    </row>
    <row r="1406" spans="1:9" x14ac:dyDescent="0.45">
      <c r="A1406" t="s">
        <v>6475</v>
      </c>
      <c r="B1406" s="2">
        <v>46136</v>
      </c>
      <c r="C1406" t="s">
        <v>21</v>
      </c>
      <c r="D1406" t="s">
        <v>6476</v>
      </c>
      <c r="E1406" t="s">
        <v>30</v>
      </c>
      <c r="F1406">
        <v>1</v>
      </c>
      <c r="G1406" t="s">
        <v>18</v>
      </c>
      <c r="H1406" t="s">
        <v>14</v>
      </c>
      <c r="I1406" t="s">
        <v>26</v>
      </c>
    </row>
    <row r="1407" spans="1:9" x14ac:dyDescent="0.45">
      <c r="A1407" t="s">
        <v>6477</v>
      </c>
      <c r="B1407" s="2">
        <v>46158</v>
      </c>
      <c r="C1407" t="s">
        <v>66</v>
      </c>
      <c r="D1407" t="s">
        <v>6478</v>
      </c>
      <c r="E1407" t="s">
        <v>30</v>
      </c>
      <c r="F1407">
        <v>9</v>
      </c>
      <c r="G1407" t="s">
        <v>18</v>
      </c>
      <c r="H1407" t="s">
        <v>14</v>
      </c>
      <c r="I1407" t="s">
        <v>60</v>
      </c>
    </row>
    <row r="1408" spans="1:9" x14ac:dyDescent="0.45">
      <c r="A1408" t="s">
        <v>6479</v>
      </c>
      <c r="B1408" s="2">
        <v>46187</v>
      </c>
      <c r="C1408" t="s">
        <v>52</v>
      </c>
      <c r="D1408" t="s">
        <v>6480</v>
      </c>
      <c r="E1408" t="s">
        <v>58</v>
      </c>
      <c r="F1408">
        <v>2</v>
      </c>
      <c r="G1408" t="s">
        <v>24</v>
      </c>
      <c r="H1408" t="s">
        <v>25</v>
      </c>
      <c r="I1408" t="s">
        <v>39</v>
      </c>
    </row>
    <row r="1409" spans="1:9" x14ac:dyDescent="0.45">
      <c r="A1409" t="s">
        <v>6481</v>
      </c>
      <c r="B1409" s="2">
        <v>46110</v>
      </c>
      <c r="C1409" t="s">
        <v>16</v>
      </c>
      <c r="D1409" t="s">
        <v>6482</v>
      </c>
      <c r="E1409" t="s">
        <v>7974</v>
      </c>
      <c r="F1409">
        <v>1</v>
      </c>
      <c r="G1409" t="s">
        <v>18</v>
      </c>
      <c r="H1409" t="s">
        <v>14</v>
      </c>
      <c r="I1409" t="s">
        <v>31</v>
      </c>
    </row>
    <row r="1410" spans="1:9" x14ac:dyDescent="0.45">
      <c r="A1410" t="s">
        <v>6483</v>
      </c>
      <c r="B1410" s="2">
        <v>46063</v>
      </c>
      <c r="C1410" t="s">
        <v>99</v>
      </c>
      <c r="D1410" t="s">
        <v>6484</v>
      </c>
      <c r="E1410" t="s">
        <v>71</v>
      </c>
      <c r="F1410">
        <v>1</v>
      </c>
      <c r="G1410" t="s">
        <v>18</v>
      </c>
      <c r="H1410" t="s">
        <v>14</v>
      </c>
      <c r="I1410" t="s">
        <v>39</v>
      </c>
    </row>
    <row r="1411" spans="1:9" x14ac:dyDescent="0.45">
      <c r="A1411" t="s">
        <v>6485</v>
      </c>
      <c r="B1411" s="2">
        <v>46210</v>
      </c>
      <c r="C1411" t="s">
        <v>49</v>
      </c>
      <c r="D1411" t="s">
        <v>6486</v>
      </c>
      <c r="E1411" t="s">
        <v>30</v>
      </c>
      <c r="F1411">
        <v>8</v>
      </c>
      <c r="G1411" t="s">
        <v>24</v>
      </c>
      <c r="H1411" t="s">
        <v>25</v>
      </c>
      <c r="I1411" t="s">
        <v>60</v>
      </c>
    </row>
    <row r="1412" spans="1:9" x14ac:dyDescent="0.45">
      <c r="A1412" t="s">
        <v>6487</v>
      </c>
      <c r="B1412" s="2">
        <v>46120</v>
      </c>
      <c r="C1412" t="s">
        <v>52</v>
      </c>
      <c r="D1412" t="s">
        <v>6488</v>
      </c>
      <c r="E1412" t="s">
        <v>58</v>
      </c>
      <c r="F1412">
        <v>2</v>
      </c>
      <c r="G1412" t="s">
        <v>18</v>
      </c>
      <c r="H1412" t="s">
        <v>14</v>
      </c>
      <c r="I1412" t="s">
        <v>26</v>
      </c>
    </row>
    <row r="1413" spans="1:9" x14ac:dyDescent="0.45">
      <c r="A1413" t="s">
        <v>6489</v>
      </c>
      <c r="B1413" s="2">
        <v>46128</v>
      </c>
      <c r="C1413" t="s">
        <v>28</v>
      </c>
      <c r="D1413" t="s">
        <v>6490</v>
      </c>
      <c r="E1413" t="s">
        <v>23</v>
      </c>
      <c r="F1413">
        <v>9</v>
      </c>
      <c r="G1413" t="s">
        <v>55</v>
      </c>
      <c r="H1413" t="s">
        <v>72</v>
      </c>
      <c r="I1413" t="s">
        <v>60</v>
      </c>
    </row>
    <row r="1414" spans="1:9" x14ac:dyDescent="0.45">
      <c r="A1414" t="s">
        <v>6491</v>
      </c>
      <c r="B1414" s="2">
        <v>46265</v>
      </c>
      <c r="C1414" t="s">
        <v>66</v>
      </c>
      <c r="D1414" t="s">
        <v>6492</v>
      </c>
      <c r="E1414" t="s">
        <v>34</v>
      </c>
      <c r="F1414">
        <v>5</v>
      </c>
      <c r="G1414" t="s">
        <v>24</v>
      </c>
      <c r="H1414" t="s">
        <v>25</v>
      </c>
      <c r="I1414" t="s">
        <v>47</v>
      </c>
    </row>
    <row r="1415" spans="1:9" x14ac:dyDescent="0.45">
      <c r="A1415" t="s">
        <v>6493</v>
      </c>
      <c r="B1415" s="2">
        <v>46118</v>
      </c>
      <c r="C1415" t="s">
        <v>66</v>
      </c>
      <c r="D1415" t="s">
        <v>6494</v>
      </c>
      <c r="E1415" t="s">
        <v>58</v>
      </c>
      <c r="F1415">
        <v>9</v>
      </c>
      <c r="G1415" t="s">
        <v>68</v>
      </c>
      <c r="H1415" t="s">
        <v>25</v>
      </c>
      <c r="I1415" t="s">
        <v>26</v>
      </c>
    </row>
    <row r="1416" spans="1:9" x14ac:dyDescent="0.45">
      <c r="A1416" t="s">
        <v>6495</v>
      </c>
      <c r="B1416" s="2">
        <v>46048</v>
      </c>
      <c r="C1416" t="s">
        <v>49</v>
      </c>
      <c r="D1416" t="s">
        <v>6496</v>
      </c>
      <c r="E1416" t="s">
        <v>7967</v>
      </c>
      <c r="F1416">
        <v>1</v>
      </c>
      <c r="G1416" t="s">
        <v>24</v>
      </c>
      <c r="H1416" t="s">
        <v>25</v>
      </c>
      <c r="I1416" t="s">
        <v>60</v>
      </c>
    </row>
    <row r="1417" spans="1:9" x14ac:dyDescent="0.45">
      <c r="A1417" t="s">
        <v>6497</v>
      </c>
      <c r="B1417" s="2">
        <v>46030</v>
      </c>
      <c r="C1417" t="s">
        <v>21</v>
      </c>
      <c r="D1417" t="s">
        <v>6498</v>
      </c>
      <c r="E1417" t="s">
        <v>38</v>
      </c>
      <c r="F1417">
        <v>2</v>
      </c>
      <c r="G1417" t="s">
        <v>59</v>
      </c>
      <c r="H1417" t="s">
        <v>14</v>
      </c>
      <c r="I1417" t="s">
        <v>39</v>
      </c>
    </row>
    <row r="1418" spans="1:9" x14ac:dyDescent="0.45">
      <c r="A1418" t="s">
        <v>6499</v>
      </c>
      <c r="B1418" s="2">
        <v>46086</v>
      </c>
      <c r="C1418" t="s">
        <v>21</v>
      </c>
      <c r="D1418" t="s">
        <v>6500</v>
      </c>
      <c r="E1418" t="s">
        <v>54</v>
      </c>
      <c r="F1418">
        <v>11</v>
      </c>
      <c r="G1418" t="s">
        <v>55</v>
      </c>
      <c r="H1418" t="s">
        <v>72</v>
      </c>
      <c r="I1418" t="s">
        <v>39</v>
      </c>
    </row>
    <row r="1419" spans="1:9" x14ac:dyDescent="0.45">
      <c r="A1419" t="s">
        <v>6501</v>
      </c>
      <c r="B1419" s="2">
        <v>46226</v>
      </c>
      <c r="C1419" t="s">
        <v>99</v>
      </c>
      <c r="D1419" t="s">
        <v>6502</v>
      </c>
      <c r="E1419" t="s">
        <v>7973</v>
      </c>
      <c r="F1419">
        <v>7</v>
      </c>
      <c r="G1419" t="s">
        <v>13</v>
      </c>
      <c r="H1419" t="s">
        <v>14</v>
      </c>
      <c r="I1419" t="s">
        <v>39</v>
      </c>
    </row>
    <row r="1420" spans="1:9" x14ac:dyDescent="0.45">
      <c r="A1420" t="s">
        <v>6503</v>
      </c>
      <c r="B1420" s="2">
        <v>46155</v>
      </c>
      <c r="C1420" t="s">
        <v>52</v>
      </c>
      <c r="D1420" t="s">
        <v>6504</v>
      </c>
      <c r="E1420" t="s">
        <v>58</v>
      </c>
      <c r="F1420">
        <v>10</v>
      </c>
      <c r="G1420" t="s">
        <v>55</v>
      </c>
      <c r="H1420" t="s">
        <v>72</v>
      </c>
      <c r="I1420" t="s">
        <v>31</v>
      </c>
    </row>
    <row r="1421" spans="1:9" x14ac:dyDescent="0.45">
      <c r="A1421" t="s">
        <v>6505</v>
      </c>
      <c r="B1421" s="2">
        <v>46171</v>
      </c>
      <c r="C1421" t="s">
        <v>52</v>
      </c>
      <c r="D1421" t="s">
        <v>6506</v>
      </c>
      <c r="E1421" t="s">
        <v>30</v>
      </c>
      <c r="F1421">
        <v>8</v>
      </c>
      <c r="G1421" t="s">
        <v>13</v>
      </c>
      <c r="H1421" t="s">
        <v>14</v>
      </c>
      <c r="I1421" t="s">
        <v>19</v>
      </c>
    </row>
    <row r="1422" spans="1:9" x14ac:dyDescent="0.45">
      <c r="A1422" t="s">
        <v>6507</v>
      </c>
      <c r="B1422" s="2">
        <v>46176</v>
      </c>
      <c r="C1422" t="s">
        <v>21</v>
      </c>
      <c r="D1422" t="s">
        <v>6508</v>
      </c>
      <c r="E1422" t="s">
        <v>30</v>
      </c>
      <c r="F1422">
        <v>3</v>
      </c>
      <c r="G1422" t="s">
        <v>13</v>
      </c>
      <c r="H1422" t="s">
        <v>14</v>
      </c>
      <c r="I1422" t="s">
        <v>19</v>
      </c>
    </row>
    <row r="1423" spans="1:9" x14ac:dyDescent="0.45">
      <c r="A1423" t="s">
        <v>6509</v>
      </c>
      <c r="B1423" s="2">
        <v>46044</v>
      </c>
      <c r="C1423" t="s">
        <v>66</v>
      </c>
      <c r="D1423" t="s">
        <v>6510</v>
      </c>
      <c r="E1423" t="s">
        <v>34</v>
      </c>
      <c r="F1423">
        <v>8</v>
      </c>
      <c r="G1423" t="s">
        <v>13</v>
      </c>
      <c r="H1423" t="s">
        <v>14</v>
      </c>
      <c r="I1423" t="s">
        <v>31</v>
      </c>
    </row>
    <row r="1424" spans="1:9" x14ac:dyDescent="0.45">
      <c r="A1424" t="s">
        <v>6511</v>
      </c>
      <c r="B1424" s="2">
        <v>46123</v>
      </c>
      <c r="C1424" t="s">
        <v>66</v>
      </c>
      <c r="D1424" t="s">
        <v>6512</v>
      </c>
      <c r="E1424" t="s">
        <v>38</v>
      </c>
      <c r="F1424">
        <v>2</v>
      </c>
      <c r="G1424" t="s">
        <v>35</v>
      </c>
      <c r="H1424" t="s">
        <v>25</v>
      </c>
      <c r="I1424" t="s">
        <v>26</v>
      </c>
    </row>
    <row r="1425" spans="1:9" x14ac:dyDescent="0.45">
      <c r="A1425" t="s">
        <v>6513</v>
      </c>
      <c r="B1425" s="2">
        <v>46268</v>
      </c>
      <c r="C1425" t="s">
        <v>10</v>
      </c>
      <c r="D1425" t="s">
        <v>6514</v>
      </c>
      <c r="E1425" t="s">
        <v>58</v>
      </c>
      <c r="F1425">
        <v>9</v>
      </c>
      <c r="G1425" t="s">
        <v>55</v>
      </c>
      <c r="H1425" t="s">
        <v>72</v>
      </c>
      <c r="I1425" t="s">
        <v>47</v>
      </c>
    </row>
    <row r="1426" spans="1:9" x14ac:dyDescent="0.45">
      <c r="A1426" t="s">
        <v>6515</v>
      </c>
      <c r="B1426" s="2">
        <v>46179</v>
      </c>
      <c r="C1426" t="s">
        <v>52</v>
      </c>
      <c r="D1426" t="s">
        <v>6516</v>
      </c>
      <c r="E1426" t="s">
        <v>71</v>
      </c>
      <c r="F1426">
        <v>3</v>
      </c>
      <c r="G1426" t="s">
        <v>18</v>
      </c>
      <c r="H1426" t="s">
        <v>14</v>
      </c>
      <c r="I1426" t="s">
        <v>60</v>
      </c>
    </row>
    <row r="1427" spans="1:9" x14ac:dyDescent="0.45">
      <c r="A1427" t="s">
        <v>6517</v>
      </c>
      <c r="B1427" s="2">
        <v>46026</v>
      </c>
      <c r="C1427" t="s">
        <v>16</v>
      </c>
      <c r="D1427" t="s">
        <v>6518</v>
      </c>
      <c r="E1427" t="s">
        <v>42</v>
      </c>
      <c r="F1427">
        <v>10</v>
      </c>
      <c r="G1427" t="s">
        <v>68</v>
      </c>
      <c r="H1427" t="s">
        <v>25</v>
      </c>
      <c r="I1427" t="s">
        <v>26</v>
      </c>
    </row>
    <row r="1428" spans="1:9" x14ac:dyDescent="0.45">
      <c r="A1428" t="s">
        <v>6519</v>
      </c>
      <c r="B1428" s="2">
        <v>46037</v>
      </c>
      <c r="C1428" t="s">
        <v>16</v>
      </c>
      <c r="D1428" t="s">
        <v>6520</v>
      </c>
      <c r="E1428" t="s">
        <v>42</v>
      </c>
      <c r="F1428">
        <v>5</v>
      </c>
      <c r="G1428" t="s">
        <v>59</v>
      </c>
      <c r="H1428" t="s">
        <v>14</v>
      </c>
      <c r="I1428" t="s">
        <v>60</v>
      </c>
    </row>
    <row r="1429" spans="1:9" x14ac:dyDescent="0.45">
      <c r="A1429" t="s">
        <v>6521</v>
      </c>
      <c r="B1429" s="2">
        <v>46224</v>
      </c>
      <c r="C1429" t="s">
        <v>16</v>
      </c>
      <c r="D1429" t="s">
        <v>6522</v>
      </c>
      <c r="E1429" t="s">
        <v>7973</v>
      </c>
      <c r="F1429">
        <v>9</v>
      </c>
      <c r="G1429" t="s">
        <v>59</v>
      </c>
      <c r="H1429" t="s">
        <v>14</v>
      </c>
      <c r="I1429" t="s">
        <v>39</v>
      </c>
    </row>
    <row r="1430" spans="1:9" x14ac:dyDescent="0.45">
      <c r="A1430" t="s">
        <v>6523</v>
      </c>
      <c r="B1430" s="2">
        <v>46083</v>
      </c>
      <c r="C1430" t="s">
        <v>28</v>
      </c>
      <c r="D1430" t="s">
        <v>6524</v>
      </c>
      <c r="E1430" t="s">
        <v>75</v>
      </c>
      <c r="F1430">
        <v>3</v>
      </c>
      <c r="G1430" t="s">
        <v>13</v>
      </c>
      <c r="H1430" t="s">
        <v>14</v>
      </c>
      <c r="I1430" t="s">
        <v>19</v>
      </c>
    </row>
    <row r="1431" spans="1:9" x14ac:dyDescent="0.45">
      <c r="A1431" t="s">
        <v>6525</v>
      </c>
      <c r="B1431" s="2">
        <v>46163</v>
      </c>
      <c r="C1431" t="s">
        <v>66</v>
      </c>
      <c r="D1431" t="s">
        <v>6526</v>
      </c>
      <c r="E1431" t="s">
        <v>7973</v>
      </c>
      <c r="F1431">
        <v>3</v>
      </c>
      <c r="G1431" t="s">
        <v>35</v>
      </c>
      <c r="H1431" t="s">
        <v>25</v>
      </c>
      <c r="I1431" t="s">
        <v>19</v>
      </c>
    </row>
    <row r="1432" spans="1:9" x14ac:dyDescent="0.45">
      <c r="A1432" t="s">
        <v>6527</v>
      </c>
      <c r="B1432" s="2">
        <v>46258</v>
      </c>
      <c r="C1432" t="s">
        <v>66</v>
      </c>
      <c r="D1432" t="s">
        <v>6528</v>
      </c>
      <c r="E1432" t="s">
        <v>34</v>
      </c>
      <c r="F1432">
        <v>10</v>
      </c>
      <c r="G1432" t="s">
        <v>68</v>
      </c>
      <c r="H1432" t="s">
        <v>25</v>
      </c>
      <c r="I1432" t="s">
        <v>31</v>
      </c>
    </row>
    <row r="1433" spans="1:9" x14ac:dyDescent="0.45">
      <c r="A1433" t="s">
        <v>6529</v>
      </c>
      <c r="B1433" s="2">
        <v>46135</v>
      </c>
      <c r="C1433" t="s">
        <v>10</v>
      </c>
      <c r="D1433" t="s">
        <v>6530</v>
      </c>
      <c r="E1433" t="s">
        <v>54</v>
      </c>
      <c r="F1433">
        <v>10</v>
      </c>
      <c r="G1433" t="s">
        <v>35</v>
      </c>
      <c r="H1433" t="s">
        <v>25</v>
      </c>
      <c r="I1433" t="s">
        <v>26</v>
      </c>
    </row>
    <row r="1434" spans="1:9" x14ac:dyDescent="0.45">
      <c r="A1434" t="s">
        <v>6531</v>
      </c>
      <c r="B1434" s="2">
        <v>46257</v>
      </c>
      <c r="C1434" t="s">
        <v>10</v>
      </c>
      <c r="D1434" t="s">
        <v>6532</v>
      </c>
      <c r="E1434" t="s">
        <v>58</v>
      </c>
      <c r="F1434">
        <v>1</v>
      </c>
      <c r="G1434" t="s">
        <v>43</v>
      </c>
      <c r="H1434" t="s">
        <v>14</v>
      </c>
      <c r="I1434" t="s">
        <v>39</v>
      </c>
    </row>
    <row r="1435" spans="1:9" x14ac:dyDescent="0.45">
      <c r="A1435" t="s">
        <v>6533</v>
      </c>
      <c r="B1435" s="2">
        <v>46046</v>
      </c>
      <c r="C1435" t="s">
        <v>16</v>
      </c>
      <c r="D1435" t="s">
        <v>6534</v>
      </c>
      <c r="E1435" t="s">
        <v>46</v>
      </c>
      <c r="F1435">
        <v>10</v>
      </c>
      <c r="G1435" t="s">
        <v>24</v>
      </c>
      <c r="H1435" t="s">
        <v>25</v>
      </c>
      <c r="I1435" t="s">
        <v>60</v>
      </c>
    </row>
    <row r="1436" spans="1:9" x14ac:dyDescent="0.45">
      <c r="A1436" t="s">
        <v>6535</v>
      </c>
      <c r="B1436" s="2">
        <v>46024</v>
      </c>
      <c r="C1436" t="s">
        <v>99</v>
      </c>
      <c r="D1436" t="s">
        <v>6536</v>
      </c>
      <c r="E1436" t="s">
        <v>54</v>
      </c>
      <c r="F1436">
        <v>1</v>
      </c>
      <c r="G1436" t="s">
        <v>43</v>
      </c>
      <c r="H1436" t="s">
        <v>14</v>
      </c>
      <c r="I1436" t="s">
        <v>39</v>
      </c>
    </row>
    <row r="1437" spans="1:9" x14ac:dyDescent="0.45">
      <c r="A1437" t="s">
        <v>6537</v>
      </c>
      <c r="B1437" s="2">
        <v>46033</v>
      </c>
      <c r="C1437" t="s">
        <v>16</v>
      </c>
      <c r="D1437" t="s">
        <v>6538</v>
      </c>
      <c r="E1437" t="s">
        <v>54</v>
      </c>
      <c r="F1437">
        <v>10</v>
      </c>
      <c r="G1437" t="s">
        <v>13</v>
      </c>
      <c r="H1437" t="s">
        <v>14</v>
      </c>
      <c r="I1437" t="s">
        <v>47</v>
      </c>
    </row>
    <row r="1438" spans="1:9" x14ac:dyDescent="0.45">
      <c r="A1438" t="s">
        <v>6539</v>
      </c>
      <c r="B1438" s="2">
        <v>46050</v>
      </c>
      <c r="C1438" t="s">
        <v>16</v>
      </c>
      <c r="D1438" t="s">
        <v>6540</v>
      </c>
      <c r="E1438" t="s">
        <v>75</v>
      </c>
      <c r="F1438">
        <v>3</v>
      </c>
      <c r="G1438" t="s">
        <v>24</v>
      </c>
      <c r="H1438" t="s">
        <v>25</v>
      </c>
      <c r="I1438" t="s">
        <v>31</v>
      </c>
    </row>
    <row r="1439" spans="1:9" x14ac:dyDescent="0.45">
      <c r="A1439" t="s">
        <v>6541</v>
      </c>
      <c r="B1439" s="2">
        <v>46268</v>
      </c>
      <c r="C1439" t="s">
        <v>49</v>
      </c>
      <c r="D1439" t="s">
        <v>6542</v>
      </c>
      <c r="E1439" t="s">
        <v>7973</v>
      </c>
      <c r="F1439">
        <v>9</v>
      </c>
      <c r="G1439" t="s">
        <v>55</v>
      </c>
      <c r="H1439" t="s">
        <v>72</v>
      </c>
      <c r="I1439" t="s">
        <v>26</v>
      </c>
    </row>
    <row r="1440" spans="1:9" x14ac:dyDescent="0.45">
      <c r="A1440" t="s">
        <v>6543</v>
      </c>
      <c r="B1440" s="2">
        <v>46112</v>
      </c>
      <c r="C1440" t="s">
        <v>16</v>
      </c>
      <c r="D1440" t="s">
        <v>6544</v>
      </c>
      <c r="E1440" t="s">
        <v>7974</v>
      </c>
      <c r="F1440">
        <v>2</v>
      </c>
      <c r="G1440" t="s">
        <v>13</v>
      </c>
      <c r="H1440" t="s">
        <v>14</v>
      </c>
      <c r="I1440" t="s">
        <v>39</v>
      </c>
    </row>
    <row r="1441" spans="1:9" x14ac:dyDescent="0.45">
      <c r="A1441" t="s">
        <v>6545</v>
      </c>
      <c r="B1441" s="2">
        <v>46184</v>
      </c>
      <c r="C1441" t="s">
        <v>99</v>
      </c>
      <c r="D1441" t="s">
        <v>6546</v>
      </c>
      <c r="E1441" t="s">
        <v>42</v>
      </c>
      <c r="F1441">
        <v>5</v>
      </c>
      <c r="G1441" t="s">
        <v>59</v>
      </c>
      <c r="H1441" t="s">
        <v>14</v>
      </c>
      <c r="I1441" t="s">
        <v>60</v>
      </c>
    </row>
    <row r="1442" spans="1:9" x14ac:dyDescent="0.45">
      <c r="A1442" t="s">
        <v>6547</v>
      </c>
      <c r="B1442" s="2">
        <v>46146</v>
      </c>
      <c r="C1442" t="s">
        <v>99</v>
      </c>
      <c r="D1442" t="s">
        <v>6548</v>
      </c>
      <c r="E1442" t="s">
        <v>38</v>
      </c>
      <c r="F1442">
        <v>12</v>
      </c>
      <c r="G1442" t="s">
        <v>55</v>
      </c>
      <c r="H1442" t="s">
        <v>72</v>
      </c>
      <c r="I1442" t="s">
        <v>19</v>
      </c>
    </row>
    <row r="1443" spans="1:9" x14ac:dyDescent="0.45">
      <c r="A1443" t="s">
        <v>6549</v>
      </c>
      <c r="B1443" s="2">
        <v>46081</v>
      </c>
      <c r="C1443" t="s">
        <v>16</v>
      </c>
      <c r="D1443" t="s">
        <v>6550</v>
      </c>
      <c r="E1443" t="s">
        <v>75</v>
      </c>
      <c r="F1443">
        <v>1</v>
      </c>
      <c r="G1443" t="s">
        <v>13</v>
      </c>
      <c r="H1443" t="s">
        <v>14</v>
      </c>
      <c r="I1443" t="s">
        <v>60</v>
      </c>
    </row>
    <row r="1444" spans="1:9" x14ac:dyDescent="0.45">
      <c r="A1444" t="s">
        <v>6551</v>
      </c>
      <c r="B1444" s="2">
        <v>46263</v>
      </c>
      <c r="C1444" t="s">
        <v>10</v>
      </c>
      <c r="D1444" t="s">
        <v>6552</v>
      </c>
      <c r="E1444" t="s">
        <v>38</v>
      </c>
      <c r="F1444">
        <v>2</v>
      </c>
      <c r="G1444" t="s">
        <v>68</v>
      </c>
      <c r="H1444" t="s">
        <v>25</v>
      </c>
      <c r="I1444" t="s">
        <v>47</v>
      </c>
    </row>
    <row r="1445" spans="1:9" x14ac:dyDescent="0.45">
      <c r="A1445" t="s">
        <v>6553</v>
      </c>
      <c r="B1445" s="2">
        <v>46220</v>
      </c>
      <c r="C1445" t="s">
        <v>52</v>
      </c>
      <c r="D1445" t="s">
        <v>6554</v>
      </c>
      <c r="E1445" t="s">
        <v>58</v>
      </c>
      <c r="F1445">
        <v>6</v>
      </c>
      <c r="G1445" t="s">
        <v>24</v>
      </c>
      <c r="H1445" t="s">
        <v>25</v>
      </c>
      <c r="I1445" t="s">
        <v>47</v>
      </c>
    </row>
    <row r="1446" spans="1:9" x14ac:dyDescent="0.45">
      <c r="A1446" t="s">
        <v>6555</v>
      </c>
      <c r="B1446" s="2">
        <v>46172</v>
      </c>
      <c r="C1446" t="s">
        <v>99</v>
      </c>
      <c r="D1446" t="s">
        <v>6556</v>
      </c>
      <c r="E1446" t="s">
        <v>58</v>
      </c>
      <c r="F1446">
        <v>3</v>
      </c>
      <c r="G1446" t="s">
        <v>24</v>
      </c>
      <c r="H1446" t="s">
        <v>25</v>
      </c>
      <c r="I1446" t="s">
        <v>31</v>
      </c>
    </row>
    <row r="1447" spans="1:9" x14ac:dyDescent="0.45">
      <c r="A1447" t="s">
        <v>6557</v>
      </c>
      <c r="B1447" s="2">
        <v>46032</v>
      </c>
      <c r="C1447" t="s">
        <v>16</v>
      </c>
      <c r="D1447" t="s">
        <v>6558</v>
      </c>
      <c r="E1447" t="s">
        <v>34</v>
      </c>
      <c r="F1447">
        <v>9</v>
      </c>
      <c r="G1447" t="s">
        <v>35</v>
      </c>
      <c r="H1447" t="s">
        <v>25</v>
      </c>
      <c r="I1447" t="s">
        <v>60</v>
      </c>
    </row>
    <row r="1448" spans="1:9" x14ac:dyDescent="0.45">
      <c r="A1448" t="s">
        <v>6559</v>
      </c>
      <c r="B1448" s="2">
        <v>46172</v>
      </c>
      <c r="C1448" t="s">
        <v>49</v>
      </c>
      <c r="D1448" t="s">
        <v>6560</v>
      </c>
      <c r="E1448" t="s">
        <v>7967</v>
      </c>
      <c r="F1448">
        <v>11</v>
      </c>
      <c r="G1448" t="s">
        <v>18</v>
      </c>
      <c r="H1448" t="s">
        <v>14</v>
      </c>
      <c r="I1448" t="s">
        <v>26</v>
      </c>
    </row>
    <row r="1449" spans="1:9" x14ac:dyDescent="0.45">
      <c r="A1449" t="s">
        <v>6561</v>
      </c>
      <c r="B1449" s="2">
        <v>46066</v>
      </c>
      <c r="C1449" t="s">
        <v>16</v>
      </c>
      <c r="D1449" t="s">
        <v>6562</v>
      </c>
      <c r="E1449" t="s">
        <v>42</v>
      </c>
      <c r="F1449">
        <v>11</v>
      </c>
      <c r="G1449" t="s">
        <v>43</v>
      </c>
      <c r="H1449" t="s">
        <v>14</v>
      </c>
      <c r="I1449" t="s">
        <v>39</v>
      </c>
    </row>
    <row r="1450" spans="1:9" x14ac:dyDescent="0.45">
      <c r="A1450" t="s">
        <v>6563</v>
      </c>
      <c r="B1450" s="2">
        <v>46220</v>
      </c>
      <c r="C1450" t="s">
        <v>10</v>
      </c>
      <c r="D1450" t="s">
        <v>6564</v>
      </c>
      <c r="E1450" t="s">
        <v>46</v>
      </c>
      <c r="F1450">
        <v>4</v>
      </c>
      <c r="G1450" t="s">
        <v>59</v>
      </c>
      <c r="H1450" t="s">
        <v>14</v>
      </c>
      <c r="I1450" t="s">
        <v>26</v>
      </c>
    </row>
    <row r="1451" spans="1:9" x14ac:dyDescent="0.45">
      <c r="A1451" t="s">
        <v>6565</v>
      </c>
      <c r="B1451" s="2">
        <v>46263</v>
      </c>
      <c r="C1451" t="s">
        <v>99</v>
      </c>
      <c r="D1451" t="s">
        <v>6566</v>
      </c>
      <c r="E1451" t="s">
        <v>71</v>
      </c>
      <c r="F1451">
        <v>5</v>
      </c>
      <c r="G1451" t="s">
        <v>55</v>
      </c>
      <c r="H1451" t="s">
        <v>72</v>
      </c>
      <c r="I1451" t="s">
        <v>19</v>
      </c>
    </row>
    <row r="1452" spans="1:9" x14ac:dyDescent="0.45">
      <c r="A1452" t="s">
        <v>6567</v>
      </c>
      <c r="B1452" s="2">
        <v>46156</v>
      </c>
      <c r="C1452" t="s">
        <v>52</v>
      </c>
      <c r="D1452" t="s">
        <v>6568</v>
      </c>
      <c r="E1452" t="s">
        <v>75</v>
      </c>
      <c r="F1452">
        <v>10</v>
      </c>
      <c r="G1452" t="s">
        <v>68</v>
      </c>
      <c r="H1452" t="s">
        <v>25</v>
      </c>
      <c r="I1452" t="s">
        <v>19</v>
      </c>
    </row>
    <row r="1453" spans="1:9" x14ac:dyDescent="0.45">
      <c r="A1453" t="s">
        <v>6569</v>
      </c>
      <c r="B1453" s="2">
        <v>46256</v>
      </c>
      <c r="C1453" t="s">
        <v>16</v>
      </c>
      <c r="D1453" t="s">
        <v>6570</v>
      </c>
      <c r="E1453" t="s">
        <v>46</v>
      </c>
      <c r="F1453">
        <v>3</v>
      </c>
      <c r="G1453" t="s">
        <v>43</v>
      </c>
      <c r="H1453" t="s">
        <v>14</v>
      </c>
      <c r="I1453" t="s">
        <v>47</v>
      </c>
    </row>
    <row r="1454" spans="1:9" x14ac:dyDescent="0.45">
      <c r="A1454" t="s">
        <v>6571</v>
      </c>
      <c r="B1454" s="2">
        <v>46106</v>
      </c>
      <c r="C1454" t="s">
        <v>49</v>
      </c>
      <c r="D1454" t="s">
        <v>6572</v>
      </c>
      <c r="E1454" t="s">
        <v>58</v>
      </c>
      <c r="F1454">
        <v>10</v>
      </c>
      <c r="G1454" t="s">
        <v>18</v>
      </c>
      <c r="H1454" t="s">
        <v>14</v>
      </c>
      <c r="I1454" t="s">
        <v>60</v>
      </c>
    </row>
    <row r="1455" spans="1:9" x14ac:dyDescent="0.45">
      <c r="A1455" t="s">
        <v>6573</v>
      </c>
      <c r="B1455" s="2">
        <v>46240</v>
      </c>
      <c r="C1455" t="s">
        <v>52</v>
      </c>
      <c r="D1455" t="s">
        <v>6574</v>
      </c>
      <c r="E1455" t="s">
        <v>34</v>
      </c>
      <c r="F1455">
        <v>8</v>
      </c>
      <c r="G1455" t="s">
        <v>55</v>
      </c>
      <c r="H1455" t="s">
        <v>72</v>
      </c>
      <c r="I1455" t="s">
        <v>39</v>
      </c>
    </row>
    <row r="1456" spans="1:9" x14ac:dyDescent="0.45">
      <c r="A1456" t="s">
        <v>6575</v>
      </c>
      <c r="B1456" s="2">
        <v>46186</v>
      </c>
      <c r="C1456" t="s">
        <v>16</v>
      </c>
      <c r="D1456" t="s">
        <v>6576</v>
      </c>
      <c r="E1456" t="s">
        <v>30</v>
      </c>
      <c r="F1456">
        <v>4</v>
      </c>
      <c r="G1456" t="s">
        <v>68</v>
      </c>
      <c r="H1456" t="s">
        <v>25</v>
      </c>
      <c r="I1456" t="s">
        <v>47</v>
      </c>
    </row>
    <row r="1457" spans="1:9" x14ac:dyDescent="0.45">
      <c r="A1457" t="s">
        <v>6577</v>
      </c>
      <c r="B1457" s="2">
        <v>46227</v>
      </c>
      <c r="C1457" t="s">
        <v>52</v>
      </c>
      <c r="D1457" t="s">
        <v>6578</v>
      </c>
      <c r="E1457" t="s">
        <v>71</v>
      </c>
      <c r="F1457">
        <v>4</v>
      </c>
      <c r="G1457" t="s">
        <v>18</v>
      </c>
      <c r="H1457" t="s">
        <v>14</v>
      </c>
      <c r="I1457" t="s">
        <v>26</v>
      </c>
    </row>
    <row r="1458" spans="1:9" x14ac:dyDescent="0.45">
      <c r="A1458" t="s">
        <v>6579</v>
      </c>
      <c r="B1458" s="2">
        <v>46131</v>
      </c>
      <c r="C1458" t="s">
        <v>28</v>
      </c>
      <c r="D1458" t="s">
        <v>6580</v>
      </c>
      <c r="E1458" t="s">
        <v>38</v>
      </c>
      <c r="F1458">
        <v>8</v>
      </c>
      <c r="G1458" t="s">
        <v>18</v>
      </c>
      <c r="H1458" t="s">
        <v>14</v>
      </c>
      <c r="I1458" t="s">
        <v>19</v>
      </c>
    </row>
    <row r="1459" spans="1:9" x14ac:dyDescent="0.45">
      <c r="A1459" t="s">
        <v>6581</v>
      </c>
      <c r="B1459" s="2">
        <v>46132</v>
      </c>
      <c r="C1459" t="s">
        <v>10</v>
      </c>
      <c r="D1459" t="s">
        <v>6582</v>
      </c>
      <c r="E1459" t="s">
        <v>34</v>
      </c>
      <c r="F1459">
        <v>6</v>
      </c>
      <c r="G1459" t="s">
        <v>43</v>
      </c>
      <c r="H1459" t="s">
        <v>14</v>
      </c>
      <c r="I1459" t="s">
        <v>39</v>
      </c>
    </row>
    <row r="1460" spans="1:9" x14ac:dyDescent="0.45">
      <c r="A1460" t="s">
        <v>6583</v>
      </c>
      <c r="B1460" s="2">
        <v>46175</v>
      </c>
      <c r="C1460" t="s">
        <v>52</v>
      </c>
      <c r="D1460" t="s">
        <v>6584</v>
      </c>
      <c r="E1460" t="s">
        <v>30</v>
      </c>
      <c r="F1460">
        <v>12</v>
      </c>
      <c r="G1460" t="s">
        <v>43</v>
      </c>
      <c r="H1460" t="s">
        <v>14</v>
      </c>
      <c r="I1460" t="s">
        <v>60</v>
      </c>
    </row>
    <row r="1461" spans="1:9" x14ac:dyDescent="0.45">
      <c r="A1461" t="s">
        <v>6585</v>
      </c>
      <c r="B1461" s="2">
        <v>46267</v>
      </c>
      <c r="C1461" t="s">
        <v>16</v>
      </c>
      <c r="D1461" t="s">
        <v>6586</v>
      </c>
      <c r="E1461" t="s">
        <v>58</v>
      </c>
      <c r="F1461">
        <v>9</v>
      </c>
      <c r="G1461" t="s">
        <v>55</v>
      </c>
      <c r="H1461" t="s">
        <v>72</v>
      </c>
      <c r="I1461" t="s">
        <v>31</v>
      </c>
    </row>
    <row r="1462" spans="1:9" x14ac:dyDescent="0.45">
      <c r="A1462" t="s">
        <v>6587</v>
      </c>
      <c r="B1462" s="2">
        <v>46080</v>
      </c>
      <c r="C1462" t="s">
        <v>52</v>
      </c>
      <c r="D1462" t="s">
        <v>6588</v>
      </c>
      <c r="E1462" t="s">
        <v>23</v>
      </c>
      <c r="F1462">
        <v>4</v>
      </c>
      <c r="G1462" t="s">
        <v>13</v>
      </c>
      <c r="H1462" t="s">
        <v>14</v>
      </c>
      <c r="I1462" t="s">
        <v>47</v>
      </c>
    </row>
    <row r="1463" spans="1:9" x14ac:dyDescent="0.45">
      <c r="A1463" t="s">
        <v>6589</v>
      </c>
      <c r="B1463" s="2">
        <v>46070</v>
      </c>
      <c r="C1463" t="s">
        <v>10</v>
      </c>
      <c r="D1463" t="s">
        <v>6590</v>
      </c>
      <c r="E1463" t="s">
        <v>38</v>
      </c>
      <c r="F1463">
        <v>1</v>
      </c>
      <c r="G1463" t="s">
        <v>24</v>
      </c>
      <c r="H1463" t="s">
        <v>25</v>
      </c>
      <c r="I1463" t="s">
        <v>7967</v>
      </c>
    </row>
    <row r="1464" spans="1:9" x14ac:dyDescent="0.45">
      <c r="A1464" t="s">
        <v>6591</v>
      </c>
      <c r="B1464" s="2">
        <v>46228</v>
      </c>
      <c r="C1464" t="s">
        <v>16</v>
      </c>
      <c r="D1464" t="s">
        <v>6592</v>
      </c>
      <c r="E1464" t="s">
        <v>54</v>
      </c>
      <c r="F1464">
        <v>5</v>
      </c>
      <c r="G1464" t="s">
        <v>13</v>
      </c>
      <c r="H1464" t="s">
        <v>14</v>
      </c>
      <c r="I1464" t="s">
        <v>47</v>
      </c>
    </row>
    <row r="1465" spans="1:9" x14ac:dyDescent="0.45">
      <c r="A1465" t="s">
        <v>6593</v>
      </c>
      <c r="B1465" s="2">
        <v>46181</v>
      </c>
      <c r="C1465" t="s">
        <v>16</v>
      </c>
      <c r="D1465" t="s">
        <v>6594</v>
      </c>
      <c r="E1465" t="s">
        <v>30</v>
      </c>
      <c r="F1465">
        <v>6</v>
      </c>
      <c r="G1465" t="s">
        <v>24</v>
      </c>
      <c r="H1465" t="s">
        <v>25</v>
      </c>
      <c r="I1465" t="s">
        <v>26</v>
      </c>
    </row>
    <row r="1466" spans="1:9" x14ac:dyDescent="0.45">
      <c r="A1466" t="s">
        <v>6595</v>
      </c>
      <c r="B1466" s="2">
        <v>46119</v>
      </c>
      <c r="C1466" t="s">
        <v>16</v>
      </c>
      <c r="D1466" t="s">
        <v>6596</v>
      </c>
      <c r="E1466" t="s">
        <v>30</v>
      </c>
      <c r="F1466">
        <v>2</v>
      </c>
      <c r="G1466" t="s">
        <v>35</v>
      </c>
      <c r="H1466" t="s">
        <v>25</v>
      </c>
      <c r="I1466" t="s">
        <v>39</v>
      </c>
    </row>
    <row r="1467" spans="1:9" x14ac:dyDescent="0.45">
      <c r="A1467" t="s">
        <v>6597</v>
      </c>
      <c r="B1467" s="2">
        <v>46066</v>
      </c>
      <c r="C1467" t="s">
        <v>28</v>
      </c>
      <c r="D1467" t="s">
        <v>6598</v>
      </c>
      <c r="E1467" t="s">
        <v>38</v>
      </c>
      <c r="F1467">
        <v>11</v>
      </c>
      <c r="G1467" t="s">
        <v>35</v>
      </c>
      <c r="H1467" t="s">
        <v>25</v>
      </c>
      <c r="I1467" t="s">
        <v>60</v>
      </c>
    </row>
    <row r="1468" spans="1:9" x14ac:dyDescent="0.45">
      <c r="A1468" t="s">
        <v>6599</v>
      </c>
      <c r="B1468" s="2">
        <v>46101</v>
      </c>
      <c r="C1468" t="s">
        <v>49</v>
      </c>
      <c r="D1468" t="s">
        <v>6600</v>
      </c>
      <c r="E1468" t="s">
        <v>54</v>
      </c>
      <c r="F1468">
        <v>1</v>
      </c>
      <c r="G1468" t="s">
        <v>59</v>
      </c>
      <c r="H1468" t="s">
        <v>14</v>
      </c>
      <c r="I1468" t="s">
        <v>39</v>
      </c>
    </row>
    <row r="1469" spans="1:9" x14ac:dyDescent="0.45">
      <c r="A1469" t="s">
        <v>6601</v>
      </c>
      <c r="B1469" s="2">
        <v>46179</v>
      </c>
      <c r="C1469" t="s">
        <v>10</v>
      </c>
      <c r="D1469" t="s">
        <v>6602</v>
      </c>
      <c r="E1469" t="s">
        <v>42</v>
      </c>
      <c r="F1469">
        <v>6</v>
      </c>
      <c r="G1469" t="s">
        <v>35</v>
      </c>
      <c r="H1469" t="s">
        <v>25</v>
      </c>
      <c r="I1469" t="s">
        <v>26</v>
      </c>
    </row>
    <row r="1470" spans="1:9" x14ac:dyDescent="0.45">
      <c r="A1470" t="s">
        <v>6603</v>
      </c>
      <c r="B1470" s="2">
        <v>46180</v>
      </c>
      <c r="C1470" t="s">
        <v>52</v>
      </c>
      <c r="D1470" t="s">
        <v>6604</v>
      </c>
      <c r="E1470" t="s">
        <v>23</v>
      </c>
      <c r="F1470">
        <v>7</v>
      </c>
      <c r="G1470" t="s">
        <v>13</v>
      </c>
      <c r="H1470" t="s">
        <v>14</v>
      </c>
      <c r="I1470" t="s">
        <v>31</v>
      </c>
    </row>
    <row r="1471" spans="1:9" x14ac:dyDescent="0.45">
      <c r="A1471" t="s">
        <v>6605</v>
      </c>
      <c r="B1471" s="2">
        <v>46167</v>
      </c>
      <c r="C1471" t="s">
        <v>49</v>
      </c>
      <c r="D1471" t="s">
        <v>6606</v>
      </c>
      <c r="E1471" t="s">
        <v>7973</v>
      </c>
      <c r="F1471">
        <v>2</v>
      </c>
      <c r="G1471" t="s">
        <v>55</v>
      </c>
      <c r="H1471" t="s">
        <v>72</v>
      </c>
      <c r="I1471" t="s">
        <v>47</v>
      </c>
    </row>
    <row r="1472" spans="1:9" x14ac:dyDescent="0.45">
      <c r="A1472" t="s">
        <v>6607</v>
      </c>
      <c r="B1472" s="2">
        <v>46128</v>
      </c>
      <c r="C1472" t="s">
        <v>66</v>
      </c>
      <c r="D1472" t="s">
        <v>6608</v>
      </c>
      <c r="E1472" t="s">
        <v>30</v>
      </c>
      <c r="F1472">
        <v>12</v>
      </c>
      <c r="G1472" t="s">
        <v>55</v>
      </c>
      <c r="H1472" t="s">
        <v>72</v>
      </c>
      <c r="I1472" t="s">
        <v>26</v>
      </c>
    </row>
    <row r="1473" spans="1:9" x14ac:dyDescent="0.45">
      <c r="A1473" t="s">
        <v>6609</v>
      </c>
      <c r="B1473" s="2">
        <v>46109</v>
      </c>
      <c r="C1473" t="s">
        <v>66</v>
      </c>
      <c r="D1473" t="s">
        <v>6610</v>
      </c>
      <c r="E1473" t="s">
        <v>34</v>
      </c>
      <c r="F1473">
        <v>8</v>
      </c>
      <c r="G1473" t="s">
        <v>68</v>
      </c>
      <c r="H1473" t="s">
        <v>25</v>
      </c>
      <c r="I1473" t="s">
        <v>60</v>
      </c>
    </row>
    <row r="1474" spans="1:9" x14ac:dyDescent="0.45">
      <c r="A1474" t="s">
        <v>6611</v>
      </c>
      <c r="B1474" s="2">
        <v>46134</v>
      </c>
      <c r="C1474" t="s">
        <v>52</v>
      </c>
      <c r="D1474" t="s">
        <v>6612</v>
      </c>
      <c r="E1474" t="s">
        <v>58</v>
      </c>
      <c r="F1474">
        <v>6</v>
      </c>
      <c r="G1474" t="s">
        <v>55</v>
      </c>
      <c r="H1474" t="s">
        <v>72</v>
      </c>
      <c r="I1474" t="s">
        <v>47</v>
      </c>
    </row>
    <row r="1475" spans="1:9" x14ac:dyDescent="0.45">
      <c r="A1475" t="s">
        <v>6613</v>
      </c>
      <c r="B1475" s="2">
        <v>46259</v>
      </c>
      <c r="C1475" t="s">
        <v>52</v>
      </c>
      <c r="D1475" t="s">
        <v>6614</v>
      </c>
      <c r="E1475" t="s">
        <v>54</v>
      </c>
      <c r="F1475">
        <v>2</v>
      </c>
      <c r="G1475" t="s">
        <v>13</v>
      </c>
      <c r="H1475" t="s">
        <v>14</v>
      </c>
      <c r="I1475" t="s">
        <v>39</v>
      </c>
    </row>
    <row r="1476" spans="1:9" x14ac:dyDescent="0.45">
      <c r="A1476" t="s">
        <v>6615</v>
      </c>
      <c r="B1476" s="2">
        <v>46184</v>
      </c>
      <c r="C1476" t="s">
        <v>99</v>
      </c>
      <c r="D1476" t="s">
        <v>6616</v>
      </c>
      <c r="E1476" t="s">
        <v>54</v>
      </c>
      <c r="F1476">
        <v>5</v>
      </c>
      <c r="G1476" t="s">
        <v>68</v>
      </c>
      <c r="H1476" t="s">
        <v>25</v>
      </c>
      <c r="I1476" t="s">
        <v>26</v>
      </c>
    </row>
    <row r="1477" spans="1:9" x14ac:dyDescent="0.45">
      <c r="A1477" t="s">
        <v>6617</v>
      </c>
      <c r="B1477" s="2">
        <v>46207</v>
      </c>
      <c r="C1477" t="s">
        <v>49</v>
      </c>
      <c r="D1477" t="s">
        <v>6618</v>
      </c>
      <c r="E1477" t="s">
        <v>42</v>
      </c>
      <c r="F1477">
        <v>6</v>
      </c>
      <c r="G1477" t="s">
        <v>24</v>
      </c>
      <c r="H1477" t="s">
        <v>25</v>
      </c>
      <c r="I1477" t="s">
        <v>47</v>
      </c>
    </row>
    <row r="1478" spans="1:9" x14ac:dyDescent="0.45">
      <c r="A1478" t="s">
        <v>6619</v>
      </c>
      <c r="B1478" s="2">
        <v>46096</v>
      </c>
      <c r="C1478" t="s">
        <v>16</v>
      </c>
      <c r="D1478" t="s">
        <v>6620</v>
      </c>
      <c r="E1478" t="s">
        <v>7973</v>
      </c>
      <c r="F1478">
        <v>4</v>
      </c>
      <c r="G1478" t="s">
        <v>24</v>
      </c>
      <c r="H1478" t="s">
        <v>25</v>
      </c>
      <c r="I1478" t="s">
        <v>31</v>
      </c>
    </row>
    <row r="1479" spans="1:9" x14ac:dyDescent="0.45">
      <c r="A1479" t="s">
        <v>6621</v>
      </c>
      <c r="B1479" s="2">
        <v>46097</v>
      </c>
      <c r="C1479" t="s">
        <v>66</v>
      </c>
      <c r="D1479" t="s">
        <v>6622</v>
      </c>
      <c r="E1479" t="s">
        <v>75</v>
      </c>
      <c r="F1479">
        <v>6</v>
      </c>
      <c r="G1479" t="s">
        <v>24</v>
      </c>
      <c r="H1479" t="s">
        <v>25</v>
      </c>
      <c r="I1479" t="s">
        <v>39</v>
      </c>
    </row>
    <row r="1480" spans="1:9" x14ac:dyDescent="0.45">
      <c r="A1480" t="s">
        <v>6623</v>
      </c>
      <c r="B1480" s="2">
        <v>46120</v>
      </c>
      <c r="C1480" t="s">
        <v>21</v>
      </c>
      <c r="D1480" t="s">
        <v>6624</v>
      </c>
      <c r="E1480" t="s">
        <v>7974</v>
      </c>
      <c r="F1480">
        <v>12</v>
      </c>
      <c r="G1480" t="s">
        <v>55</v>
      </c>
      <c r="H1480" t="s">
        <v>72</v>
      </c>
      <c r="I1480" t="s">
        <v>47</v>
      </c>
    </row>
    <row r="1481" spans="1:9" x14ac:dyDescent="0.45">
      <c r="A1481" t="s">
        <v>6625</v>
      </c>
      <c r="B1481" s="2">
        <v>46159</v>
      </c>
      <c r="C1481" t="s">
        <v>52</v>
      </c>
      <c r="D1481" t="s">
        <v>6626</v>
      </c>
      <c r="E1481" t="s">
        <v>71</v>
      </c>
      <c r="F1481">
        <v>11</v>
      </c>
      <c r="G1481" t="s">
        <v>35</v>
      </c>
      <c r="H1481" t="s">
        <v>25</v>
      </c>
      <c r="I1481" t="s">
        <v>26</v>
      </c>
    </row>
    <row r="1482" spans="1:9" x14ac:dyDescent="0.45">
      <c r="A1482" t="s">
        <v>6627</v>
      </c>
      <c r="B1482" s="2">
        <v>46159</v>
      </c>
      <c r="C1482" t="s">
        <v>21</v>
      </c>
      <c r="D1482" t="s">
        <v>6628</v>
      </c>
      <c r="E1482" t="s">
        <v>75</v>
      </c>
      <c r="F1482">
        <v>6</v>
      </c>
      <c r="G1482" t="s">
        <v>18</v>
      </c>
      <c r="H1482" t="s">
        <v>14</v>
      </c>
      <c r="I1482" t="s">
        <v>47</v>
      </c>
    </row>
    <row r="1483" spans="1:9" x14ac:dyDescent="0.45">
      <c r="A1483" t="s">
        <v>6629</v>
      </c>
      <c r="B1483" s="2">
        <v>46163</v>
      </c>
      <c r="C1483" t="s">
        <v>66</v>
      </c>
      <c r="D1483" t="s">
        <v>6630</v>
      </c>
      <c r="E1483" t="s">
        <v>75</v>
      </c>
      <c r="F1483">
        <v>6</v>
      </c>
      <c r="G1483" t="s">
        <v>24</v>
      </c>
      <c r="H1483" t="s">
        <v>25</v>
      </c>
      <c r="I1483" t="s">
        <v>60</v>
      </c>
    </row>
    <row r="1484" spans="1:9" x14ac:dyDescent="0.45">
      <c r="A1484" t="s">
        <v>6631</v>
      </c>
      <c r="B1484" s="2">
        <v>46226</v>
      </c>
      <c r="C1484" t="s">
        <v>49</v>
      </c>
      <c r="D1484" t="s">
        <v>6632</v>
      </c>
      <c r="E1484" t="s">
        <v>58</v>
      </c>
      <c r="F1484">
        <v>3</v>
      </c>
      <c r="G1484" t="s">
        <v>13</v>
      </c>
      <c r="H1484" t="s">
        <v>14</v>
      </c>
      <c r="I1484" t="s">
        <v>47</v>
      </c>
    </row>
    <row r="1485" spans="1:9" x14ac:dyDescent="0.45">
      <c r="A1485" t="s">
        <v>6633</v>
      </c>
      <c r="B1485" s="2">
        <v>46044</v>
      </c>
      <c r="C1485" t="s">
        <v>21</v>
      </c>
      <c r="D1485" t="s">
        <v>6634</v>
      </c>
      <c r="E1485" t="s">
        <v>23</v>
      </c>
      <c r="F1485">
        <v>8</v>
      </c>
      <c r="G1485" t="s">
        <v>24</v>
      </c>
      <c r="H1485" t="s">
        <v>25</v>
      </c>
      <c r="I1485" t="s">
        <v>47</v>
      </c>
    </row>
    <row r="1486" spans="1:9" x14ac:dyDescent="0.45">
      <c r="A1486" t="s">
        <v>6635</v>
      </c>
      <c r="B1486" s="2">
        <v>46240</v>
      </c>
      <c r="C1486" t="s">
        <v>28</v>
      </c>
      <c r="D1486" t="s">
        <v>6636</v>
      </c>
      <c r="E1486" t="s">
        <v>7973</v>
      </c>
      <c r="F1486">
        <v>3</v>
      </c>
      <c r="G1486" t="s">
        <v>59</v>
      </c>
      <c r="H1486" t="s">
        <v>14</v>
      </c>
      <c r="I1486" t="s">
        <v>60</v>
      </c>
    </row>
    <row r="1487" spans="1:9" x14ac:dyDescent="0.45">
      <c r="A1487" t="s">
        <v>6637</v>
      </c>
      <c r="B1487" s="2">
        <v>46177</v>
      </c>
      <c r="C1487" t="s">
        <v>21</v>
      </c>
      <c r="D1487" t="s">
        <v>6638</v>
      </c>
      <c r="E1487" t="s">
        <v>75</v>
      </c>
      <c r="F1487">
        <v>7</v>
      </c>
      <c r="G1487" t="s">
        <v>55</v>
      </c>
      <c r="H1487" t="s">
        <v>72</v>
      </c>
      <c r="I1487" t="s">
        <v>31</v>
      </c>
    </row>
    <row r="1488" spans="1:9" x14ac:dyDescent="0.45">
      <c r="A1488" t="s">
        <v>6639</v>
      </c>
      <c r="B1488" s="2">
        <v>46216</v>
      </c>
      <c r="C1488" t="s">
        <v>10</v>
      </c>
      <c r="D1488" t="s">
        <v>6640</v>
      </c>
      <c r="E1488" t="s">
        <v>34</v>
      </c>
      <c r="F1488">
        <v>12</v>
      </c>
      <c r="G1488" t="s">
        <v>7967</v>
      </c>
      <c r="H1488" t="s">
        <v>14</v>
      </c>
      <c r="I1488" t="s">
        <v>60</v>
      </c>
    </row>
    <row r="1489" spans="1:9" x14ac:dyDescent="0.45">
      <c r="A1489" t="s">
        <v>6641</v>
      </c>
      <c r="B1489" s="2">
        <v>46040</v>
      </c>
      <c r="C1489" t="s">
        <v>66</v>
      </c>
      <c r="D1489" t="s">
        <v>6642</v>
      </c>
      <c r="E1489" t="s">
        <v>54</v>
      </c>
      <c r="F1489">
        <v>4</v>
      </c>
      <c r="G1489" t="s">
        <v>68</v>
      </c>
      <c r="H1489" t="s">
        <v>25</v>
      </c>
      <c r="I1489" t="s">
        <v>26</v>
      </c>
    </row>
    <row r="1490" spans="1:9" x14ac:dyDescent="0.45">
      <c r="A1490" t="s">
        <v>6643</v>
      </c>
      <c r="B1490" s="2">
        <v>46149</v>
      </c>
      <c r="C1490" t="s">
        <v>16</v>
      </c>
      <c r="D1490" t="s">
        <v>6644</v>
      </c>
      <c r="E1490" t="s">
        <v>7974</v>
      </c>
      <c r="F1490">
        <v>8</v>
      </c>
      <c r="G1490" t="s">
        <v>55</v>
      </c>
      <c r="H1490" t="s">
        <v>72</v>
      </c>
      <c r="I1490" t="s">
        <v>7967</v>
      </c>
    </row>
    <row r="1491" spans="1:9" x14ac:dyDescent="0.45">
      <c r="A1491" t="s">
        <v>6645</v>
      </c>
      <c r="B1491" s="2">
        <v>46225</v>
      </c>
      <c r="C1491" t="s">
        <v>21</v>
      </c>
      <c r="D1491" t="s">
        <v>6646</v>
      </c>
      <c r="E1491" t="s">
        <v>54</v>
      </c>
      <c r="F1491">
        <v>9</v>
      </c>
      <c r="G1491" t="s">
        <v>59</v>
      </c>
      <c r="H1491" t="s">
        <v>14</v>
      </c>
      <c r="I1491" t="s">
        <v>31</v>
      </c>
    </row>
    <row r="1492" spans="1:9" x14ac:dyDescent="0.45">
      <c r="A1492" t="s">
        <v>6647</v>
      </c>
      <c r="B1492" s="2">
        <v>46153</v>
      </c>
      <c r="C1492" t="s">
        <v>28</v>
      </c>
      <c r="D1492" t="s">
        <v>6648</v>
      </c>
      <c r="E1492" t="s">
        <v>7973</v>
      </c>
      <c r="F1492">
        <v>7</v>
      </c>
      <c r="G1492" t="s">
        <v>13</v>
      </c>
      <c r="H1492" t="s">
        <v>14</v>
      </c>
      <c r="I1492" t="s">
        <v>39</v>
      </c>
    </row>
    <row r="1493" spans="1:9" x14ac:dyDescent="0.45">
      <c r="A1493" t="s">
        <v>6649</v>
      </c>
      <c r="B1493" s="2">
        <v>46031</v>
      </c>
      <c r="C1493" t="s">
        <v>49</v>
      </c>
      <c r="D1493" t="s">
        <v>6650</v>
      </c>
      <c r="E1493" t="s">
        <v>38</v>
      </c>
      <c r="F1493">
        <v>2</v>
      </c>
      <c r="G1493" t="s">
        <v>18</v>
      </c>
      <c r="H1493" t="s">
        <v>14</v>
      </c>
      <c r="I1493" t="s">
        <v>26</v>
      </c>
    </row>
    <row r="1494" spans="1:9" x14ac:dyDescent="0.45">
      <c r="A1494" t="s">
        <v>6651</v>
      </c>
      <c r="B1494" s="2">
        <v>46026</v>
      </c>
      <c r="C1494" t="s">
        <v>16</v>
      </c>
      <c r="D1494" t="s">
        <v>6652</v>
      </c>
      <c r="E1494" t="s">
        <v>71</v>
      </c>
      <c r="F1494">
        <v>9</v>
      </c>
      <c r="G1494" t="s">
        <v>68</v>
      </c>
      <c r="H1494" t="s">
        <v>25</v>
      </c>
      <c r="I1494" t="s">
        <v>60</v>
      </c>
    </row>
    <row r="1495" spans="1:9" x14ac:dyDescent="0.45">
      <c r="A1495" t="s">
        <v>6653</v>
      </c>
      <c r="B1495" s="2">
        <v>46037</v>
      </c>
      <c r="C1495" t="s">
        <v>66</v>
      </c>
      <c r="D1495" t="s">
        <v>6654</v>
      </c>
      <c r="E1495" t="s">
        <v>71</v>
      </c>
      <c r="F1495">
        <v>4</v>
      </c>
      <c r="G1495" t="s">
        <v>68</v>
      </c>
      <c r="H1495" t="s">
        <v>25</v>
      </c>
      <c r="I1495" t="s">
        <v>26</v>
      </c>
    </row>
    <row r="1496" spans="1:9" x14ac:dyDescent="0.45">
      <c r="A1496" t="s">
        <v>6655</v>
      </c>
      <c r="B1496" s="2">
        <v>46148</v>
      </c>
      <c r="C1496" t="s">
        <v>49</v>
      </c>
      <c r="D1496" t="s">
        <v>6656</v>
      </c>
      <c r="E1496" t="s">
        <v>34</v>
      </c>
      <c r="F1496">
        <v>4</v>
      </c>
      <c r="G1496" t="s">
        <v>59</v>
      </c>
      <c r="H1496" t="s">
        <v>14</v>
      </c>
      <c r="I1496" t="s">
        <v>47</v>
      </c>
    </row>
    <row r="1497" spans="1:9" x14ac:dyDescent="0.45">
      <c r="A1497" t="s">
        <v>6657</v>
      </c>
      <c r="B1497" s="2">
        <v>46194</v>
      </c>
      <c r="C1497" t="s">
        <v>16</v>
      </c>
      <c r="D1497" t="s">
        <v>6658</v>
      </c>
      <c r="E1497" t="s">
        <v>38</v>
      </c>
      <c r="F1497">
        <v>2</v>
      </c>
      <c r="G1497" t="s">
        <v>55</v>
      </c>
      <c r="H1497" t="s">
        <v>72</v>
      </c>
      <c r="I1497" t="s">
        <v>19</v>
      </c>
    </row>
    <row r="1498" spans="1:9" x14ac:dyDescent="0.45">
      <c r="A1498" t="s">
        <v>6659</v>
      </c>
      <c r="B1498" s="2">
        <v>46251</v>
      </c>
      <c r="C1498" t="s">
        <v>16</v>
      </c>
      <c r="D1498" t="s">
        <v>6660</v>
      </c>
      <c r="E1498" t="s">
        <v>54</v>
      </c>
      <c r="F1498">
        <v>4</v>
      </c>
      <c r="G1498" t="s">
        <v>43</v>
      </c>
      <c r="H1498" t="s">
        <v>14</v>
      </c>
      <c r="I1498" t="s">
        <v>26</v>
      </c>
    </row>
    <row r="1499" spans="1:9" x14ac:dyDescent="0.45">
      <c r="A1499" t="s">
        <v>6661</v>
      </c>
      <c r="B1499" s="2">
        <v>46266</v>
      </c>
      <c r="C1499" t="s">
        <v>28</v>
      </c>
      <c r="D1499" t="s">
        <v>6662</v>
      </c>
      <c r="E1499" t="s">
        <v>54</v>
      </c>
      <c r="F1499">
        <v>6</v>
      </c>
      <c r="G1499" t="s">
        <v>35</v>
      </c>
      <c r="H1499" t="s">
        <v>25</v>
      </c>
      <c r="I1499" t="s">
        <v>39</v>
      </c>
    </row>
    <row r="1500" spans="1:9" x14ac:dyDescent="0.45">
      <c r="A1500" t="s">
        <v>6663</v>
      </c>
      <c r="B1500" s="2">
        <v>46066</v>
      </c>
      <c r="C1500" t="s">
        <v>28</v>
      </c>
      <c r="D1500" t="s">
        <v>6664</v>
      </c>
      <c r="E1500" t="s">
        <v>34</v>
      </c>
      <c r="F1500">
        <v>11</v>
      </c>
      <c r="G1500" t="s">
        <v>43</v>
      </c>
      <c r="H1500" t="s">
        <v>14</v>
      </c>
      <c r="I1500" t="s">
        <v>47</v>
      </c>
    </row>
    <row r="1501" spans="1:9" x14ac:dyDescent="0.45">
      <c r="A1501" t="s">
        <v>6665</v>
      </c>
      <c r="B1501" s="2">
        <v>46193</v>
      </c>
      <c r="C1501" t="s">
        <v>28</v>
      </c>
      <c r="D1501" t="s">
        <v>6666</v>
      </c>
      <c r="E1501" t="s">
        <v>30</v>
      </c>
      <c r="F1501">
        <v>3</v>
      </c>
      <c r="G1501" t="s">
        <v>13</v>
      </c>
      <c r="H1501" t="s">
        <v>14</v>
      </c>
      <c r="I1501" t="s">
        <v>60</v>
      </c>
    </row>
    <row r="1502" spans="1:9" x14ac:dyDescent="0.45">
      <c r="A1502" t="s">
        <v>6667</v>
      </c>
      <c r="B1502" s="2">
        <v>46128</v>
      </c>
      <c r="C1502" t="s">
        <v>10</v>
      </c>
      <c r="D1502" t="s">
        <v>6668</v>
      </c>
      <c r="E1502" t="s">
        <v>23</v>
      </c>
      <c r="F1502">
        <v>11</v>
      </c>
      <c r="G1502" t="s">
        <v>35</v>
      </c>
      <c r="H1502" t="s">
        <v>25</v>
      </c>
      <c r="I1502" t="s">
        <v>26</v>
      </c>
    </row>
    <row r="1503" spans="1:9" x14ac:dyDescent="0.45">
      <c r="A1503" t="s">
        <v>6669</v>
      </c>
      <c r="B1503" s="2">
        <v>46115</v>
      </c>
      <c r="C1503" t="s">
        <v>28</v>
      </c>
      <c r="D1503" t="s">
        <v>6670</v>
      </c>
      <c r="E1503" t="s">
        <v>7967</v>
      </c>
      <c r="F1503">
        <v>4</v>
      </c>
      <c r="G1503" t="s">
        <v>35</v>
      </c>
      <c r="H1503" t="s">
        <v>25</v>
      </c>
      <c r="I1503" t="s">
        <v>26</v>
      </c>
    </row>
    <row r="1504" spans="1:9" x14ac:dyDescent="0.45">
      <c r="A1504" t="s">
        <v>6671</v>
      </c>
      <c r="B1504" s="2">
        <v>46025</v>
      </c>
      <c r="C1504" t="s">
        <v>49</v>
      </c>
      <c r="D1504" t="s">
        <v>6672</v>
      </c>
      <c r="E1504" t="s">
        <v>7973</v>
      </c>
      <c r="F1504">
        <v>1</v>
      </c>
      <c r="G1504" t="s">
        <v>13</v>
      </c>
      <c r="H1504" t="s">
        <v>14</v>
      </c>
      <c r="I1504" t="s">
        <v>47</v>
      </c>
    </row>
    <row r="1505" spans="1:9" x14ac:dyDescent="0.45">
      <c r="A1505" t="s">
        <v>6673</v>
      </c>
      <c r="B1505" s="2">
        <v>46143</v>
      </c>
      <c r="C1505" t="s">
        <v>28</v>
      </c>
      <c r="D1505" t="s">
        <v>6674</v>
      </c>
      <c r="E1505" t="s">
        <v>7973</v>
      </c>
      <c r="F1505">
        <v>6</v>
      </c>
      <c r="G1505" t="s">
        <v>68</v>
      </c>
      <c r="H1505" t="s">
        <v>25</v>
      </c>
      <c r="I1505" t="s">
        <v>47</v>
      </c>
    </row>
    <row r="1506" spans="1:9" x14ac:dyDescent="0.45">
      <c r="A1506" t="s">
        <v>6675</v>
      </c>
      <c r="B1506" s="2">
        <v>46150</v>
      </c>
      <c r="C1506" t="s">
        <v>16</v>
      </c>
      <c r="D1506" t="s">
        <v>6676</v>
      </c>
      <c r="E1506" t="s">
        <v>23</v>
      </c>
      <c r="F1506">
        <v>7</v>
      </c>
      <c r="G1506" t="s">
        <v>18</v>
      </c>
      <c r="H1506" t="s">
        <v>14</v>
      </c>
      <c r="I1506" t="s">
        <v>31</v>
      </c>
    </row>
    <row r="1507" spans="1:9" x14ac:dyDescent="0.45">
      <c r="A1507" t="s">
        <v>6677</v>
      </c>
      <c r="B1507" s="2">
        <v>46073</v>
      </c>
      <c r="C1507" t="s">
        <v>21</v>
      </c>
      <c r="D1507" t="s">
        <v>6678</v>
      </c>
      <c r="E1507" t="s">
        <v>34</v>
      </c>
      <c r="F1507">
        <v>11</v>
      </c>
      <c r="G1507" t="s">
        <v>68</v>
      </c>
      <c r="H1507" t="s">
        <v>25</v>
      </c>
      <c r="I1507" t="s">
        <v>47</v>
      </c>
    </row>
    <row r="1508" spans="1:9" x14ac:dyDescent="0.45">
      <c r="A1508" t="s">
        <v>6679</v>
      </c>
      <c r="B1508" s="2">
        <v>46256</v>
      </c>
      <c r="C1508" t="s">
        <v>16</v>
      </c>
      <c r="D1508" t="s">
        <v>6680</v>
      </c>
      <c r="E1508" t="s">
        <v>2306</v>
      </c>
      <c r="F1508">
        <v>10</v>
      </c>
      <c r="G1508" t="s">
        <v>59</v>
      </c>
      <c r="H1508" t="s">
        <v>14</v>
      </c>
      <c r="I1508" t="s">
        <v>31</v>
      </c>
    </row>
    <row r="1509" spans="1:9" x14ac:dyDescent="0.45">
      <c r="A1509" t="s">
        <v>6681</v>
      </c>
      <c r="B1509" s="2">
        <v>46094</v>
      </c>
      <c r="C1509" t="s">
        <v>52</v>
      </c>
      <c r="D1509" t="s">
        <v>6682</v>
      </c>
      <c r="E1509" t="s">
        <v>42</v>
      </c>
      <c r="F1509">
        <v>10</v>
      </c>
      <c r="G1509" t="s">
        <v>35</v>
      </c>
      <c r="H1509" t="s">
        <v>25</v>
      </c>
      <c r="I1509" t="s">
        <v>39</v>
      </c>
    </row>
    <row r="1510" spans="1:9" x14ac:dyDescent="0.45">
      <c r="A1510" t="s">
        <v>6683</v>
      </c>
      <c r="B1510" s="2">
        <v>46098</v>
      </c>
      <c r="C1510" t="s">
        <v>16</v>
      </c>
      <c r="D1510" t="s">
        <v>6684</v>
      </c>
      <c r="E1510" t="s">
        <v>58</v>
      </c>
      <c r="F1510">
        <v>11</v>
      </c>
      <c r="G1510" t="s">
        <v>43</v>
      </c>
      <c r="H1510" t="s">
        <v>14</v>
      </c>
      <c r="I1510" t="s">
        <v>26</v>
      </c>
    </row>
    <row r="1511" spans="1:9" x14ac:dyDescent="0.45">
      <c r="A1511" t="s">
        <v>6685</v>
      </c>
      <c r="B1511" s="2">
        <v>46086</v>
      </c>
      <c r="C1511" t="s">
        <v>49</v>
      </c>
      <c r="D1511" t="s">
        <v>6686</v>
      </c>
      <c r="E1511" t="s">
        <v>163</v>
      </c>
      <c r="F1511">
        <v>4</v>
      </c>
      <c r="G1511" t="s">
        <v>68</v>
      </c>
      <c r="H1511" t="s">
        <v>25</v>
      </c>
      <c r="I1511" t="s">
        <v>26</v>
      </c>
    </row>
    <row r="1512" spans="1:9" x14ac:dyDescent="0.45">
      <c r="A1512" t="s">
        <v>6687</v>
      </c>
      <c r="B1512" s="2">
        <v>46123</v>
      </c>
      <c r="C1512" t="s">
        <v>21</v>
      </c>
      <c r="D1512" t="s">
        <v>6688</v>
      </c>
      <c r="E1512" t="s">
        <v>7974</v>
      </c>
      <c r="F1512">
        <v>4</v>
      </c>
      <c r="G1512" t="s">
        <v>68</v>
      </c>
      <c r="H1512" t="s">
        <v>25</v>
      </c>
      <c r="I1512" t="s">
        <v>26</v>
      </c>
    </row>
    <row r="1513" spans="1:9" x14ac:dyDescent="0.45">
      <c r="A1513" t="s">
        <v>6689</v>
      </c>
      <c r="B1513" s="2">
        <v>46056</v>
      </c>
      <c r="C1513" t="s">
        <v>16</v>
      </c>
      <c r="D1513" t="s">
        <v>6690</v>
      </c>
      <c r="E1513" t="s">
        <v>58</v>
      </c>
      <c r="F1513">
        <v>3</v>
      </c>
      <c r="G1513" t="s">
        <v>24</v>
      </c>
      <c r="H1513" t="s">
        <v>25</v>
      </c>
      <c r="I1513" t="s">
        <v>60</v>
      </c>
    </row>
    <row r="1514" spans="1:9" x14ac:dyDescent="0.45">
      <c r="A1514" t="s">
        <v>6691</v>
      </c>
      <c r="B1514" s="2">
        <v>46091</v>
      </c>
      <c r="C1514" t="s">
        <v>28</v>
      </c>
      <c r="D1514" t="s">
        <v>6692</v>
      </c>
      <c r="E1514" t="s">
        <v>23</v>
      </c>
      <c r="F1514">
        <v>12</v>
      </c>
      <c r="G1514" t="s">
        <v>35</v>
      </c>
      <c r="H1514" t="s">
        <v>25</v>
      </c>
      <c r="I1514" t="s">
        <v>60</v>
      </c>
    </row>
    <row r="1515" spans="1:9" x14ac:dyDescent="0.45">
      <c r="A1515" t="s">
        <v>6693</v>
      </c>
      <c r="B1515" s="2">
        <v>46259</v>
      </c>
      <c r="C1515" t="s">
        <v>49</v>
      </c>
      <c r="D1515" t="s">
        <v>6694</v>
      </c>
      <c r="E1515" t="s">
        <v>42</v>
      </c>
      <c r="F1515">
        <v>9</v>
      </c>
      <c r="G1515" t="s">
        <v>24</v>
      </c>
      <c r="H1515" t="s">
        <v>25</v>
      </c>
      <c r="I1515" t="s">
        <v>47</v>
      </c>
    </row>
    <row r="1516" spans="1:9" x14ac:dyDescent="0.45">
      <c r="A1516" t="s">
        <v>6695</v>
      </c>
      <c r="B1516" s="2">
        <v>46244</v>
      </c>
      <c r="C1516" t="s">
        <v>10</v>
      </c>
      <c r="D1516" t="s">
        <v>6696</v>
      </c>
      <c r="E1516" t="s">
        <v>7974</v>
      </c>
      <c r="F1516">
        <v>9</v>
      </c>
      <c r="G1516" t="s">
        <v>59</v>
      </c>
      <c r="H1516" t="s">
        <v>14</v>
      </c>
      <c r="I1516" t="s">
        <v>47</v>
      </c>
    </row>
    <row r="1517" spans="1:9" x14ac:dyDescent="0.45">
      <c r="A1517" t="s">
        <v>6697</v>
      </c>
      <c r="B1517" s="2">
        <v>46124</v>
      </c>
      <c r="C1517" t="s">
        <v>16</v>
      </c>
      <c r="D1517" t="s">
        <v>6698</v>
      </c>
      <c r="E1517" t="s">
        <v>7973</v>
      </c>
      <c r="F1517">
        <v>9</v>
      </c>
      <c r="G1517" t="s">
        <v>43</v>
      </c>
      <c r="H1517" t="s">
        <v>14</v>
      </c>
      <c r="I1517" t="s">
        <v>26</v>
      </c>
    </row>
    <row r="1518" spans="1:9" x14ac:dyDescent="0.45">
      <c r="A1518" t="s">
        <v>6699</v>
      </c>
      <c r="B1518" s="2">
        <v>46039</v>
      </c>
      <c r="C1518" t="s">
        <v>28</v>
      </c>
      <c r="D1518" t="s">
        <v>6700</v>
      </c>
      <c r="E1518" t="s">
        <v>34</v>
      </c>
      <c r="F1518">
        <v>2</v>
      </c>
      <c r="G1518" t="s">
        <v>43</v>
      </c>
      <c r="H1518" t="s">
        <v>14</v>
      </c>
      <c r="I1518" t="s">
        <v>31</v>
      </c>
    </row>
    <row r="1519" spans="1:9" x14ac:dyDescent="0.45">
      <c r="A1519" t="s">
        <v>6701</v>
      </c>
      <c r="B1519" s="2">
        <v>46267</v>
      </c>
      <c r="C1519" t="s">
        <v>16</v>
      </c>
      <c r="D1519" t="s">
        <v>6702</v>
      </c>
      <c r="E1519" t="s">
        <v>7967</v>
      </c>
      <c r="F1519">
        <v>4</v>
      </c>
      <c r="G1519" t="s">
        <v>43</v>
      </c>
      <c r="H1519" t="s">
        <v>14</v>
      </c>
      <c r="I1519" t="s">
        <v>26</v>
      </c>
    </row>
    <row r="1520" spans="1:9" x14ac:dyDescent="0.45">
      <c r="A1520" t="s">
        <v>6703</v>
      </c>
      <c r="B1520" s="2">
        <v>46238</v>
      </c>
      <c r="C1520" t="s">
        <v>16</v>
      </c>
      <c r="D1520" t="s">
        <v>6704</v>
      </c>
      <c r="E1520" t="s">
        <v>71</v>
      </c>
      <c r="F1520">
        <v>6</v>
      </c>
      <c r="G1520" t="s">
        <v>18</v>
      </c>
      <c r="H1520" t="s">
        <v>14</v>
      </c>
      <c r="I1520" t="s">
        <v>19</v>
      </c>
    </row>
    <row r="1521" spans="1:9" x14ac:dyDescent="0.45">
      <c r="A1521" t="s">
        <v>6705</v>
      </c>
      <c r="B1521" s="2">
        <v>46100</v>
      </c>
      <c r="C1521" t="s">
        <v>66</v>
      </c>
      <c r="D1521" t="s">
        <v>6706</v>
      </c>
      <c r="E1521" t="s">
        <v>54</v>
      </c>
      <c r="F1521">
        <v>4</v>
      </c>
      <c r="G1521" t="s">
        <v>55</v>
      </c>
      <c r="H1521" t="s">
        <v>72</v>
      </c>
      <c r="I1521" t="s">
        <v>47</v>
      </c>
    </row>
    <row r="1522" spans="1:9" x14ac:dyDescent="0.45">
      <c r="A1522" t="s">
        <v>6707</v>
      </c>
      <c r="B1522" s="2">
        <v>46202</v>
      </c>
      <c r="C1522" t="s">
        <v>28</v>
      </c>
      <c r="D1522" t="s">
        <v>6708</v>
      </c>
      <c r="E1522" t="s">
        <v>54</v>
      </c>
      <c r="F1522">
        <v>10</v>
      </c>
      <c r="G1522" t="s">
        <v>68</v>
      </c>
      <c r="H1522" t="s">
        <v>25</v>
      </c>
      <c r="I1522" t="s">
        <v>47</v>
      </c>
    </row>
    <row r="1523" spans="1:9" x14ac:dyDescent="0.45">
      <c r="A1523" t="s">
        <v>6709</v>
      </c>
      <c r="B1523" s="2">
        <v>46061</v>
      </c>
      <c r="C1523" t="s">
        <v>21</v>
      </c>
      <c r="D1523" t="s">
        <v>6710</v>
      </c>
      <c r="E1523" t="s">
        <v>30</v>
      </c>
      <c r="F1523">
        <v>3</v>
      </c>
      <c r="G1523" t="s">
        <v>18</v>
      </c>
      <c r="H1523" t="s">
        <v>14</v>
      </c>
      <c r="I1523" t="s">
        <v>39</v>
      </c>
    </row>
    <row r="1524" spans="1:9" x14ac:dyDescent="0.45">
      <c r="A1524" t="s">
        <v>6711</v>
      </c>
      <c r="B1524" s="2">
        <v>46251</v>
      </c>
      <c r="C1524" t="s">
        <v>66</v>
      </c>
      <c r="D1524" t="s">
        <v>6712</v>
      </c>
      <c r="E1524" t="s">
        <v>54</v>
      </c>
      <c r="F1524">
        <v>6</v>
      </c>
      <c r="G1524" t="s">
        <v>43</v>
      </c>
      <c r="H1524" t="s">
        <v>14</v>
      </c>
      <c r="I1524" t="s">
        <v>47</v>
      </c>
    </row>
    <row r="1525" spans="1:9" x14ac:dyDescent="0.45">
      <c r="A1525" t="s">
        <v>6713</v>
      </c>
      <c r="B1525" s="2">
        <v>46251</v>
      </c>
      <c r="C1525" t="s">
        <v>49</v>
      </c>
      <c r="D1525" t="s">
        <v>6714</v>
      </c>
      <c r="E1525" t="s">
        <v>23</v>
      </c>
      <c r="F1525">
        <v>11</v>
      </c>
      <c r="G1525" t="s">
        <v>18</v>
      </c>
      <c r="H1525" t="s">
        <v>14</v>
      </c>
      <c r="I1525" t="s">
        <v>60</v>
      </c>
    </row>
    <row r="1526" spans="1:9" x14ac:dyDescent="0.45">
      <c r="A1526" t="s">
        <v>6715</v>
      </c>
      <c r="B1526" s="2">
        <v>46175</v>
      </c>
      <c r="C1526" t="s">
        <v>99</v>
      </c>
      <c r="D1526" t="s">
        <v>6716</v>
      </c>
      <c r="E1526" t="s">
        <v>7973</v>
      </c>
      <c r="F1526">
        <v>9</v>
      </c>
      <c r="G1526" t="s">
        <v>59</v>
      </c>
      <c r="H1526" t="s">
        <v>14</v>
      </c>
      <c r="I1526" t="s">
        <v>39</v>
      </c>
    </row>
    <row r="1527" spans="1:9" x14ac:dyDescent="0.45">
      <c r="A1527" t="s">
        <v>6717</v>
      </c>
      <c r="B1527" s="2">
        <v>46134</v>
      </c>
      <c r="C1527" t="s">
        <v>52</v>
      </c>
      <c r="D1527" t="s">
        <v>6718</v>
      </c>
      <c r="E1527" t="s">
        <v>7974</v>
      </c>
      <c r="F1527">
        <v>5</v>
      </c>
      <c r="G1527" t="s">
        <v>35</v>
      </c>
      <c r="H1527" t="s">
        <v>25</v>
      </c>
      <c r="I1527" t="s">
        <v>60</v>
      </c>
    </row>
    <row r="1528" spans="1:9" x14ac:dyDescent="0.45">
      <c r="A1528" t="s">
        <v>6719</v>
      </c>
      <c r="B1528" s="2">
        <v>46134</v>
      </c>
      <c r="C1528" t="s">
        <v>52</v>
      </c>
      <c r="D1528" t="s">
        <v>6720</v>
      </c>
      <c r="E1528" t="s">
        <v>34</v>
      </c>
      <c r="F1528">
        <v>1</v>
      </c>
      <c r="G1528" t="s">
        <v>13</v>
      </c>
      <c r="H1528" t="s">
        <v>14</v>
      </c>
      <c r="I1528" t="s">
        <v>47</v>
      </c>
    </row>
    <row r="1529" spans="1:9" x14ac:dyDescent="0.45">
      <c r="A1529" t="s">
        <v>6721</v>
      </c>
      <c r="B1529" s="2">
        <v>46104</v>
      </c>
      <c r="C1529" t="s">
        <v>99</v>
      </c>
      <c r="D1529" t="s">
        <v>6722</v>
      </c>
      <c r="E1529" t="s">
        <v>7973</v>
      </c>
      <c r="F1529">
        <v>10</v>
      </c>
      <c r="G1529" t="s">
        <v>59</v>
      </c>
      <c r="H1529" t="s">
        <v>14</v>
      </c>
      <c r="I1529" t="s">
        <v>26</v>
      </c>
    </row>
    <row r="1530" spans="1:9" x14ac:dyDescent="0.45">
      <c r="A1530" t="s">
        <v>6723</v>
      </c>
      <c r="B1530" s="2">
        <v>46186</v>
      </c>
      <c r="C1530" t="s">
        <v>66</v>
      </c>
      <c r="D1530" t="s">
        <v>6724</v>
      </c>
      <c r="E1530" t="s">
        <v>34</v>
      </c>
      <c r="F1530">
        <v>3</v>
      </c>
      <c r="G1530" t="s">
        <v>55</v>
      </c>
      <c r="H1530" t="s">
        <v>72</v>
      </c>
      <c r="I1530" t="s">
        <v>31</v>
      </c>
    </row>
    <row r="1531" spans="1:9" x14ac:dyDescent="0.45">
      <c r="A1531" t="s">
        <v>6725</v>
      </c>
      <c r="B1531" s="2">
        <v>46116</v>
      </c>
      <c r="C1531" t="s">
        <v>16</v>
      </c>
      <c r="D1531" t="s">
        <v>6726</v>
      </c>
      <c r="E1531" t="s">
        <v>38</v>
      </c>
      <c r="F1531">
        <v>10</v>
      </c>
      <c r="G1531" t="s">
        <v>59</v>
      </c>
      <c r="H1531" t="s">
        <v>14</v>
      </c>
      <c r="I1531" t="s">
        <v>39</v>
      </c>
    </row>
    <row r="1532" spans="1:9" x14ac:dyDescent="0.45">
      <c r="A1532" t="s">
        <v>6727</v>
      </c>
      <c r="B1532" s="2">
        <v>46131</v>
      </c>
      <c r="C1532" t="s">
        <v>21</v>
      </c>
      <c r="D1532" t="s">
        <v>6728</v>
      </c>
      <c r="E1532" t="s">
        <v>34</v>
      </c>
      <c r="F1532">
        <v>3</v>
      </c>
      <c r="G1532" t="s">
        <v>35</v>
      </c>
      <c r="H1532" t="s">
        <v>25</v>
      </c>
      <c r="I1532" t="s">
        <v>26</v>
      </c>
    </row>
    <row r="1533" spans="1:9" x14ac:dyDescent="0.45">
      <c r="A1533" t="s">
        <v>6729</v>
      </c>
      <c r="B1533" s="2">
        <v>46143</v>
      </c>
      <c r="C1533" t="s">
        <v>66</v>
      </c>
      <c r="D1533" t="s">
        <v>6730</v>
      </c>
      <c r="E1533" t="s">
        <v>75</v>
      </c>
      <c r="F1533">
        <v>9</v>
      </c>
      <c r="G1533" t="s">
        <v>43</v>
      </c>
      <c r="H1533" t="s">
        <v>14</v>
      </c>
      <c r="I1533" t="s">
        <v>47</v>
      </c>
    </row>
    <row r="1534" spans="1:9" x14ac:dyDescent="0.45">
      <c r="A1534" t="s">
        <v>6731</v>
      </c>
      <c r="B1534" s="2">
        <v>46078</v>
      </c>
      <c r="C1534" t="s">
        <v>99</v>
      </c>
      <c r="D1534" t="s">
        <v>6732</v>
      </c>
      <c r="E1534" t="s">
        <v>58</v>
      </c>
      <c r="F1534">
        <v>3</v>
      </c>
      <c r="G1534" t="s">
        <v>68</v>
      </c>
      <c r="H1534" t="s">
        <v>25</v>
      </c>
      <c r="I1534" t="s">
        <v>60</v>
      </c>
    </row>
    <row r="1535" spans="1:9" x14ac:dyDescent="0.45">
      <c r="A1535" t="s">
        <v>6733</v>
      </c>
      <c r="B1535" s="2">
        <v>46208</v>
      </c>
      <c r="C1535" t="s">
        <v>66</v>
      </c>
      <c r="D1535" t="s">
        <v>6734</v>
      </c>
      <c r="E1535" t="s">
        <v>23</v>
      </c>
      <c r="F1535">
        <v>2</v>
      </c>
      <c r="G1535" t="s">
        <v>13</v>
      </c>
      <c r="H1535" t="s">
        <v>14</v>
      </c>
      <c r="I1535" t="s">
        <v>31</v>
      </c>
    </row>
    <row r="1536" spans="1:9" x14ac:dyDescent="0.45">
      <c r="A1536" t="s">
        <v>6735</v>
      </c>
      <c r="B1536" s="2">
        <v>46258</v>
      </c>
      <c r="C1536" t="s">
        <v>21</v>
      </c>
      <c r="D1536" t="s">
        <v>6736</v>
      </c>
      <c r="E1536" t="s">
        <v>38</v>
      </c>
      <c r="F1536">
        <v>8</v>
      </c>
      <c r="G1536" t="s">
        <v>68</v>
      </c>
      <c r="H1536" t="s">
        <v>25</v>
      </c>
      <c r="I1536" t="s">
        <v>31</v>
      </c>
    </row>
    <row r="1537" spans="1:9" x14ac:dyDescent="0.45">
      <c r="A1537" t="s">
        <v>6737</v>
      </c>
      <c r="B1537" s="2">
        <v>46211</v>
      </c>
      <c r="C1537" t="s">
        <v>66</v>
      </c>
      <c r="D1537" t="s">
        <v>6738</v>
      </c>
      <c r="E1537" t="s">
        <v>42</v>
      </c>
      <c r="F1537">
        <v>11</v>
      </c>
      <c r="G1537" t="s">
        <v>13</v>
      </c>
      <c r="H1537" t="s">
        <v>14</v>
      </c>
      <c r="I1537" t="s">
        <v>26</v>
      </c>
    </row>
    <row r="1538" spans="1:9" x14ac:dyDescent="0.45">
      <c r="A1538" t="s">
        <v>6739</v>
      </c>
      <c r="B1538" s="2">
        <v>46079</v>
      </c>
      <c r="C1538" t="s">
        <v>52</v>
      </c>
      <c r="D1538" t="s">
        <v>6740</v>
      </c>
      <c r="E1538" t="s">
        <v>42</v>
      </c>
      <c r="F1538">
        <v>7</v>
      </c>
      <c r="G1538" t="s">
        <v>24</v>
      </c>
      <c r="H1538" t="s">
        <v>25</v>
      </c>
      <c r="I1538" t="s">
        <v>60</v>
      </c>
    </row>
    <row r="1539" spans="1:9" x14ac:dyDescent="0.45">
      <c r="A1539" t="s">
        <v>6741</v>
      </c>
      <c r="B1539" s="2">
        <v>46030</v>
      </c>
      <c r="C1539" t="s">
        <v>16</v>
      </c>
      <c r="D1539" t="s">
        <v>6742</v>
      </c>
      <c r="E1539" t="s">
        <v>34</v>
      </c>
      <c r="F1539">
        <v>3</v>
      </c>
      <c r="G1539" t="s">
        <v>24</v>
      </c>
      <c r="H1539" t="s">
        <v>25</v>
      </c>
      <c r="I1539" t="s">
        <v>26</v>
      </c>
    </row>
    <row r="1540" spans="1:9" x14ac:dyDescent="0.45">
      <c r="A1540" t="s">
        <v>6743</v>
      </c>
      <c r="B1540" s="2">
        <v>46239</v>
      </c>
      <c r="C1540" t="s">
        <v>16</v>
      </c>
      <c r="D1540" t="s">
        <v>6744</v>
      </c>
      <c r="E1540" t="s">
        <v>54</v>
      </c>
      <c r="F1540">
        <v>3</v>
      </c>
      <c r="G1540" t="s">
        <v>13</v>
      </c>
      <c r="H1540" t="s">
        <v>14</v>
      </c>
      <c r="I1540" t="s">
        <v>47</v>
      </c>
    </row>
    <row r="1541" spans="1:9" x14ac:dyDescent="0.45">
      <c r="A1541" t="s">
        <v>6745</v>
      </c>
      <c r="B1541" s="2">
        <v>46245</v>
      </c>
      <c r="C1541" t="s">
        <v>10</v>
      </c>
      <c r="D1541" t="s">
        <v>6746</v>
      </c>
      <c r="E1541" t="s">
        <v>54</v>
      </c>
      <c r="F1541">
        <v>3</v>
      </c>
      <c r="G1541" t="s">
        <v>43</v>
      </c>
      <c r="H1541" t="s">
        <v>14</v>
      </c>
      <c r="I1541" t="s">
        <v>31</v>
      </c>
    </row>
    <row r="1542" spans="1:9" x14ac:dyDescent="0.45">
      <c r="A1542" t="s">
        <v>6747</v>
      </c>
      <c r="B1542" s="2">
        <v>46083</v>
      </c>
      <c r="C1542" t="s">
        <v>99</v>
      </c>
      <c r="D1542" t="s">
        <v>6748</v>
      </c>
      <c r="E1542" t="s">
        <v>38</v>
      </c>
      <c r="F1542">
        <v>11</v>
      </c>
      <c r="G1542" t="s">
        <v>18</v>
      </c>
      <c r="H1542" t="s">
        <v>14</v>
      </c>
      <c r="I1542" t="s">
        <v>47</v>
      </c>
    </row>
    <row r="1543" spans="1:9" x14ac:dyDescent="0.45">
      <c r="A1543" t="s">
        <v>6749</v>
      </c>
      <c r="B1543" s="2">
        <v>46073</v>
      </c>
      <c r="C1543" t="s">
        <v>16</v>
      </c>
      <c r="D1543" t="s">
        <v>6750</v>
      </c>
      <c r="E1543" t="s">
        <v>23</v>
      </c>
      <c r="F1543">
        <v>9</v>
      </c>
      <c r="G1543" t="s">
        <v>13</v>
      </c>
      <c r="H1543" t="s">
        <v>14</v>
      </c>
      <c r="I1543" t="s">
        <v>26</v>
      </c>
    </row>
    <row r="1544" spans="1:9" x14ac:dyDescent="0.45">
      <c r="A1544" t="s">
        <v>6751</v>
      </c>
      <c r="B1544" s="2">
        <v>46117</v>
      </c>
      <c r="C1544" t="s">
        <v>66</v>
      </c>
      <c r="D1544" t="s">
        <v>6752</v>
      </c>
      <c r="E1544" t="s">
        <v>75</v>
      </c>
      <c r="F1544">
        <v>2</v>
      </c>
      <c r="G1544" t="s">
        <v>68</v>
      </c>
      <c r="H1544" t="s">
        <v>25</v>
      </c>
      <c r="I1544" t="s">
        <v>19</v>
      </c>
    </row>
    <row r="1545" spans="1:9" x14ac:dyDescent="0.45">
      <c r="A1545" t="s">
        <v>6753</v>
      </c>
      <c r="B1545" s="2">
        <v>46143</v>
      </c>
      <c r="C1545" t="s">
        <v>16</v>
      </c>
      <c r="D1545" t="s">
        <v>6754</v>
      </c>
      <c r="E1545" t="s">
        <v>7973</v>
      </c>
      <c r="F1545">
        <v>11</v>
      </c>
      <c r="G1545" t="s">
        <v>59</v>
      </c>
      <c r="H1545" t="s">
        <v>14</v>
      </c>
      <c r="I1545" t="s">
        <v>31</v>
      </c>
    </row>
    <row r="1546" spans="1:9" x14ac:dyDescent="0.45">
      <c r="A1546" t="s">
        <v>6755</v>
      </c>
      <c r="B1546" s="2">
        <v>46065</v>
      </c>
      <c r="C1546" t="s">
        <v>10</v>
      </c>
      <c r="D1546" t="s">
        <v>6756</v>
      </c>
      <c r="E1546" t="s">
        <v>42</v>
      </c>
      <c r="F1546">
        <v>3</v>
      </c>
      <c r="G1546" t="s">
        <v>24</v>
      </c>
      <c r="H1546" t="s">
        <v>25</v>
      </c>
      <c r="I1546" t="s">
        <v>60</v>
      </c>
    </row>
    <row r="1547" spans="1:9" x14ac:dyDescent="0.45">
      <c r="A1547" t="s">
        <v>6757</v>
      </c>
      <c r="B1547" s="2">
        <v>46034</v>
      </c>
      <c r="C1547" t="s">
        <v>66</v>
      </c>
      <c r="D1547" t="s">
        <v>6758</v>
      </c>
      <c r="E1547" t="s">
        <v>58</v>
      </c>
      <c r="F1547">
        <v>12</v>
      </c>
      <c r="G1547" t="s">
        <v>43</v>
      </c>
      <c r="H1547" t="s">
        <v>14</v>
      </c>
      <c r="I1547" t="s">
        <v>47</v>
      </c>
    </row>
    <row r="1548" spans="1:9" x14ac:dyDescent="0.45">
      <c r="A1548" t="s">
        <v>6759</v>
      </c>
      <c r="B1548" s="2">
        <v>46244</v>
      </c>
      <c r="C1548" t="s">
        <v>52</v>
      </c>
      <c r="D1548" t="s">
        <v>6760</v>
      </c>
      <c r="E1548" t="s">
        <v>42</v>
      </c>
      <c r="F1548">
        <v>7</v>
      </c>
      <c r="G1548" t="s">
        <v>59</v>
      </c>
      <c r="H1548" t="s">
        <v>14</v>
      </c>
      <c r="I1548" t="s">
        <v>47</v>
      </c>
    </row>
    <row r="1549" spans="1:9" x14ac:dyDescent="0.45">
      <c r="A1549" t="s">
        <v>6761</v>
      </c>
      <c r="B1549" s="2">
        <v>46115</v>
      </c>
      <c r="C1549" t="s">
        <v>21</v>
      </c>
      <c r="D1549" t="s">
        <v>6762</v>
      </c>
      <c r="E1549" t="s">
        <v>38</v>
      </c>
      <c r="F1549">
        <v>5</v>
      </c>
      <c r="G1549" t="s">
        <v>43</v>
      </c>
      <c r="H1549" t="s">
        <v>14</v>
      </c>
      <c r="I1549" t="s">
        <v>47</v>
      </c>
    </row>
    <row r="1550" spans="1:9" x14ac:dyDescent="0.45">
      <c r="A1550" t="s">
        <v>6763</v>
      </c>
      <c r="B1550" s="2">
        <v>46146</v>
      </c>
      <c r="C1550" t="s">
        <v>21</v>
      </c>
      <c r="D1550" t="s">
        <v>6764</v>
      </c>
      <c r="E1550" t="s">
        <v>54</v>
      </c>
      <c r="F1550">
        <v>9</v>
      </c>
      <c r="G1550" t="s">
        <v>18</v>
      </c>
      <c r="H1550" t="s">
        <v>14</v>
      </c>
      <c r="I1550" t="s">
        <v>26</v>
      </c>
    </row>
    <row r="1551" spans="1:9" x14ac:dyDescent="0.45">
      <c r="A1551" t="s">
        <v>6765</v>
      </c>
      <c r="B1551" s="2">
        <v>46257</v>
      </c>
      <c r="C1551" t="s">
        <v>10</v>
      </c>
      <c r="D1551" t="s">
        <v>6766</v>
      </c>
      <c r="E1551" t="s">
        <v>38</v>
      </c>
      <c r="F1551">
        <v>12</v>
      </c>
      <c r="G1551" t="s">
        <v>68</v>
      </c>
      <c r="H1551" t="s">
        <v>25</v>
      </c>
      <c r="I1551" t="s">
        <v>39</v>
      </c>
    </row>
    <row r="1552" spans="1:9" x14ac:dyDescent="0.45">
      <c r="A1552" t="s">
        <v>6767</v>
      </c>
      <c r="B1552" s="2">
        <v>46233</v>
      </c>
      <c r="C1552" t="s">
        <v>66</v>
      </c>
      <c r="D1552" t="s">
        <v>6768</v>
      </c>
      <c r="E1552" t="s">
        <v>7973</v>
      </c>
      <c r="F1552">
        <v>12</v>
      </c>
      <c r="G1552" t="s">
        <v>13</v>
      </c>
      <c r="H1552" t="s">
        <v>14</v>
      </c>
      <c r="I1552" t="s">
        <v>47</v>
      </c>
    </row>
    <row r="1553" spans="1:9" x14ac:dyDescent="0.45">
      <c r="A1553" t="s">
        <v>6769</v>
      </c>
      <c r="B1553" s="2">
        <v>46046</v>
      </c>
      <c r="C1553" t="s">
        <v>49</v>
      </c>
      <c r="D1553" t="s">
        <v>6770</v>
      </c>
      <c r="E1553" t="s">
        <v>54</v>
      </c>
      <c r="F1553">
        <v>9</v>
      </c>
      <c r="G1553" t="s">
        <v>35</v>
      </c>
      <c r="H1553" t="s">
        <v>25</v>
      </c>
      <c r="I1553" t="s">
        <v>31</v>
      </c>
    </row>
    <row r="1554" spans="1:9" x14ac:dyDescent="0.45">
      <c r="A1554" t="s">
        <v>6771</v>
      </c>
      <c r="B1554" s="2">
        <v>46031</v>
      </c>
      <c r="C1554" t="s">
        <v>28</v>
      </c>
      <c r="D1554" t="s">
        <v>6772</v>
      </c>
      <c r="E1554" t="s">
        <v>38</v>
      </c>
      <c r="F1554">
        <v>11</v>
      </c>
      <c r="G1554" t="s">
        <v>55</v>
      </c>
      <c r="H1554" t="s">
        <v>72</v>
      </c>
      <c r="I1554" t="s">
        <v>60</v>
      </c>
    </row>
    <row r="1555" spans="1:9" x14ac:dyDescent="0.45">
      <c r="A1555" t="s">
        <v>6773</v>
      </c>
      <c r="B1555" s="2">
        <v>46062</v>
      </c>
      <c r="C1555" t="s">
        <v>52</v>
      </c>
      <c r="D1555" t="s">
        <v>6774</v>
      </c>
      <c r="E1555" t="s">
        <v>30</v>
      </c>
      <c r="F1555">
        <v>1</v>
      </c>
      <c r="G1555" t="s">
        <v>18</v>
      </c>
      <c r="H1555" t="s">
        <v>14</v>
      </c>
      <c r="I1555" t="s">
        <v>7967</v>
      </c>
    </row>
    <row r="1556" spans="1:9" x14ac:dyDescent="0.45">
      <c r="A1556" t="s">
        <v>6775</v>
      </c>
      <c r="B1556" s="2">
        <v>46074</v>
      </c>
      <c r="C1556" t="s">
        <v>10</v>
      </c>
      <c r="D1556" t="s">
        <v>6776</v>
      </c>
      <c r="E1556" t="s">
        <v>75</v>
      </c>
      <c r="F1556">
        <v>5</v>
      </c>
      <c r="G1556" t="s">
        <v>18</v>
      </c>
      <c r="H1556" t="s">
        <v>14</v>
      </c>
      <c r="I1556" t="s">
        <v>31</v>
      </c>
    </row>
    <row r="1557" spans="1:9" x14ac:dyDescent="0.45">
      <c r="A1557" t="s">
        <v>6777</v>
      </c>
      <c r="B1557" s="2">
        <v>46245</v>
      </c>
      <c r="C1557" t="s">
        <v>49</v>
      </c>
      <c r="D1557" t="s">
        <v>6778</v>
      </c>
      <c r="E1557" t="s">
        <v>7974</v>
      </c>
      <c r="F1557">
        <v>1</v>
      </c>
      <c r="G1557" t="s">
        <v>68</v>
      </c>
      <c r="H1557" t="s">
        <v>25</v>
      </c>
      <c r="I1557" t="s">
        <v>26</v>
      </c>
    </row>
    <row r="1558" spans="1:9" x14ac:dyDescent="0.45">
      <c r="A1558" t="s">
        <v>6779</v>
      </c>
      <c r="B1558" s="2">
        <v>46200</v>
      </c>
      <c r="C1558" t="s">
        <v>21</v>
      </c>
      <c r="D1558" t="s">
        <v>6780</v>
      </c>
      <c r="E1558" t="s">
        <v>46</v>
      </c>
      <c r="F1558">
        <v>4</v>
      </c>
      <c r="G1558" t="s">
        <v>18</v>
      </c>
      <c r="H1558" t="s">
        <v>14</v>
      </c>
      <c r="I1558" t="s">
        <v>31</v>
      </c>
    </row>
    <row r="1559" spans="1:9" x14ac:dyDescent="0.45">
      <c r="A1559" t="s">
        <v>6781</v>
      </c>
      <c r="B1559" s="2">
        <v>46042</v>
      </c>
      <c r="C1559" t="s">
        <v>99</v>
      </c>
      <c r="D1559" t="s">
        <v>6782</v>
      </c>
      <c r="E1559" t="s">
        <v>46</v>
      </c>
      <c r="F1559">
        <v>3</v>
      </c>
      <c r="G1559" t="s">
        <v>13</v>
      </c>
      <c r="H1559" t="s">
        <v>14</v>
      </c>
      <c r="I1559" t="s">
        <v>60</v>
      </c>
    </row>
    <row r="1560" spans="1:9" x14ac:dyDescent="0.45">
      <c r="A1560" t="s">
        <v>6783</v>
      </c>
      <c r="B1560" s="2">
        <v>46096</v>
      </c>
      <c r="C1560" t="s">
        <v>16</v>
      </c>
      <c r="D1560" t="s">
        <v>6784</v>
      </c>
      <c r="E1560" t="s">
        <v>30</v>
      </c>
      <c r="F1560">
        <v>5</v>
      </c>
      <c r="G1560" t="s">
        <v>18</v>
      </c>
      <c r="H1560" t="s">
        <v>14</v>
      </c>
      <c r="I1560" t="s">
        <v>31</v>
      </c>
    </row>
    <row r="1561" spans="1:9" x14ac:dyDescent="0.45">
      <c r="A1561" t="s">
        <v>6785</v>
      </c>
      <c r="B1561" s="2">
        <v>46256</v>
      </c>
      <c r="C1561" t="s">
        <v>49</v>
      </c>
      <c r="D1561" t="s">
        <v>6786</v>
      </c>
      <c r="E1561" t="s">
        <v>23</v>
      </c>
      <c r="F1561">
        <v>2</v>
      </c>
      <c r="G1561" t="s">
        <v>68</v>
      </c>
      <c r="H1561" t="s">
        <v>25</v>
      </c>
      <c r="I1561" t="s">
        <v>39</v>
      </c>
    </row>
    <row r="1562" spans="1:9" x14ac:dyDescent="0.45">
      <c r="A1562" t="s">
        <v>6787</v>
      </c>
      <c r="B1562" s="2">
        <v>46141</v>
      </c>
      <c r="C1562" t="s">
        <v>10</v>
      </c>
      <c r="D1562" t="s">
        <v>6788</v>
      </c>
      <c r="E1562" t="s">
        <v>71</v>
      </c>
      <c r="F1562">
        <v>9</v>
      </c>
      <c r="G1562" t="s">
        <v>35</v>
      </c>
      <c r="H1562" t="s">
        <v>25</v>
      </c>
      <c r="I1562" t="s">
        <v>26</v>
      </c>
    </row>
    <row r="1563" spans="1:9" x14ac:dyDescent="0.45">
      <c r="A1563" t="s">
        <v>6789</v>
      </c>
      <c r="B1563" s="2">
        <v>46082</v>
      </c>
      <c r="C1563" t="s">
        <v>16</v>
      </c>
      <c r="D1563" t="s">
        <v>6790</v>
      </c>
      <c r="E1563" t="s">
        <v>7974</v>
      </c>
      <c r="F1563">
        <v>5</v>
      </c>
      <c r="G1563" t="s">
        <v>35</v>
      </c>
      <c r="H1563" t="s">
        <v>25</v>
      </c>
      <c r="I1563" t="s">
        <v>60</v>
      </c>
    </row>
    <row r="1564" spans="1:9" x14ac:dyDescent="0.45">
      <c r="A1564" t="s">
        <v>6791</v>
      </c>
      <c r="B1564" s="2">
        <v>46246</v>
      </c>
      <c r="C1564" t="s">
        <v>10</v>
      </c>
      <c r="D1564" t="s">
        <v>6792</v>
      </c>
      <c r="E1564" t="s">
        <v>75</v>
      </c>
      <c r="F1564">
        <v>5</v>
      </c>
      <c r="G1564" t="s">
        <v>59</v>
      </c>
      <c r="H1564" t="s">
        <v>14</v>
      </c>
      <c r="I1564" t="s">
        <v>47</v>
      </c>
    </row>
    <row r="1565" spans="1:9" x14ac:dyDescent="0.45">
      <c r="A1565" t="s">
        <v>6793</v>
      </c>
      <c r="B1565" s="2">
        <v>46064</v>
      </c>
      <c r="C1565" t="s">
        <v>10</v>
      </c>
      <c r="D1565" t="s">
        <v>6794</v>
      </c>
      <c r="E1565" t="s">
        <v>71</v>
      </c>
      <c r="F1565">
        <v>8</v>
      </c>
      <c r="G1565" t="s">
        <v>13</v>
      </c>
      <c r="H1565" t="s">
        <v>14</v>
      </c>
      <c r="I1565" t="s">
        <v>31</v>
      </c>
    </row>
    <row r="1566" spans="1:9" x14ac:dyDescent="0.45">
      <c r="A1566" t="s">
        <v>6795</v>
      </c>
      <c r="B1566" s="2">
        <v>46141</v>
      </c>
      <c r="C1566" t="s">
        <v>99</v>
      </c>
      <c r="D1566" t="s">
        <v>6796</v>
      </c>
      <c r="E1566" t="s">
        <v>38</v>
      </c>
      <c r="F1566">
        <v>11</v>
      </c>
      <c r="G1566" t="s">
        <v>35</v>
      </c>
      <c r="H1566" t="s">
        <v>25</v>
      </c>
      <c r="I1566" t="s">
        <v>47</v>
      </c>
    </row>
    <row r="1567" spans="1:9" x14ac:dyDescent="0.45">
      <c r="A1567" t="s">
        <v>6797</v>
      </c>
      <c r="B1567" s="2">
        <v>46243</v>
      </c>
      <c r="C1567" t="s">
        <v>28</v>
      </c>
      <c r="D1567" t="s">
        <v>6798</v>
      </c>
      <c r="E1567" t="s">
        <v>30</v>
      </c>
      <c r="F1567">
        <v>5</v>
      </c>
      <c r="G1567" t="s">
        <v>18</v>
      </c>
      <c r="H1567" t="s">
        <v>14</v>
      </c>
      <c r="I1567" t="s">
        <v>26</v>
      </c>
    </row>
    <row r="1568" spans="1:9" x14ac:dyDescent="0.45">
      <c r="A1568" t="s">
        <v>6799</v>
      </c>
      <c r="B1568" s="2">
        <v>46128</v>
      </c>
      <c r="C1568" t="s">
        <v>66</v>
      </c>
      <c r="D1568" t="s">
        <v>6800</v>
      </c>
      <c r="E1568" t="s">
        <v>71</v>
      </c>
      <c r="F1568">
        <v>8</v>
      </c>
      <c r="G1568" t="s">
        <v>43</v>
      </c>
      <c r="H1568" t="s">
        <v>14</v>
      </c>
      <c r="I1568" t="s">
        <v>47</v>
      </c>
    </row>
    <row r="1569" spans="1:9" x14ac:dyDescent="0.45">
      <c r="A1569" t="s">
        <v>6801</v>
      </c>
      <c r="B1569" s="2">
        <v>46103</v>
      </c>
      <c r="C1569" t="s">
        <v>49</v>
      </c>
      <c r="D1569" t="s">
        <v>6802</v>
      </c>
      <c r="E1569" t="s">
        <v>71</v>
      </c>
      <c r="F1569">
        <v>2</v>
      </c>
      <c r="G1569" t="s">
        <v>59</v>
      </c>
      <c r="H1569" t="s">
        <v>14</v>
      </c>
      <c r="I1569" t="s">
        <v>47</v>
      </c>
    </row>
    <row r="1570" spans="1:9" x14ac:dyDescent="0.45">
      <c r="A1570" t="s">
        <v>6803</v>
      </c>
      <c r="B1570" s="2">
        <v>46252</v>
      </c>
      <c r="C1570" t="s">
        <v>66</v>
      </c>
      <c r="D1570" t="s">
        <v>6804</v>
      </c>
      <c r="E1570" t="s">
        <v>46</v>
      </c>
      <c r="F1570">
        <v>4</v>
      </c>
      <c r="G1570" t="s">
        <v>59</v>
      </c>
      <c r="H1570" t="s">
        <v>14</v>
      </c>
      <c r="I1570" t="s">
        <v>31</v>
      </c>
    </row>
    <row r="1571" spans="1:9" x14ac:dyDescent="0.45">
      <c r="A1571" t="s">
        <v>6805</v>
      </c>
      <c r="B1571" s="2">
        <v>46247</v>
      </c>
      <c r="C1571" t="s">
        <v>49</v>
      </c>
      <c r="D1571" t="s">
        <v>6806</v>
      </c>
      <c r="E1571" t="s">
        <v>42</v>
      </c>
      <c r="F1571">
        <v>4</v>
      </c>
      <c r="G1571" t="s">
        <v>59</v>
      </c>
      <c r="H1571" t="s">
        <v>14</v>
      </c>
      <c r="I1571" t="s">
        <v>60</v>
      </c>
    </row>
    <row r="1572" spans="1:9" x14ac:dyDescent="0.45">
      <c r="A1572" t="s">
        <v>6807</v>
      </c>
      <c r="B1572" s="2">
        <v>46190</v>
      </c>
      <c r="C1572" t="s">
        <v>10</v>
      </c>
      <c r="D1572" t="s">
        <v>6808</v>
      </c>
      <c r="E1572" t="s">
        <v>7973</v>
      </c>
      <c r="F1572">
        <v>10</v>
      </c>
      <c r="G1572" t="s">
        <v>18</v>
      </c>
      <c r="H1572" t="s">
        <v>14</v>
      </c>
      <c r="I1572" t="s">
        <v>26</v>
      </c>
    </row>
    <row r="1573" spans="1:9" x14ac:dyDescent="0.45">
      <c r="A1573" t="s">
        <v>6809</v>
      </c>
      <c r="B1573" s="2">
        <v>46073</v>
      </c>
      <c r="C1573" t="s">
        <v>99</v>
      </c>
      <c r="D1573" t="s">
        <v>6810</v>
      </c>
      <c r="E1573" t="s">
        <v>71</v>
      </c>
      <c r="F1573">
        <v>9</v>
      </c>
      <c r="G1573" t="s">
        <v>59</v>
      </c>
      <c r="H1573" t="s">
        <v>14</v>
      </c>
      <c r="I1573" t="s">
        <v>60</v>
      </c>
    </row>
    <row r="1574" spans="1:9" x14ac:dyDescent="0.45">
      <c r="A1574" t="s">
        <v>6811</v>
      </c>
      <c r="B1574" s="2">
        <v>46192</v>
      </c>
      <c r="C1574" t="s">
        <v>16</v>
      </c>
      <c r="D1574" t="s">
        <v>6812</v>
      </c>
      <c r="E1574" t="s">
        <v>23</v>
      </c>
      <c r="F1574">
        <v>1</v>
      </c>
      <c r="G1574" t="s">
        <v>13</v>
      </c>
      <c r="H1574" t="s">
        <v>14</v>
      </c>
      <c r="I1574" t="s">
        <v>26</v>
      </c>
    </row>
    <row r="1575" spans="1:9" x14ac:dyDescent="0.45">
      <c r="A1575" t="s">
        <v>6813</v>
      </c>
      <c r="B1575" s="2">
        <v>46102</v>
      </c>
      <c r="C1575" t="s">
        <v>28</v>
      </c>
      <c r="D1575" t="s">
        <v>6814</v>
      </c>
      <c r="E1575" t="s">
        <v>46</v>
      </c>
      <c r="F1575">
        <v>2</v>
      </c>
      <c r="G1575" t="s">
        <v>13</v>
      </c>
      <c r="H1575" t="s">
        <v>14</v>
      </c>
      <c r="I1575" t="s">
        <v>19</v>
      </c>
    </row>
    <row r="1576" spans="1:9" x14ac:dyDescent="0.45">
      <c r="A1576" t="s">
        <v>6815</v>
      </c>
      <c r="B1576" s="2">
        <v>46098</v>
      </c>
      <c r="C1576" t="s">
        <v>16</v>
      </c>
      <c r="D1576" t="s">
        <v>6816</v>
      </c>
      <c r="E1576" t="s">
        <v>54</v>
      </c>
      <c r="F1576">
        <v>1</v>
      </c>
      <c r="G1576" t="s">
        <v>24</v>
      </c>
      <c r="H1576" t="s">
        <v>25</v>
      </c>
      <c r="I1576" t="s">
        <v>47</v>
      </c>
    </row>
    <row r="1577" spans="1:9" x14ac:dyDescent="0.45">
      <c r="A1577" t="s">
        <v>6817</v>
      </c>
      <c r="B1577" s="2">
        <v>46078</v>
      </c>
      <c r="C1577" t="s">
        <v>16</v>
      </c>
      <c r="D1577" t="s">
        <v>6818</v>
      </c>
      <c r="E1577" t="s">
        <v>75</v>
      </c>
      <c r="F1577">
        <v>11</v>
      </c>
      <c r="G1577" t="s">
        <v>68</v>
      </c>
      <c r="H1577" t="s">
        <v>25</v>
      </c>
      <c r="I1577" t="s">
        <v>60</v>
      </c>
    </row>
    <row r="1578" spans="1:9" x14ac:dyDescent="0.45">
      <c r="A1578" t="s">
        <v>6819</v>
      </c>
      <c r="B1578" s="2">
        <v>46221</v>
      </c>
      <c r="C1578" t="s">
        <v>52</v>
      </c>
      <c r="D1578" t="s">
        <v>6820</v>
      </c>
      <c r="E1578" t="s">
        <v>38</v>
      </c>
      <c r="F1578">
        <v>8</v>
      </c>
      <c r="G1578" t="s">
        <v>13</v>
      </c>
      <c r="H1578" t="s">
        <v>14</v>
      </c>
      <c r="I1578" t="s">
        <v>39</v>
      </c>
    </row>
    <row r="1579" spans="1:9" x14ac:dyDescent="0.45">
      <c r="A1579" t="s">
        <v>6821</v>
      </c>
      <c r="B1579" s="2">
        <v>46138</v>
      </c>
      <c r="C1579" t="s">
        <v>66</v>
      </c>
      <c r="D1579" t="s">
        <v>6822</v>
      </c>
      <c r="E1579" t="s">
        <v>58</v>
      </c>
      <c r="F1579">
        <v>11</v>
      </c>
      <c r="G1579" t="s">
        <v>43</v>
      </c>
      <c r="H1579" t="s">
        <v>14</v>
      </c>
      <c r="I1579" t="s">
        <v>26</v>
      </c>
    </row>
    <row r="1580" spans="1:9" x14ac:dyDescent="0.45">
      <c r="A1580" t="s">
        <v>6823</v>
      </c>
      <c r="B1580" s="2">
        <v>46078</v>
      </c>
      <c r="C1580" t="s">
        <v>49</v>
      </c>
      <c r="D1580" t="s">
        <v>6824</v>
      </c>
      <c r="E1580" t="s">
        <v>58</v>
      </c>
      <c r="F1580">
        <v>9</v>
      </c>
      <c r="G1580" t="s">
        <v>43</v>
      </c>
      <c r="H1580" t="s">
        <v>14</v>
      </c>
      <c r="I1580" t="s">
        <v>19</v>
      </c>
    </row>
    <row r="1581" spans="1:9" x14ac:dyDescent="0.45">
      <c r="A1581" t="s">
        <v>6825</v>
      </c>
      <c r="B1581" s="2">
        <v>46170</v>
      </c>
      <c r="C1581" t="s">
        <v>52</v>
      </c>
      <c r="D1581" t="s">
        <v>6826</v>
      </c>
      <c r="E1581" t="s">
        <v>7974</v>
      </c>
      <c r="F1581">
        <v>4</v>
      </c>
      <c r="G1581" t="s">
        <v>13</v>
      </c>
      <c r="H1581" t="s">
        <v>14</v>
      </c>
      <c r="I1581" t="s">
        <v>47</v>
      </c>
    </row>
    <row r="1582" spans="1:9" x14ac:dyDescent="0.45">
      <c r="A1582" t="s">
        <v>6827</v>
      </c>
      <c r="B1582" s="2">
        <v>46099</v>
      </c>
      <c r="C1582" t="s">
        <v>99</v>
      </c>
      <c r="D1582" t="s">
        <v>6828</v>
      </c>
      <c r="E1582" t="s">
        <v>7974</v>
      </c>
      <c r="F1582">
        <v>9</v>
      </c>
      <c r="G1582" t="s">
        <v>24</v>
      </c>
      <c r="H1582" t="s">
        <v>25</v>
      </c>
      <c r="I1582" t="s">
        <v>31</v>
      </c>
    </row>
    <row r="1583" spans="1:9" x14ac:dyDescent="0.45">
      <c r="A1583" t="s">
        <v>6829</v>
      </c>
      <c r="B1583" s="2">
        <v>46097</v>
      </c>
      <c r="C1583" t="s">
        <v>49</v>
      </c>
      <c r="D1583" t="s">
        <v>6830</v>
      </c>
      <c r="E1583" t="s">
        <v>34</v>
      </c>
      <c r="F1583">
        <v>12</v>
      </c>
      <c r="G1583" t="s">
        <v>18</v>
      </c>
      <c r="H1583" t="s">
        <v>14</v>
      </c>
      <c r="I1583" t="s">
        <v>26</v>
      </c>
    </row>
    <row r="1584" spans="1:9" x14ac:dyDescent="0.45">
      <c r="A1584" t="s">
        <v>6831</v>
      </c>
      <c r="B1584" s="2">
        <v>46190</v>
      </c>
      <c r="C1584" t="s">
        <v>66</v>
      </c>
      <c r="D1584" t="s">
        <v>6832</v>
      </c>
      <c r="E1584" t="s">
        <v>58</v>
      </c>
      <c r="F1584">
        <v>2</v>
      </c>
      <c r="G1584" t="s">
        <v>55</v>
      </c>
      <c r="H1584" t="s">
        <v>72</v>
      </c>
      <c r="I1584" t="s">
        <v>26</v>
      </c>
    </row>
    <row r="1585" spans="1:9" x14ac:dyDescent="0.45">
      <c r="A1585" t="s">
        <v>6833</v>
      </c>
      <c r="B1585" s="2">
        <v>46264</v>
      </c>
      <c r="C1585" t="s">
        <v>66</v>
      </c>
      <c r="D1585" t="s">
        <v>6834</v>
      </c>
      <c r="E1585" t="s">
        <v>71</v>
      </c>
      <c r="F1585">
        <v>11</v>
      </c>
      <c r="G1585" t="s">
        <v>35</v>
      </c>
      <c r="H1585" t="s">
        <v>25</v>
      </c>
      <c r="I1585" t="s">
        <v>39</v>
      </c>
    </row>
    <row r="1586" spans="1:9" x14ac:dyDescent="0.45">
      <c r="A1586" t="s">
        <v>6835</v>
      </c>
      <c r="B1586" s="2">
        <v>46189</v>
      </c>
      <c r="C1586" t="s">
        <v>52</v>
      </c>
      <c r="D1586" t="s">
        <v>6836</v>
      </c>
      <c r="E1586" t="s">
        <v>23</v>
      </c>
      <c r="F1586">
        <v>6</v>
      </c>
      <c r="G1586" t="s">
        <v>18</v>
      </c>
      <c r="H1586" t="s">
        <v>14</v>
      </c>
      <c r="I1586" t="s">
        <v>39</v>
      </c>
    </row>
    <row r="1587" spans="1:9" x14ac:dyDescent="0.45">
      <c r="A1587" t="s">
        <v>6837</v>
      </c>
      <c r="B1587" s="2">
        <v>46070</v>
      </c>
      <c r="C1587" t="s">
        <v>52</v>
      </c>
      <c r="D1587" t="s">
        <v>6838</v>
      </c>
      <c r="E1587" t="s">
        <v>23</v>
      </c>
      <c r="F1587">
        <v>10</v>
      </c>
      <c r="G1587" t="s">
        <v>18</v>
      </c>
      <c r="H1587" t="s">
        <v>14</v>
      </c>
      <c r="I1587" t="s">
        <v>19</v>
      </c>
    </row>
    <row r="1588" spans="1:9" x14ac:dyDescent="0.45">
      <c r="A1588" t="s">
        <v>6839</v>
      </c>
      <c r="B1588" s="2">
        <v>46200</v>
      </c>
      <c r="C1588" t="s">
        <v>99</v>
      </c>
      <c r="D1588" t="s">
        <v>6840</v>
      </c>
      <c r="E1588" t="s">
        <v>34</v>
      </c>
      <c r="F1588">
        <v>9</v>
      </c>
      <c r="G1588" t="s">
        <v>18</v>
      </c>
      <c r="H1588" t="s">
        <v>14</v>
      </c>
      <c r="I1588" t="s">
        <v>19</v>
      </c>
    </row>
    <row r="1589" spans="1:9" x14ac:dyDescent="0.45">
      <c r="A1589" t="s">
        <v>6841</v>
      </c>
      <c r="B1589" s="2">
        <v>46248</v>
      </c>
      <c r="C1589" t="s">
        <v>66</v>
      </c>
      <c r="D1589" t="s">
        <v>6842</v>
      </c>
      <c r="E1589" t="s">
        <v>54</v>
      </c>
      <c r="F1589">
        <v>6</v>
      </c>
      <c r="G1589" t="s">
        <v>18</v>
      </c>
      <c r="H1589" t="s">
        <v>14</v>
      </c>
      <c r="I1589" t="s">
        <v>47</v>
      </c>
    </row>
    <row r="1590" spans="1:9" x14ac:dyDescent="0.45">
      <c r="A1590" t="s">
        <v>6843</v>
      </c>
      <c r="B1590" s="2">
        <v>46063</v>
      </c>
      <c r="C1590" t="s">
        <v>99</v>
      </c>
      <c r="D1590" t="s">
        <v>6844</v>
      </c>
      <c r="E1590" t="s">
        <v>75</v>
      </c>
      <c r="F1590">
        <v>9</v>
      </c>
      <c r="G1590" t="s">
        <v>18</v>
      </c>
      <c r="H1590" t="s">
        <v>14</v>
      </c>
      <c r="I1590" t="s">
        <v>19</v>
      </c>
    </row>
    <row r="1591" spans="1:9" x14ac:dyDescent="0.45">
      <c r="A1591" t="s">
        <v>6845</v>
      </c>
      <c r="B1591" s="2">
        <v>46186</v>
      </c>
      <c r="C1591" t="s">
        <v>99</v>
      </c>
      <c r="D1591" t="s">
        <v>6846</v>
      </c>
      <c r="E1591" t="s">
        <v>38</v>
      </c>
      <c r="F1591">
        <v>5</v>
      </c>
      <c r="G1591" t="s">
        <v>18</v>
      </c>
      <c r="H1591" t="s">
        <v>14</v>
      </c>
      <c r="I1591" t="s">
        <v>60</v>
      </c>
    </row>
    <row r="1592" spans="1:9" x14ac:dyDescent="0.45">
      <c r="A1592" t="s">
        <v>6847</v>
      </c>
      <c r="B1592" s="2">
        <v>46060</v>
      </c>
      <c r="C1592" t="s">
        <v>21</v>
      </c>
      <c r="D1592" t="s">
        <v>6848</v>
      </c>
      <c r="E1592" t="s">
        <v>163</v>
      </c>
      <c r="F1592">
        <v>7</v>
      </c>
      <c r="G1592" t="s">
        <v>59</v>
      </c>
      <c r="H1592" t="s">
        <v>14</v>
      </c>
      <c r="I1592" t="s">
        <v>31</v>
      </c>
    </row>
    <row r="1593" spans="1:9" x14ac:dyDescent="0.45">
      <c r="A1593" t="s">
        <v>6849</v>
      </c>
      <c r="B1593" s="2">
        <v>46161</v>
      </c>
      <c r="C1593" t="s">
        <v>16</v>
      </c>
      <c r="D1593" t="s">
        <v>6850</v>
      </c>
      <c r="E1593" t="s">
        <v>7973</v>
      </c>
      <c r="F1593">
        <v>12</v>
      </c>
      <c r="G1593" t="s">
        <v>43</v>
      </c>
      <c r="H1593" t="s">
        <v>14</v>
      </c>
      <c r="I1593" t="s">
        <v>19</v>
      </c>
    </row>
    <row r="1594" spans="1:9" x14ac:dyDescent="0.45">
      <c r="A1594" t="s">
        <v>6851</v>
      </c>
      <c r="B1594" s="2">
        <v>46144</v>
      </c>
      <c r="C1594" t="s">
        <v>99</v>
      </c>
      <c r="D1594" t="s">
        <v>6852</v>
      </c>
      <c r="E1594" t="s">
        <v>46</v>
      </c>
      <c r="F1594">
        <v>8</v>
      </c>
      <c r="G1594" t="s">
        <v>68</v>
      </c>
      <c r="H1594" t="s">
        <v>25</v>
      </c>
      <c r="I1594" t="s">
        <v>26</v>
      </c>
    </row>
    <row r="1595" spans="1:9" x14ac:dyDescent="0.45">
      <c r="A1595" t="s">
        <v>6853</v>
      </c>
      <c r="B1595" s="2">
        <v>46266</v>
      </c>
      <c r="C1595" t="s">
        <v>16</v>
      </c>
      <c r="D1595" t="s">
        <v>6854</v>
      </c>
      <c r="E1595" t="s">
        <v>38</v>
      </c>
      <c r="F1595">
        <v>11</v>
      </c>
      <c r="G1595" t="s">
        <v>18</v>
      </c>
      <c r="H1595" t="s">
        <v>14</v>
      </c>
      <c r="I1595" t="s">
        <v>60</v>
      </c>
    </row>
    <row r="1596" spans="1:9" x14ac:dyDescent="0.45">
      <c r="A1596" t="s">
        <v>6855</v>
      </c>
      <c r="B1596" s="2">
        <v>46110</v>
      </c>
      <c r="C1596" t="s">
        <v>28</v>
      </c>
      <c r="D1596" t="s">
        <v>6856</v>
      </c>
      <c r="E1596" t="s">
        <v>54</v>
      </c>
      <c r="F1596">
        <v>7</v>
      </c>
      <c r="G1596" t="s">
        <v>55</v>
      </c>
      <c r="H1596" t="s">
        <v>72</v>
      </c>
      <c r="I1596" t="s">
        <v>19</v>
      </c>
    </row>
    <row r="1597" spans="1:9" x14ac:dyDescent="0.45">
      <c r="A1597" t="s">
        <v>6857</v>
      </c>
      <c r="B1597" s="2">
        <v>46255</v>
      </c>
      <c r="C1597" t="s">
        <v>49</v>
      </c>
      <c r="D1597" t="s">
        <v>6858</v>
      </c>
      <c r="E1597" t="s">
        <v>71</v>
      </c>
      <c r="F1597">
        <v>10</v>
      </c>
      <c r="G1597" t="s">
        <v>13</v>
      </c>
      <c r="H1597" t="s">
        <v>14</v>
      </c>
      <c r="I1597" t="s">
        <v>47</v>
      </c>
    </row>
    <row r="1598" spans="1:9" x14ac:dyDescent="0.45">
      <c r="A1598" t="s">
        <v>6859</v>
      </c>
      <c r="B1598" s="2">
        <v>46208</v>
      </c>
      <c r="C1598" t="s">
        <v>16</v>
      </c>
      <c r="D1598" t="s">
        <v>6860</v>
      </c>
      <c r="E1598" t="s">
        <v>23</v>
      </c>
      <c r="F1598">
        <v>4</v>
      </c>
      <c r="G1598" t="s">
        <v>55</v>
      </c>
      <c r="H1598" t="s">
        <v>72</v>
      </c>
      <c r="I1598" t="s">
        <v>19</v>
      </c>
    </row>
    <row r="1599" spans="1:9" x14ac:dyDescent="0.45">
      <c r="A1599" t="s">
        <v>6861</v>
      </c>
      <c r="B1599" s="2">
        <v>46157</v>
      </c>
      <c r="C1599" t="s">
        <v>21</v>
      </c>
      <c r="D1599" t="s">
        <v>6862</v>
      </c>
      <c r="E1599" t="s">
        <v>42</v>
      </c>
      <c r="F1599">
        <v>9</v>
      </c>
      <c r="G1599" t="s">
        <v>55</v>
      </c>
      <c r="H1599" t="s">
        <v>72</v>
      </c>
      <c r="I1599" t="s">
        <v>39</v>
      </c>
    </row>
    <row r="1600" spans="1:9" x14ac:dyDescent="0.45">
      <c r="A1600" t="s">
        <v>6863</v>
      </c>
      <c r="B1600" s="2">
        <v>46087</v>
      </c>
      <c r="C1600" t="s">
        <v>49</v>
      </c>
      <c r="D1600" t="s">
        <v>6864</v>
      </c>
      <c r="E1600" t="s">
        <v>54</v>
      </c>
      <c r="F1600">
        <v>10</v>
      </c>
      <c r="G1600" t="s">
        <v>55</v>
      </c>
      <c r="H1600" t="s">
        <v>72</v>
      </c>
      <c r="I1600" t="s">
        <v>31</v>
      </c>
    </row>
    <row r="1601" spans="1:9" x14ac:dyDescent="0.45">
      <c r="A1601" t="s">
        <v>6865</v>
      </c>
      <c r="B1601" s="2">
        <v>46242</v>
      </c>
      <c r="C1601" t="s">
        <v>16</v>
      </c>
      <c r="D1601" t="s">
        <v>6866</v>
      </c>
      <c r="E1601" t="s">
        <v>38</v>
      </c>
      <c r="F1601">
        <v>12</v>
      </c>
      <c r="G1601" t="s">
        <v>13</v>
      </c>
      <c r="H1601" t="s">
        <v>14</v>
      </c>
      <c r="I1601" t="s">
        <v>19</v>
      </c>
    </row>
    <row r="1602" spans="1:9" x14ac:dyDescent="0.45">
      <c r="A1602" t="s">
        <v>6867</v>
      </c>
      <c r="B1602" s="2">
        <v>46127</v>
      </c>
      <c r="C1602" t="s">
        <v>99</v>
      </c>
      <c r="D1602" t="s">
        <v>6868</v>
      </c>
      <c r="E1602" t="s">
        <v>30</v>
      </c>
      <c r="F1602">
        <v>5</v>
      </c>
      <c r="G1602" t="s">
        <v>59</v>
      </c>
      <c r="H1602" t="s">
        <v>14</v>
      </c>
      <c r="I1602" t="s">
        <v>39</v>
      </c>
    </row>
    <row r="1603" spans="1:9" x14ac:dyDescent="0.45">
      <c r="A1603" t="s">
        <v>6869</v>
      </c>
      <c r="B1603" s="2">
        <v>46184</v>
      </c>
      <c r="C1603" t="s">
        <v>21</v>
      </c>
      <c r="D1603" t="s">
        <v>6870</v>
      </c>
      <c r="E1603" t="s">
        <v>7974</v>
      </c>
      <c r="F1603">
        <v>4</v>
      </c>
      <c r="G1603" t="s">
        <v>59</v>
      </c>
      <c r="H1603" t="s">
        <v>14</v>
      </c>
      <c r="I1603" t="s">
        <v>60</v>
      </c>
    </row>
    <row r="1604" spans="1:9" x14ac:dyDescent="0.45">
      <c r="A1604" t="s">
        <v>6871</v>
      </c>
      <c r="B1604" s="2">
        <v>46035</v>
      </c>
      <c r="C1604" t="s">
        <v>16</v>
      </c>
      <c r="D1604" t="s">
        <v>6872</v>
      </c>
      <c r="E1604" t="s">
        <v>75</v>
      </c>
      <c r="F1604">
        <v>12</v>
      </c>
      <c r="G1604" t="s">
        <v>35</v>
      </c>
      <c r="H1604" t="s">
        <v>25</v>
      </c>
      <c r="I1604" t="s">
        <v>31</v>
      </c>
    </row>
    <row r="1605" spans="1:9" x14ac:dyDescent="0.45">
      <c r="A1605" t="s">
        <v>6873</v>
      </c>
      <c r="B1605" s="2">
        <v>46237</v>
      </c>
      <c r="C1605" t="s">
        <v>52</v>
      </c>
      <c r="D1605" t="s">
        <v>6874</v>
      </c>
      <c r="E1605" t="s">
        <v>23</v>
      </c>
      <c r="F1605">
        <v>11</v>
      </c>
      <c r="G1605" t="s">
        <v>55</v>
      </c>
      <c r="H1605" t="s">
        <v>72</v>
      </c>
      <c r="I1605" t="s">
        <v>60</v>
      </c>
    </row>
    <row r="1606" spans="1:9" x14ac:dyDescent="0.45">
      <c r="A1606" t="s">
        <v>6875</v>
      </c>
      <c r="B1606" s="2">
        <v>46163</v>
      </c>
      <c r="C1606" t="s">
        <v>99</v>
      </c>
      <c r="D1606" t="s">
        <v>6876</v>
      </c>
      <c r="E1606" t="s">
        <v>58</v>
      </c>
      <c r="F1606">
        <v>3</v>
      </c>
      <c r="G1606" t="s">
        <v>24</v>
      </c>
      <c r="H1606" t="s">
        <v>25</v>
      </c>
      <c r="I1606" t="s">
        <v>26</v>
      </c>
    </row>
    <row r="1607" spans="1:9" x14ac:dyDescent="0.45">
      <c r="A1607" t="s">
        <v>6877</v>
      </c>
      <c r="B1607" s="2">
        <v>46217</v>
      </c>
      <c r="C1607" t="s">
        <v>49</v>
      </c>
      <c r="D1607" t="s">
        <v>6878</v>
      </c>
      <c r="E1607" t="s">
        <v>58</v>
      </c>
      <c r="F1607">
        <v>12</v>
      </c>
      <c r="G1607" t="s">
        <v>68</v>
      </c>
      <c r="H1607" t="s">
        <v>25</v>
      </c>
      <c r="I1607" t="s">
        <v>39</v>
      </c>
    </row>
    <row r="1608" spans="1:9" x14ac:dyDescent="0.45">
      <c r="A1608" t="s">
        <v>6879</v>
      </c>
      <c r="B1608" s="2">
        <v>46235</v>
      </c>
      <c r="C1608" t="s">
        <v>10</v>
      </c>
      <c r="D1608" t="s">
        <v>6880</v>
      </c>
      <c r="E1608" t="s">
        <v>58</v>
      </c>
      <c r="F1608">
        <v>1</v>
      </c>
      <c r="G1608" t="s">
        <v>55</v>
      </c>
      <c r="H1608" t="s">
        <v>72</v>
      </c>
      <c r="I1608" t="s">
        <v>26</v>
      </c>
    </row>
    <row r="1609" spans="1:9" x14ac:dyDescent="0.45">
      <c r="A1609" t="s">
        <v>6881</v>
      </c>
      <c r="B1609" s="2">
        <v>46247</v>
      </c>
      <c r="C1609" t="s">
        <v>16</v>
      </c>
      <c r="D1609" t="s">
        <v>6882</v>
      </c>
      <c r="E1609" t="s">
        <v>71</v>
      </c>
      <c r="F1609">
        <v>2</v>
      </c>
      <c r="G1609" t="s">
        <v>43</v>
      </c>
      <c r="H1609" t="s">
        <v>14</v>
      </c>
      <c r="I1609" t="s">
        <v>47</v>
      </c>
    </row>
    <row r="1610" spans="1:9" x14ac:dyDescent="0.45">
      <c r="A1610" t="s">
        <v>6883</v>
      </c>
      <c r="B1610" s="2">
        <v>46226</v>
      </c>
      <c r="C1610" t="s">
        <v>49</v>
      </c>
      <c r="D1610" t="s">
        <v>6884</v>
      </c>
      <c r="E1610" t="s">
        <v>23</v>
      </c>
      <c r="F1610">
        <v>10</v>
      </c>
      <c r="G1610" t="s">
        <v>43</v>
      </c>
      <c r="H1610" t="s">
        <v>14</v>
      </c>
      <c r="I1610" t="s">
        <v>19</v>
      </c>
    </row>
    <row r="1611" spans="1:9" x14ac:dyDescent="0.45">
      <c r="A1611" t="s">
        <v>6885</v>
      </c>
      <c r="B1611" s="2">
        <v>46092</v>
      </c>
      <c r="C1611" t="s">
        <v>52</v>
      </c>
      <c r="D1611" t="s">
        <v>6886</v>
      </c>
      <c r="E1611" t="s">
        <v>7967</v>
      </c>
      <c r="F1611">
        <v>1</v>
      </c>
      <c r="G1611" t="s">
        <v>59</v>
      </c>
      <c r="H1611" t="s">
        <v>14</v>
      </c>
      <c r="I1611" t="s">
        <v>31</v>
      </c>
    </row>
    <row r="1612" spans="1:9" x14ac:dyDescent="0.45">
      <c r="A1612" t="s">
        <v>6887</v>
      </c>
      <c r="B1612" s="2">
        <v>46215</v>
      </c>
      <c r="C1612" t="s">
        <v>10</v>
      </c>
      <c r="D1612" t="s">
        <v>6888</v>
      </c>
      <c r="E1612" t="s">
        <v>30</v>
      </c>
      <c r="F1612">
        <v>6</v>
      </c>
      <c r="G1612" t="s">
        <v>35</v>
      </c>
      <c r="H1612" t="s">
        <v>25</v>
      </c>
      <c r="I1612" t="s">
        <v>19</v>
      </c>
    </row>
    <row r="1613" spans="1:9" x14ac:dyDescent="0.45">
      <c r="A1613" t="s">
        <v>6889</v>
      </c>
      <c r="B1613" s="2">
        <v>46205</v>
      </c>
      <c r="C1613" t="s">
        <v>52</v>
      </c>
      <c r="D1613" t="s">
        <v>6890</v>
      </c>
      <c r="E1613" t="s">
        <v>34</v>
      </c>
      <c r="F1613">
        <v>1</v>
      </c>
      <c r="G1613" t="s">
        <v>55</v>
      </c>
      <c r="H1613" t="s">
        <v>72</v>
      </c>
      <c r="I1613" t="s">
        <v>19</v>
      </c>
    </row>
    <row r="1614" spans="1:9" x14ac:dyDescent="0.45">
      <c r="A1614" t="s">
        <v>6891</v>
      </c>
      <c r="B1614" s="2">
        <v>46041</v>
      </c>
      <c r="C1614" t="s">
        <v>52</v>
      </c>
      <c r="D1614" t="s">
        <v>6892</v>
      </c>
      <c r="E1614" t="s">
        <v>54</v>
      </c>
      <c r="F1614">
        <v>6</v>
      </c>
      <c r="G1614" t="s">
        <v>24</v>
      </c>
      <c r="H1614" t="s">
        <v>25</v>
      </c>
      <c r="I1614" t="s">
        <v>31</v>
      </c>
    </row>
    <row r="1615" spans="1:9" x14ac:dyDescent="0.45">
      <c r="A1615" t="s">
        <v>6893</v>
      </c>
      <c r="B1615" s="2">
        <v>46263</v>
      </c>
      <c r="C1615" t="s">
        <v>66</v>
      </c>
      <c r="D1615" t="s">
        <v>6894</v>
      </c>
      <c r="E1615" t="s">
        <v>2306</v>
      </c>
      <c r="F1615">
        <v>9</v>
      </c>
      <c r="G1615" t="s">
        <v>59</v>
      </c>
      <c r="H1615" t="s">
        <v>14</v>
      </c>
      <c r="I1615" t="s">
        <v>60</v>
      </c>
    </row>
    <row r="1616" spans="1:9" x14ac:dyDescent="0.45">
      <c r="A1616" t="s">
        <v>6895</v>
      </c>
      <c r="B1616" s="2">
        <v>46026</v>
      </c>
      <c r="C1616" t="s">
        <v>52</v>
      </c>
      <c r="D1616" t="s">
        <v>6896</v>
      </c>
      <c r="E1616" t="s">
        <v>23</v>
      </c>
      <c r="F1616">
        <v>8</v>
      </c>
      <c r="G1616" t="s">
        <v>24</v>
      </c>
      <c r="H1616" t="s">
        <v>25</v>
      </c>
      <c r="I1616" t="s">
        <v>60</v>
      </c>
    </row>
    <row r="1617" spans="1:9" x14ac:dyDescent="0.45">
      <c r="A1617" t="s">
        <v>6897</v>
      </c>
      <c r="B1617" s="2">
        <v>46089</v>
      </c>
      <c r="C1617" t="s">
        <v>10</v>
      </c>
      <c r="D1617" t="s">
        <v>6898</v>
      </c>
      <c r="E1617" t="s">
        <v>30</v>
      </c>
      <c r="F1617">
        <v>10</v>
      </c>
      <c r="G1617" t="s">
        <v>68</v>
      </c>
      <c r="H1617" t="s">
        <v>25</v>
      </c>
      <c r="I1617" t="s">
        <v>26</v>
      </c>
    </row>
    <row r="1618" spans="1:9" x14ac:dyDescent="0.45">
      <c r="A1618" t="s">
        <v>6899</v>
      </c>
      <c r="B1618" s="2">
        <v>46181</v>
      </c>
      <c r="C1618" t="s">
        <v>16</v>
      </c>
      <c r="D1618" t="s">
        <v>6900</v>
      </c>
      <c r="E1618" t="s">
        <v>58</v>
      </c>
      <c r="F1618">
        <v>3</v>
      </c>
      <c r="G1618" t="s">
        <v>24</v>
      </c>
      <c r="H1618" t="s">
        <v>25</v>
      </c>
      <c r="I1618" t="s">
        <v>31</v>
      </c>
    </row>
    <row r="1619" spans="1:9" x14ac:dyDescent="0.45">
      <c r="A1619" t="s">
        <v>6901</v>
      </c>
      <c r="B1619" s="2">
        <v>46082</v>
      </c>
      <c r="C1619" t="s">
        <v>49</v>
      </c>
      <c r="D1619" t="s">
        <v>6902</v>
      </c>
      <c r="E1619" t="s">
        <v>38</v>
      </c>
      <c r="F1619">
        <v>12</v>
      </c>
      <c r="G1619" t="s">
        <v>43</v>
      </c>
      <c r="H1619" t="s">
        <v>14</v>
      </c>
      <c r="I1619" t="s">
        <v>39</v>
      </c>
    </row>
    <row r="1620" spans="1:9" x14ac:dyDescent="0.45">
      <c r="A1620" t="s">
        <v>6903</v>
      </c>
      <c r="B1620" s="2">
        <v>46157</v>
      </c>
      <c r="C1620" t="s">
        <v>10</v>
      </c>
      <c r="D1620" t="s">
        <v>6904</v>
      </c>
      <c r="E1620" t="s">
        <v>7973</v>
      </c>
      <c r="F1620">
        <v>8</v>
      </c>
      <c r="G1620" t="s">
        <v>59</v>
      </c>
      <c r="H1620" t="s">
        <v>14</v>
      </c>
      <c r="I1620" t="s">
        <v>31</v>
      </c>
    </row>
    <row r="1621" spans="1:9" x14ac:dyDescent="0.45">
      <c r="A1621" t="s">
        <v>6905</v>
      </c>
      <c r="B1621" s="2">
        <v>46089</v>
      </c>
      <c r="C1621" t="s">
        <v>28</v>
      </c>
      <c r="D1621" t="s">
        <v>6906</v>
      </c>
      <c r="E1621" t="s">
        <v>30</v>
      </c>
      <c r="F1621">
        <v>7</v>
      </c>
      <c r="G1621" t="s">
        <v>35</v>
      </c>
      <c r="H1621" t="s">
        <v>25</v>
      </c>
      <c r="I1621" t="s">
        <v>60</v>
      </c>
    </row>
    <row r="1622" spans="1:9" x14ac:dyDescent="0.45">
      <c r="A1622" t="s">
        <v>6907</v>
      </c>
      <c r="B1622" s="2">
        <v>46024</v>
      </c>
      <c r="C1622" t="s">
        <v>52</v>
      </c>
      <c r="D1622" t="s">
        <v>6908</v>
      </c>
      <c r="E1622" t="s">
        <v>58</v>
      </c>
      <c r="F1622">
        <v>12</v>
      </c>
      <c r="G1622" t="s">
        <v>43</v>
      </c>
      <c r="H1622" t="s">
        <v>14</v>
      </c>
      <c r="I1622" t="s">
        <v>19</v>
      </c>
    </row>
    <row r="1623" spans="1:9" x14ac:dyDescent="0.45">
      <c r="A1623" t="s">
        <v>6909</v>
      </c>
      <c r="B1623" s="2">
        <v>46023</v>
      </c>
      <c r="C1623" t="s">
        <v>49</v>
      </c>
      <c r="D1623" t="s">
        <v>6910</v>
      </c>
      <c r="E1623" t="s">
        <v>75</v>
      </c>
      <c r="F1623">
        <v>3</v>
      </c>
      <c r="G1623" t="s">
        <v>24</v>
      </c>
      <c r="H1623" t="s">
        <v>25</v>
      </c>
      <c r="I1623" t="s">
        <v>26</v>
      </c>
    </row>
    <row r="1624" spans="1:9" x14ac:dyDescent="0.45">
      <c r="A1624" t="s">
        <v>6911</v>
      </c>
      <c r="B1624" s="2">
        <v>46230</v>
      </c>
      <c r="C1624" t="s">
        <v>16</v>
      </c>
      <c r="D1624" t="s">
        <v>6912</v>
      </c>
      <c r="E1624" t="s">
        <v>38</v>
      </c>
      <c r="F1624">
        <v>8</v>
      </c>
      <c r="G1624" t="s">
        <v>35</v>
      </c>
      <c r="H1624" t="s">
        <v>25</v>
      </c>
      <c r="I1624" t="s">
        <v>60</v>
      </c>
    </row>
    <row r="1625" spans="1:9" x14ac:dyDescent="0.45">
      <c r="A1625" t="s">
        <v>6913</v>
      </c>
      <c r="B1625" s="2">
        <v>46195</v>
      </c>
      <c r="C1625" t="s">
        <v>21</v>
      </c>
      <c r="D1625" t="s">
        <v>6914</v>
      </c>
      <c r="E1625" t="s">
        <v>38</v>
      </c>
      <c r="F1625">
        <v>3</v>
      </c>
      <c r="G1625" t="s">
        <v>59</v>
      </c>
      <c r="H1625" t="s">
        <v>14</v>
      </c>
      <c r="I1625" t="s">
        <v>60</v>
      </c>
    </row>
    <row r="1626" spans="1:9" x14ac:dyDescent="0.45">
      <c r="A1626" t="s">
        <v>6915</v>
      </c>
      <c r="B1626" s="2">
        <v>46234</v>
      </c>
      <c r="C1626" t="s">
        <v>66</v>
      </c>
      <c r="D1626" t="s">
        <v>6916</v>
      </c>
      <c r="E1626" t="s">
        <v>46</v>
      </c>
      <c r="F1626">
        <v>5</v>
      </c>
      <c r="G1626" t="s">
        <v>59</v>
      </c>
      <c r="H1626" t="s">
        <v>14</v>
      </c>
      <c r="I1626" t="s">
        <v>39</v>
      </c>
    </row>
    <row r="1627" spans="1:9" x14ac:dyDescent="0.45">
      <c r="A1627" t="s">
        <v>6917</v>
      </c>
      <c r="B1627" s="2">
        <v>46191</v>
      </c>
      <c r="C1627" t="s">
        <v>52</v>
      </c>
      <c r="D1627" t="s">
        <v>6918</v>
      </c>
      <c r="E1627" t="s">
        <v>71</v>
      </c>
      <c r="F1627">
        <v>9</v>
      </c>
      <c r="G1627" t="s">
        <v>18</v>
      </c>
      <c r="H1627" t="s">
        <v>14</v>
      </c>
      <c r="I1627" t="s">
        <v>31</v>
      </c>
    </row>
    <row r="1628" spans="1:9" x14ac:dyDescent="0.45">
      <c r="A1628" t="s">
        <v>6919</v>
      </c>
      <c r="B1628" s="2">
        <v>46047</v>
      </c>
      <c r="C1628" t="s">
        <v>10</v>
      </c>
      <c r="D1628" t="s">
        <v>6920</v>
      </c>
      <c r="E1628" t="s">
        <v>71</v>
      </c>
      <c r="F1628">
        <v>6</v>
      </c>
      <c r="G1628" t="s">
        <v>18</v>
      </c>
      <c r="H1628" t="s">
        <v>14</v>
      </c>
      <c r="I1628" t="s">
        <v>26</v>
      </c>
    </row>
    <row r="1629" spans="1:9" x14ac:dyDescent="0.45">
      <c r="A1629" t="s">
        <v>6921</v>
      </c>
      <c r="B1629" s="2">
        <v>46141</v>
      </c>
      <c r="C1629" t="s">
        <v>28</v>
      </c>
      <c r="D1629" t="s">
        <v>6922</v>
      </c>
      <c r="E1629" t="s">
        <v>46</v>
      </c>
      <c r="F1629">
        <v>9</v>
      </c>
      <c r="G1629" t="s">
        <v>18</v>
      </c>
      <c r="H1629" t="s">
        <v>14</v>
      </c>
      <c r="I1629" t="s">
        <v>19</v>
      </c>
    </row>
    <row r="1630" spans="1:9" x14ac:dyDescent="0.45">
      <c r="A1630" t="s">
        <v>6923</v>
      </c>
      <c r="B1630" s="2">
        <v>46216</v>
      </c>
      <c r="C1630" t="s">
        <v>10</v>
      </c>
      <c r="D1630" t="s">
        <v>6924</v>
      </c>
      <c r="E1630" t="s">
        <v>7973</v>
      </c>
      <c r="F1630">
        <v>1</v>
      </c>
      <c r="G1630" t="s">
        <v>35</v>
      </c>
      <c r="H1630" t="s">
        <v>25</v>
      </c>
      <c r="I1630" t="s">
        <v>19</v>
      </c>
    </row>
    <row r="1631" spans="1:9" x14ac:dyDescent="0.45">
      <c r="A1631" t="s">
        <v>6925</v>
      </c>
      <c r="B1631" s="2">
        <v>46199</v>
      </c>
      <c r="C1631" t="s">
        <v>66</v>
      </c>
      <c r="D1631" t="s">
        <v>6926</v>
      </c>
      <c r="E1631" t="s">
        <v>7974</v>
      </c>
      <c r="F1631">
        <v>3</v>
      </c>
      <c r="G1631" t="s">
        <v>55</v>
      </c>
      <c r="H1631" t="s">
        <v>72</v>
      </c>
      <c r="I1631" t="s">
        <v>39</v>
      </c>
    </row>
    <row r="1632" spans="1:9" x14ac:dyDescent="0.45">
      <c r="A1632" t="s">
        <v>6927</v>
      </c>
      <c r="B1632" s="2">
        <v>46027</v>
      </c>
      <c r="C1632" t="s">
        <v>10</v>
      </c>
      <c r="D1632" t="s">
        <v>6928</v>
      </c>
      <c r="E1632" t="s">
        <v>75</v>
      </c>
      <c r="F1632">
        <v>1</v>
      </c>
      <c r="G1632" t="s">
        <v>24</v>
      </c>
      <c r="H1632" t="s">
        <v>25</v>
      </c>
      <c r="I1632" t="s">
        <v>31</v>
      </c>
    </row>
    <row r="1633" spans="1:9" x14ac:dyDescent="0.45">
      <c r="A1633" t="s">
        <v>6929</v>
      </c>
      <c r="B1633" s="2">
        <v>46216</v>
      </c>
      <c r="C1633" t="s">
        <v>99</v>
      </c>
      <c r="D1633" t="s">
        <v>6930</v>
      </c>
      <c r="E1633" t="s">
        <v>42</v>
      </c>
      <c r="F1633">
        <v>12</v>
      </c>
      <c r="G1633" t="s">
        <v>24</v>
      </c>
      <c r="H1633" t="s">
        <v>25</v>
      </c>
      <c r="I1633" t="s">
        <v>19</v>
      </c>
    </row>
    <row r="1634" spans="1:9" x14ac:dyDescent="0.45">
      <c r="A1634" t="s">
        <v>6931</v>
      </c>
      <c r="B1634" s="2">
        <v>46106</v>
      </c>
      <c r="C1634" t="s">
        <v>52</v>
      </c>
      <c r="D1634" t="s">
        <v>6932</v>
      </c>
      <c r="E1634" t="s">
        <v>23</v>
      </c>
      <c r="F1634">
        <v>2</v>
      </c>
      <c r="G1634" t="s">
        <v>43</v>
      </c>
      <c r="H1634" t="s">
        <v>14</v>
      </c>
      <c r="I1634" t="s">
        <v>39</v>
      </c>
    </row>
    <row r="1635" spans="1:9" x14ac:dyDescent="0.45">
      <c r="A1635" t="s">
        <v>6933</v>
      </c>
      <c r="B1635" s="2">
        <v>46137</v>
      </c>
      <c r="C1635" t="s">
        <v>16</v>
      </c>
      <c r="D1635" t="s">
        <v>6934</v>
      </c>
      <c r="E1635" t="s">
        <v>34</v>
      </c>
      <c r="F1635">
        <v>3</v>
      </c>
      <c r="G1635" t="s">
        <v>35</v>
      </c>
      <c r="H1635" t="s">
        <v>25</v>
      </c>
      <c r="I1635" t="s">
        <v>60</v>
      </c>
    </row>
    <row r="1636" spans="1:9" x14ac:dyDescent="0.45">
      <c r="A1636" t="s">
        <v>6935</v>
      </c>
      <c r="B1636" s="2">
        <v>46032</v>
      </c>
      <c r="C1636" t="s">
        <v>21</v>
      </c>
      <c r="D1636" t="s">
        <v>6936</v>
      </c>
      <c r="E1636" t="s">
        <v>71</v>
      </c>
      <c r="F1636">
        <v>2</v>
      </c>
      <c r="G1636" t="s">
        <v>24</v>
      </c>
      <c r="H1636" t="s">
        <v>25</v>
      </c>
      <c r="I1636" t="s">
        <v>31</v>
      </c>
    </row>
    <row r="1637" spans="1:9" x14ac:dyDescent="0.45">
      <c r="A1637" t="s">
        <v>6937</v>
      </c>
      <c r="B1637" s="2">
        <v>46062</v>
      </c>
      <c r="C1637" t="s">
        <v>16</v>
      </c>
      <c r="D1637" t="s">
        <v>6938</v>
      </c>
      <c r="E1637" t="s">
        <v>38</v>
      </c>
      <c r="F1637">
        <v>11</v>
      </c>
      <c r="G1637" t="s">
        <v>13</v>
      </c>
      <c r="H1637" t="s">
        <v>14</v>
      </c>
      <c r="I1637" t="s">
        <v>19</v>
      </c>
    </row>
    <row r="1638" spans="1:9" x14ac:dyDescent="0.45">
      <c r="A1638" t="s">
        <v>6939</v>
      </c>
      <c r="B1638" s="2">
        <v>46043</v>
      </c>
      <c r="C1638" t="s">
        <v>66</v>
      </c>
      <c r="D1638" t="s">
        <v>6940</v>
      </c>
      <c r="E1638" t="s">
        <v>58</v>
      </c>
      <c r="F1638">
        <v>8</v>
      </c>
      <c r="G1638" t="s">
        <v>59</v>
      </c>
      <c r="H1638" t="s">
        <v>14</v>
      </c>
      <c r="I1638" t="s">
        <v>26</v>
      </c>
    </row>
    <row r="1639" spans="1:9" x14ac:dyDescent="0.45">
      <c r="A1639" t="s">
        <v>6941</v>
      </c>
      <c r="B1639" s="2">
        <v>46257</v>
      </c>
      <c r="C1639" t="s">
        <v>10</v>
      </c>
      <c r="D1639" t="s">
        <v>6942</v>
      </c>
      <c r="E1639" t="s">
        <v>75</v>
      </c>
      <c r="F1639">
        <v>1</v>
      </c>
      <c r="G1639" t="s">
        <v>68</v>
      </c>
      <c r="H1639" t="s">
        <v>25</v>
      </c>
      <c r="I1639" t="s">
        <v>47</v>
      </c>
    </row>
    <row r="1640" spans="1:9" x14ac:dyDescent="0.45">
      <c r="A1640" t="s">
        <v>6943</v>
      </c>
      <c r="B1640" s="2">
        <v>46102</v>
      </c>
      <c r="C1640" t="s">
        <v>49</v>
      </c>
      <c r="D1640" t="s">
        <v>6944</v>
      </c>
      <c r="E1640" t="s">
        <v>38</v>
      </c>
      <c r="F1640">
        <v>11</v>
      </c>
      <c r="G1640" t="s">
        <v>13</v>
      </c>
      <c r="H1640" t="s">
        <v>14</v>
      </c>
      <c r="I1640" t="s">
        <v>26</v>
      </c>
    </row>
    <row r="1641" spans="1:9" x14ac:dyDescent="0.45">
      <c r="A1641" t="s">
        <v>6945</v>
      </c>
      <c r="B1641" s="2">
        <v>46074</v>
      </c>
      <c r="C1641" t="s">
        <v>16</v>
      </c>
      <c r="D1641" t="s">
        <v>6946</v>
      </c>
      <c r="E1641" t="s">
        <v>866</v>
      </c>
      <c r="F1641">
        <v>6</v>
      </c>
      <c r="G1641" t="s">
        <v>18</v>
      </c>
      <c r="H1641" t="s">
        <v>14</v>
      </c>
      <c r="I1641" t="s">
        <v>39</v>
      </c>
    </row>
    <row r="1642" spans="1:9" x14ac:dyDescent="0.45">
      <c r="A1642" t="s">
        <v>6947</v>
      </c>
      <c r="B1642" s="2">
        <v>46071</v>
      </c>
      <c r="C1642" t="s">
        <v>21</v>
      </c>
      <c r="D1642" t="s">
        <v>6948</v>
      </c>
      <c r="E1642" t="s">
        <v>7974</v>
      </c>
      <c r="F1642">
        <v>10</v>
      </c>
      <c r="G1642" t="s">
        <v>68</v>
      </c>
      <c r="H1642" t="s">
        <v>25</v>
      </c>
      <c r="I1642" t="s">
        <v>47</v>
      </c>
    </row>
    <row r="1643" spans="1:9" x14ac:dyDescent="0.45">
      <c r="A1643" t="s">
        <v>6949</v>
      </c>
      <c r="B1643" s="2">
        <v>46268</v>
      </c>
      <c r="C1643" t="s">
        <v>28</v>
      </c>
      <c r="D1643" t="s">
        <v>6950</v>
      </c>
      <c r="E1643" t="s">
        <v>34</v>
      </c>
      <c r="F1643">
        <v>10</v>
      </c>
      <c r="G1643" t="s">
        <v>35</v>
      </c>
      <c r="H1643" t="s">
        <v>25</v>
      </c>
      <c r="I1643" t="s">
        <v>19</v>
      </c>
    </row>
    <row r="1644" spans="1:9" x14ac:dyDescent="0.45">
      <c r="A1644" t="s">
        <v>6951</v>
      </c>
      <c r="B1644" s="2">
        <v>46204</v>
      </c>
      <c r="C1644" t="s">
        <v>99</v>
      </c>
      <c r="D1644" t="s">
        <v>6952</v>
      </c>
      <c r="E1644" t="s">
        <v>23</v>
      </c>
      <c r="F1644">
        <v>10</v>
      </c>
      <c r="G1644" t="s">
        <v>13</v>
      </c>
      <c r="H1644" t="s">
        <v>14</v>
      </c>
      <c r="I1644" t="s">
        <v>26</v>
      </c>
    </row>
    <row r="1645" spans="1:9" x14ac:dyDescent="0.45">
      <c r="A1645" t="s">
        <v>6953</v>
      </c>
      <c r="B1645" s="2">
        <v>46190</v>
      </c>
      <c r="C1645" t="s">
        <v>52</v>
      </c>
      <c r="D1645" t="s">
        <v>6954</v>
      </c>
      <c r="E1645" t="s">
        <v>71</v>
      </c>
      <c r="F1645">
        <v>9</v>
      </c>
      <c r="G1645" t="s">
        <v>68</v>
      </c>
      <c r="H1645" t="s">
        <v>25</v>
      </c>
      <c r="I1645" t="s">
        <v>26</v>
      </c>
    </row>
    <row r="1646" spans="1:9" x14ac:dyDescent="0.45">
      <c r="A1646" t="s">
        <v>6955</v>
      </c>
      <c r="B1646" s="2">
        <v>46054</v>
      </c>
      <c r="C1646" t="s">
        <v>16</v>
      </c>
      <c r="D1646" t="s">
        <v>6956</v>
      </c>
      <c r="E1646" t="s">
        <v>46</v>
      </c>
      <c r="F1646">
        <v>12</v>
      </c>
      <c r="G1646" t="s">
        <v>24</v>
      </c>
      <c r="H1646" t="s">
        <v>25</v>
      </c>
      <c r="I1646" t="s">
        <v>39</v>
      </c>
    </row>
    <row r="1647" spans="1:9" x14ac:dyDescent="0.45">
      <c r="A1647" t="s">
        <v>6957</v>
      </c>
      <c r="B1647" s="2">
        <v>46040</v>
      </c>
      <c r="C1647" t="s">
        <v>28</v>
      </c>
      <c r="D1647" t="s">
        <v>6958</v>
      </c>
      <c r="E1647" t="s">
        <v>54</v>
      </c>
      <c r="F1647">
        <v>5</v>
      </c>
      <c r="G1647" t="s">
        <v>35</v>
      </c>
      <c r="H1647" t="s">
        <v>25</v>
      </c>
      <c r="I1647" t="s">
        <v>39</v>
      </c>
    </row>
    <row r="1648" spans="1:9" x14ac:dyDescent="0.45">
      <c r="A1648" t="s">
        <v>6959</v>
      </c>
      <c r="B1648" s="2">
        <v>46095</v>
      </c>
      <c r="C1648" t="s">
        <v>28</v>
      </c>
      <c r="D1648" t="s">
        <v>6960</v>
      </c>
      <c r="E1648" t="s">
        <v>7974</v>
      </c>
      <c r="F1648">
        <v>12</v>
      </c>
      <c r="G1648" t="s">
        <v>55</v>
      </c>
      <c r="H1648" t="s">
        <v>72</v>
      </c>
      <c r="I1648" t="s">
        <v>60</v>
      </c>
    </row>
    <row r="1649" spans="1:9" x14ac:dyDescent="0.45">
      <c r="A1649" t="s">
        <v>6961</v>
      </c>
      <c r="B1649" s="2">
        <v>46045</v>
      </c>
      <c r="C1649" t="s">
        <v>10</v>
      </c>
      <c r="D1649" t="s">
        <v>6962</v>
      </c>
      <c r="E1649" t="s">
        <v>30</v>
      </c>
      <c r="F1649">
        <v>8</v>
      </c>
      <c r="G1649" t="s">
        <v>43</v>
      </c>
      <c r="H1649" t="s">
        <v>14</v>
      </c>
      <c r="I1649" t="s">
        <v>26</v>
      </c>
    </row>
    <row r="1650" spans="1:9" x14ac:dyDescent="0.45">
      <c r="A1650" t="s">
        <v>6963</v>
      </c>
      <c r="B1650" s="2">
        <v>46084</v>
      </c>
      <c r="C1650" t="s">
        <v>28</v>
      </c>
      <c r="D1650" t="s">
        <v>6964</v>
      </c>
      <c r="E1650" t="s">
        <v>7973</v>
      </c>
      <c r="F1650">
        <v>9</v>
      </c>
      <c r="G1650" t="s">
        <v>35</v>
      </c>
      <c r="H1650" t="s">
        <v>25</v>
      </c>
      <c r="I1650" t="s">
        <v>19</v>
      </c>
    </row>
    <row r="1651" spans="1:9" x14ac:dyDescent="0.45">
      <c r="A1651" t="s">
        <v>6965</v>
      </c>
      <c r="B1651" s="2">
        <v>46197</v>
      </c>
      <c r="C1651" t="s">
        <v>21</v>
      </c>
      <c r="D1651" t="s">
        <v>6966</v>
      </c>
      <c r="E1651" t="s">
        <v>58</v>
      </c>
      <c r="F1651">
        <v>4</v>
      </c>
      <c r="G1651" t="s">
        <v>55</v>
      </c>
      <c r="H1651" t="s">
        <v>72</v>
      </c>
      <c r="I1651" t="s">
        <v>26</v>
      </c>
    </row>
    <row r="1652" spans="1:9" x14ac:dyDescent="0.45">
      <c r="A1652" t="s">
        <v>6967</v>
      </c>
      <c r="B1652" s="2">
        <v>46050</v>
      </c>
      <c r="C1652" t="s">
        <v>28</v>
      </c>
      <c r="D1652" t="s">
        <v>6968</v>
      </c>
      <c r="E1652" t="s">
        <v>34</v>
      </c>
      <c r="F1652">
        <v>2</v>
      </c>
      <c r="G1652" t="s">
        <v>13</v>
      </c>
      <c r="H1652" t="s">
        <v>14</v>
      </c>
      <c r="I1652" t="s">
        <v>60</v>
      </c>
    </row>
    <row r="1653" spans="1:9" x14ac:dyDescent="0.45">
      <c r="A1653" t="s">
        <v>6969</v>
      </c>
      <c r="B1653" s="2">
        <v>46137</v>
      </c>
      <c r="C1653" t="s">
        <v>66</v>
      </c>
      <c r="D1653" t="s">
        <v>6970</v>
      </c>
      <c r="E1653" t="s">
        <v>46</v>
      </c>
      <c r="F1653">
        <v>12</v>
      </c>
      <c r="G1653" t="s">
        <v>59</v>
      </c>
      <c r="H1653" t="s">
        <v>14</v>
      </c>
      <c r="I1653" t="s">
        <v>26</v>
      </c>
    </row>
    <row r="1654" spans="1:9" x14ac:dyDescent="0.45">
      <c r="A1654" t="s">
        <v>6971</v>
      </c>
      <c r="B1654" s="2">
        <v>46176</v>
      </c>
      <c r="C1654" t="s">
        <v>49</v>
      </c>
      <c r="D1654" t="s">
        <v>6972</v>
      </c>
      <c r="E1654" t="s">
        <v>38</v>
      </c>
      <c r="F1654">
        <v>5</v>
      </c>
      <c r="G1654" t="s">
        <v>18</v>
      </c>
      <c r="H1654" t="s">
        <v>14</v>
      </c>
      <c r="I1654" t="s">
        <v>31</v>
      </c>
    </row>
    <row r="1655" spans="1:9" x14ac:dyDescent="0.45">
      <c r="A1655" t="s">
        <v>6973</v>
      </c>
      <c r="B1655" s="2">
        <v>46255</v>
      </c>
      <c r="C1655" t="s">
        <v>21</v>
      </c>
      <c r="D1655" t="s">
        <v>6974</v>
      </c>
      <c r="E1655" t="s">
        <v>7973</v>
      </c>
      <c r="F1655">
        <v>3</v>
      </c>
      <c r="G1655" t="s">
        <v>59</v>
      </c>
      <c r="H1655" t="s">
        <v>14</v>
      </c>
      <c r="I1655" t="s">
        <v>39</v>
      </c>
    </row>
    <row r="1656" spans="1:9" x14ac:dyDescent="0.45">
      <c r="A1656" t="s">
        <v>6975</v>
      </c>
      <c r="B1656" s="2">
        <v>46151</v>
      </c>
      <c r="C1656" t="s">
        <v>49</v>
      </c>
      <c r="D1656" t="s">
        <v>6976</v>
      </c>
      <c r="E1656" t="s">
        <v>58</v>
      </c>
      <c r="F1656">
        <v>8</v>
      </c>
      <c r="G1656" t="s">
        <v>13</v>
      </c>
      <c r="H1656" t="s">
        <v>14</v>
      </c>
      <c r="I1656" t="s">
        <v>26</v>
      </c>
    </row>
    <row r="1657" spans="1:9" x14ac:dyDescent="0.45">
      <c r="A1657" t="s">
        <v>6977</v>
      </c>
      <c r="B1657" s="2">
        <v>46166</v>
      </c>
      <c r="C1657" t="s">
        <v>99</v>
      </c>
      <c r="D1657" t="s">
        <v>6978</v>
      </c>
      <c r="E1657" t="s">
        <v>42</v>
      </c>
      <c r="F1657">
        <v>3</v>
      </c>
      <c r="G1657" t="s">
        <v>35</v>
      </c>
      <c r="H1657" t="s">
        <v>25</v>
      </c>
      <c r="I1657" t="s">
        <v>47</v>
      </c>
    </row>
    <row r="1658" spans="1:9" x14ac:dyDescent="0.45">
      <c r="A1658" t="s">
        <v>6979</v>
      </c>
      <c r="B1658" s="2">
        <v>46224</v>
      </c>
      <c r="C1658" t="s">
        <v>28</v>
      </c>
      <c r="D1658" t="s">
        <v>6980</v>
      </c>
      <c r="E1658" t="s">
        <v>75</v>
      </c>
      <c r="F1658">
        <v>4</v>
      </c>
      <c r="G1658" t="s">
        <v>18</v>
      </c>
      <c r="H1658" t="s">
        <v>14</v>
      </c>
      <c r="I1658" t="s">
        <v>60</v>
      </c>
    </row>
    <row r="1659" spans="1:9" x14ac:dyDescent="0.45">
      <c r="A1659" t="s">
        <v>6981</v>
      </c>
      <c r="B1659" s="2">
        <v>46029</v>
      </c>
      <c r="C1659" t="s">
        <v>28</v>
      </c>
      <c r="D1659" t="s">
        <v>6982</v>
      </c>
      <c r="E1659" t="s">
        <v>7973</v>
      </c>
      <c r="F1659">
        <v>12</v>
      </c>
      <c r="G1659" t="s">
        <v>59</v>
      </c>
      <c r="H1659" t="s">
        <v>14</v>
      </c>
      <c r="I1659" t="s">
        <v>60</v>
      </c>
    </row>
    <row r="1660" spans="1:9" x14ac:dyDescent="0.45">
      <c r="A1660" t="s">
        <v>6983</v>
      </c>
      <c r="B1660" s="2">
        <v>46221</v>
      </c>
      <c r="C1660" t="s">
        <v>99</v>
      </c>
      <c r="D1660" t="s">
        <v>6984</v>
      </c>
      <c r="E1660" t="s">
        <v>7973</v>
      </c>
      <c r="F1660">
        <v>8</v>
      </c>
      <c r="G1660" t="s">
        <v>13</v>
      </c>
      <c r="H1660" t="s">
        <v>14</v>
      </c>
      <c r="I1660" t="s">
        <v>47</v>
      </c>
    </row>
    <row r="1661" spans="1:9" x14ac:dyDescent="0.45">
      <c r="A1661" t="s">
        <v>6985</v>
      </c>
      <c r="B1661" s="2">
        <v>46191</v>
      </c>
      <c r="C1661" t="s">
        <v>99</v>
      </c>
      <c r="D1661" t="s">
        <v>6986</v>
      </c>
      <c r="E1661" t="s">
        <v>7973</v>
      </c>
      <c r="F1661">
        <v>12</v>
      </c>
      <c r="G1661" t="s">
        <v>68</v>
      </c>
      <c r="H1661" t="s">
        <v>25</v>
      </c>
      <c r="I1661" t="s">
        <v>26</v>
      </c>
    </row>
    <row r="1662" spans="1:9" x14ac:dyDescent="0.45">
      <c r="A1662" t="s">
        <v>6987</v>
      </c>
      <c r="B1662" s="2">
        <v>46231</v>
      </c>
      <c r="C1662" t="s">
        <v>52</v>
      </c>
      <c r="D1662" t="s">
        <v>6988</v>
      </c>
      <c r="E1662" t="s">
        <v>30</v>
      </c>
      <c r="F1662">
        <v>10</v>
      </c>
      <c r="G1662" t="s">
        <v>68</v>
      </c>
      <c r="H1662" t="s">
        <v>25</v>
      </c>
      <c r="I1662" t="s">
        <v>60</v>
      </c>
    </row>
    <row r="1663" spans="1:9" x14ac:dyDescent="0.45">
      <c r="A1663" t="s">
        <v>6989</v>
      </c>
      <c r="B1663" s="2">
        <v>46034</v>
      </c>
      <c r="C1663" t="s">
        <v>66</v>
      </c>
      <c r="D1663" t="s">
        <v>6990</v>
      </c>
      <c r="E1663" t="s">
        <v>38</v>
      </c>
      <c r="F1663">
        <v>1</v>
      </c>
      <c r="G1663" t="s">
        <v>13</v>
      </c>
      <c r="H1663" t="s">
        <v>14</v>
      </c>
      <c r="I1663" t="s">
        <v>26</v>
      </c>
    </row>
    <row r="1664" spans="1:9" x14ac:dyDescent="0.45">
      <c r="A1664" t="s">
        <v>6991</v>
      </c>
      <c r="B1664" s="2">
        <v>46268</v>
      </c>
      <c r="C1664" t="s">
        <v>10</v>
      </c>
      <c r="D1664" t="s">
        <v>6992</v>
      </c>
      <c r="E1664" t="s">
        <v>54</v>
      </c>
      <c r="F1664">
        <v>9</v>
      </c>
      <c r="G1664" t="s">
        <v>35</v>
      </c>
      <c r="H1664" t="s">
        <v>25</v>
      </c>
      <c r="I1664" t="s">
        <v>26</v>
      </c>
    </row>
    <row r="1665" spans="1:9" x14ac:dyDescent="0.45">
      <c r="A1665" t="s">
        <v>6993</v>
      </c>
      <c r="B1665" s="2">
        <v>46213</v>
      </c>
      <c r="C1665" t="s">
        <v>99</v>
      </c>
      <c r="D1665" t="s">
        <v>6994</v>
      </c>
      <c r="E1665" t="s">
        <v>38</v>
      </c>
      <c r="F1665">
        <v>12</v>
      </c>
      <c r="G1665" t="s">
        <v>59</v>
      </c>
      <c r="H1665" t="s">
        <v>14</v>
      </c>
      <c r="I1665" t="s">
        <v>19</v>
      </c>
    </row>
    <row r="1666" spans="1:9" x14ac:dyDescent="0.45">
      <c r="A1666" t="s">
        <v>6995</v>
      </c>
      <c r="B1666" s="2">
        <v>46096</v>
      </c>
      <c r="C1666" t="s">
        <v>16</v>
      </c>
      <c r="D1666" t="s">
        <v>6996</v>
      </c>
      <c r="E1666" t="s">
        <v>42</v>
      </c>
      <c r="F1666">
        <v>4</v>
      </c>
      <c r="G1666" t="s">
        <v>7967</v>
      </c>
      <c r="H1666" t="s">
        <v>72</v>
      </c>
      <c r="I1666" t="s">
        <v>19</v>
      </c>
    </row>
    <row r="1667" spans="1:9" x14ac:dyDescent="0.45">
      <c r="A1667" t="s">
        <v>6997</v>
      </c>
      <c r="B1667" s="2">
        <v>46104</v>
      </c>
      <c r="C1667" t="s">
        <v>66</v>
      </c>
      <c r="D1667" t="s">
        <v>6998</v>
      </c>
      <c r="E1667" t="s">
        <v>30</v>
      </c>
      <c r="F1667">
        <v>9</v>
      </c>
      <c r="G1667" t="s">
        <v>43</v>
      </c>
      <c r="H1667" t="s">
        <v>14</v>
      </c>
      <c r="I1667" t="s">
        <v>19</v>
      </c>
    </row>
    <row r="1668" spans="1:9" x14ac:dyDescent="0.45">
      <c r="A1668" t="s">
        <v>6999</v>
      </c>
      <c r="B1668" s="2">
        <v>46051</v>
      </c>
      <c r="C1668" t="s">
        <v>49</v>
      </c>
      <c r="D1668" t="s">
        <v>7000</v>
      </c>
      <c r="E1668" t="s">
        <v>42</v>
      </c>
      <c r="F1668">
        <v>4</v>
      </c>
      <c r="G1668" t="s">
        <v>24</v>
      </c>
      <c r="H1668" t="s">
        <v>25</v>
      </c>
      <c r="I1668" t="s">
        <v>19</v>
      </c>
    </row>
    <row r="1669" spans="1:9" x14ac:dyDescent="0.45">
      <c r="A1669" t="s">
        <v>7001</v>
      </c>
      <c r="B1669" s="2">
        <v>46037</v>
      </c>
      <c r="C1669" t="s">
        <v>49</v>
      </c>
      <c r="D1669" t="s">
        <v>7002</v>
      </c>
      <c r="E1669" t="s">
        <v>54</v>
      </c>
      <c r="F1669">
        <v>5</v>
      </c>
      <c r="G1669" t="s">
        <v>35</v>
      </c>
      <c r="H1669" t="s">
        <v>25</v>
      </c>
      <c r="I1669" t="s">
        <v>19</v>
      </c>
    </row>
    <row r="1670" spans="1:9" x14ac:dyDescent="0.45">
      <c r="A1670" t="s">
        <v>7003</v>
      </c>
      <c r="B1670" s="2">
        <v>46098</v>
      </c>
      <c r="C1670" t="s">
        <v>28</v>
      </c>
      <c r="D1670" t="s">
        <v>7004</v>
      </c>
      <c r="E1670" t="s">
        <v>38</v>
      </c>
      <c r="F1670">
        <v>10</v>
      </c>
      <c r="G1670" t="s">
        <v>18</v>
      </c>
      <c r="H1670" t="s">
        <v>14</v>
      </c>
      <c r="I1670" t="s">
        <v>31</v>
      </c>
    </row>
    <row r="1671" spans="1:9" x14ac:dyDescent="0.45">
      <c r="A1671" t="s">
        <v>7005</v>
      </c>
      <c r="B1671" s="2">
        <v>46174</v>
      </c>
      <c r="C1671" t="s">
        <v>28</v>
      </c>
      <c r="D1671" t="s">
        <v>7006</v>
      </c>
      <c r="E1671" t="s">
        <v>71</v>
      </c>
      <c r="F1671">
        <v>1</v>
      </c>
      <c r="G1671" t="s">
        <v>35</v>
      </c>
      <c r="H1671" t="s">
        <v>25</v>
      </c>
      <c r="I1671" t="s">
        <v>26</v>
      </c>
    </row>
    <row r="1672" spans="1:9" x14ac:dyDescent="0.45">
      <c r="A1672" t="s">
        <v>7007</v>
      </c>
      <c r="B1672" s="2">
        <v>46107</v>
      </c>
      <c r="C1672" t="s">
        <v>66</v>
      </c>
      <c r="D1672" t="s">
        <v>7008</v>
      </c>
      <c r="E1672" t="s">
        <v>7973</v>
      </c>
      <c r="F1672">
        <v>9</v>
      </c>
      <c r="G1672" t="s">
        <v>24</v>
      </c>
      <c r="H1672" t="s">
        <v>25</v>
      </c>
      <c r="I1672" t="s">
        <v>26</v>
      </c>
    </row>
    <row r="1673" spans="1:9" x14ac:dyDescent="0.45">
      <c r="A1673" t="s">
        <v>7009</v>
      </c>
      <c r="B1673" s="2">
        <v>46026</v>
      </c>
      <c r="C1673" t="s">
        <v>52</v>
      </c>
      <c r="D1673" t="s">
        <v>7010</v>
      </c>
      <c r="E1673" t="s">
        <v>7973</v>
      </c>
      <c r="F1673">
        <v>10</v>
      </c>
      <c r="G1673" t="s">
        <v>68</v>
      </c>
      <c r="H1673" t="s">
        <v>25</v>
      </c>
      <c r="I1673" t="s">
        <v>26</v>
      </c>
    </row>
    <row r="1674" spans="1:9" x14ac:dyDescent="0.45">
      <c r="A1674" t="s">
        <v>7011</v>
      </c>
      <c r="B1674" s="2">
        <v>46188</v>
      </c>
      <c r="C1674" t="s">
        <v>16</v>
      </c>
      <c r="D1674" t="s">
        <v>7012</v>
      </c>
      <c r="E1674" t="s">
        <v>7973</v>
      </c>
      <c r="F1674">
        <v>5</v>
      </c>
      <c r="G1674" t="s">
        <v>43</v>
      </c>
      <c r="H1674" t="s">
        <v>14</v>
      </c>
      <c r="I1674" t="s">
        <v>31</v>
      </c>
    </row>
    <row r="1675" spans="1:9" x14ac:dyDescent="0.45">
      <c r="A1675" t="s">
        <v>7013</v>
      </c>
      <c r="B1675" s="2">
        <v>46192</v>
      </c>
      <c r="C1675" t="s">
        <v>52</v>
      </c>
      <c r="D1675" t="s">
        <v>7014</v>
      </c>
      <c r="E1675" t="s">
        <v>7973</v>
      </c>
      <c r="F1675">
        <v>11</v>
      </c>
      <c r="G1675" t="s">
        <v>43</v>
      </c>
      <c r="H1675" t="s">
        <v>14</v>
      </c>
      <c r="I1675" t="s">
        <v>19</v>
      </c>
    </row>
    <row r="1676" spans="1:9" x14ac:dyDescent="0.45">
      <c r="A1676" t="s">
        <v>7015</v>
      </c>
      <c r="B1676" s="2">
        <v>46092</v>
      </c>
      <c r="C1676" t="s">
        <v>16</v>
      </c>
      <c r="D1676" t="s">
        <v>7016</v>
      </c>
      <c r="E1676" t="s">
        <v>46</v>
      </c>
      <c r="F1676">
        <v>8</v>
      </c>
      <c r="G1676" t="s">
        <v>68</v>
      </c>
      <c r="H1676" t="s">
        <v>25</v>
      </c>
      <c r="I1676" t="s">
        <v>47</v>
      </c>
    </row>
    <row r="1677" spans="1:9" x14ac:dyDescent="0.45">
      <c r="A1677" t="s">
        <v>7017</v>
      </c>
      <c r="B1677" s="2">
        <v>46262</v>
      </c>
      <c r="C1677" t="s">
        <v>21</v>
      </c>
      <c r="D1677" t="s">
        <v>7018</v>
      </c>
      <c r="E1677" t="s">
        <v>38</v>
      </c>
      <c r="F1677">
        <v>1</v>
      </c>
      <c r="G1677" t="s">
        <v>18</v>
      </c>
      <c r="H1677" t="s">
        <v>14</v>
      </c>
      <c r="I1677" t="s">
        <v>39</v>
      </c>
    </row>
    <row r="1678" spans="1:9" x14ac:dyDescent="0.45">
      <c r="A1678" t="s">
        <v>7019</v>
      </c>
      <c r="B1678" s="2">
        <v>46066</v>
      </c>
      <c r="C1678" t="s">
        <v>28</v>
      </c>
      <c r="D1678" t="s">
        <v>7020</v>
      </c>
      <c r="E1678" t="s">
        <v>34</v>
      </c>
      <c r="F1678">
        <v>3</v>
      </c>
      <c r="G1678" t="s">
        <v>59</v>
      </c>
      <c r="H1678" t="s">
        <v>14</v>
      </c>
      <c r="I1678" t="s">
        <v>26</v>
      </c>
    </row>
    <row r="1679" spans="1:9" x14ac:dyDescent="0.45">
      <c r="A1679" t="s">
        <v>7021</v>
      </c>
      <c r="B1679" s="2">
        <v>46255</v>
      </c>
      <c r="C1679" t="s">
        <v>16</v>
      </c>
      <c r="D1679" t="s">
        <v>7022</v>
      </c>
      <c r="E1679" t="s">
        <v>7973</v>
      </c>
      <c r="F1679">
        <v>11</v>
      </c>
      <c r="G1679" t="s">
        <v>18</v>
      </c>
      <c r="H1679" t="s">
        <v>14</v>
      </c>
      <c r="I1679" t="s">
        <v>60</v>
      </c>
    </row>
    <row r="1680" spans="1:9" x14ac:dyDescent="0.45">
      <c r="A1680" t="s">
        <v>7023</v>
      </c>
      <c r="B1680" s="2">
        <v>46048</v>
      </c>
      <c r="C1680" t="s">
        <v>21</v>
      </c>
      <c r="D1680" t="s">
        <v>7024</v>
      </c>
      <c r="E1680" t="s">
        <v>42</v>
      </c>
      <c r="F1680">
        <v>3</v>
      </c>
      <c r="G1680" t="s">
        <v>43</v>
      </c>
      <c r="H1680" t="s">
        <v>14</v>
      </c>
      <c r="I1680" t="s">
        <v>19</v>
      </c>
    </row>
    <row r="1681" spans="1:9" x14ac:dyDescent="0.45">
      <c r="A1681" t="s">
        <v>7025</v>
      </c>
      <c r="B1681" s="2">
        <v>46169</v>
      </c>
      <c r="C1681" t="s">
        <v>52</v>
      </c>
      <c r="D1681" t="s">
        <v>7026</v>
      </c>
      <c r="E1681" t="s">
        <v>30</v>
      </c>
      <c r="F1681">
        <v>3</v>
      </c>
      <c r="G1681" t="s">
        <v>24</v>
      </c>
      <c r="H1681" t="s">
        <v>25</v>
      </c>
      <c r="I1681" t="s">
        <v>31</v>
      </c>
    </row>
    <row r="1682" spans="1:9" x14ac:dyDescent="0.45">
      <c r="A1682" t="s">
        <v>7027</v>
      </c>
      <c r="B1682" s="2">
        <v>46235</v>
      </c>
      <c r="C1682" t="s">
        <v>28</v>
      </c>
      <c r="D1682" t="s">
        <v>7028</v>
      </c>
      <c r="E1682" t="s">
        <v>30</v>
      </c>
      <c r="F1682">
        <v>1</v>
      </c>
      <c r="G1682" t="s">
        <v>13</v>
      </c>
      <c r="H1682" t="s">
        <v>14</v>
      </c>
      <c r="I1682" t="s">
        <v>47</v>
      </c>
    </row>
    <row r="1683" spans="1:9" x14ac:dyDescent="0.45">
      <c r="A1683" t="s">
        <v>7029</v>
      </c>
      <c r="B1683" s="2">
        <v>46103</v>
      </c>
      <c r="C1683" t="s">
        <v>16</v>
      </c>
      <c r="D1683" t="s">
        <v>7030</v>
      </c>
      <c r="E1683" t="s">
        <v>30</v>
      </c>
      <c r="F1683">
        <v>9</v>
      </c>
      <c r="G1683" t="s">
        <v>13</v>
      </c>
      <c r="H1683" t="s">
        <v>14</v>
      </c>
      <c r="I1683" t="s">
        <v>26</v>
      </c>
    </row>
    <row r="1684" spans="1:9" x14ac:dyDescent="0.45">
      <c r="A1684" t="s">
        <v>7031</v>
      </c>
      <c r="B1684" s="2">
        <v>46269</v>
      </c>
      <c r="C1684" t="s">
        <v>16</v>
      </c>
      <c r="D1684" t="s">
        <v>7032</v>
      </c>
      <c r="E1684" t="s">
        <v>30</v>
      </c>
      <c r="F1684">
        <v>3</v>
      </c>
      <c r="G1684" t="s">
        <v>18</v>
      </c>
      <c r="H1684" t="s">
        <v>14</v>
      </c>
      <c r="I1684" t="s">
        <v>47</v>
      </c>
    </row>
    <row r="1685" spans="1:9" x14ac:dyDescent="0.45">
      <c r="A1685" t="s">
        <v>7033</v>
      </c>
      <c r="B1685" s="2">
        <v>46205</v>
      </c>
      <c r="C1685" t="s">
        <v>99</v>
      </c>
      <c r="D1685" t="s">
        <v>7034</v>
      </c>
      <c r="E1685" t="s">
        <v>46</v>
      </c>
      <c r="F1685">
        <v>10</v>
      </c>
      <c r="G1685" t="s">
        <v>18</v>
      </c>
      <c r="H1685" t="s">
        <v>14</v>
      </c>
      <c r="I1685" t="s">
        <v>31</v>
      </c>
    </row>
    <row r="1686" spans="1:9" x14ac:dyDescent="0.45">
      <c r="A1686" t="s">
        <v>7035</v>
      </c>
      <c r="B1686" s="2">
        <v>46135</v>
      </c>
      <c r="C1686" t="s">
        <v>16</v>
      </c>
      <c r="D1686" t="s">
        <v>7036</v>
      </c>
      <c r="E1686" t="s">
        <v>46</v>
      </c>
      <c r="F1686">
        <v>8</v>
      </c>
      <c r="G1686" t="s">
        <v>59</v>
      </c>
      <c r="H1686" t="s">
        <v>14</v>
      </c>
      <c r="I1686" t="s">
        <v>19</v>
      </c>
    </row>
    <row r="1687" spans="1:9" x14ac:dyDescent="0.45">
      <c r="A1687" t="s">
        <v>7037</v>
      </c>
      <c r="B1687" s="2">
        <v>46143</v>
      </c>
      <c r="C1687" t="s">
        <v>99</v>
      </c>
      <c r="D1687" t="s">
        <v>7038</v>
      </c>
      <c r="E1687" t="s">
        <v>30</v>
      </c>
      <c r="F1687">
        <v>10</v>
      </c>
      <c r="G1687" t="s">
        <v>68</v>
      </c>
      <c r="H1687" t="s">
        <v>25</v>
      </c>
      <c r="I1687" t="s">
        <v>26</v>
      </c>
    </row>
    <row r="1688" spans="1:9" x14ac:dyDescent="0.45">
      <c r="A1688" t="s">
        <v>7039</v>
      </c>
      <c r="B1688" s="2">
        <v>46091</v>
      </c>
      <c r="C1688" t="s">
        <v>10</v>
      </c>
      <c r="D1688" t="s">
        <v>7040</v>
      </c>
      <c r="E1688" t="s">
        <v>54</v>
      </c>
      <c r="F1688">
        <v>7</v>
      </c>
      <c r="G1688" t="s">
        <v>59</v>
      </c>
      <c r="H1688" t="s">
        <v>14</v>
      </c>
      <c r="I1688" t="s">
        <v>39</v>
      </c>
    </row>
    <row r="1689" spans="1:9" x14ac:dyDescent="0.45">
      <c r="A1689" t="s">
        <v>7041</v>
      </c>
      <c r="B1689" s="2">
        <v>46109</v>
      </c>
      <c r="C1689" t="s">
        <v>21</v>
      </c>
      <c r="D1689" t="s">
        <v>7042</v>
      </c>
      <c r="E1689" t="s">
        <v>75</v>
      </c>
      <c r="F1689">
        <v>4</v>
      </c>
      <c r="G1689" t="s">
        <v>68</v>
      </c>
      <c r="H1689" t="s">
        <v>25</v>
      </c>
      <c r="I1689" t="s">
        <v>31</v>
      </c>
    </row>
    <row r="1690" spans="1:9" x14ac:dyDescent="0.45">
      <c r="A1690" t="s">
        <v>7043</v>
      </c>
      <c r="B1690" s="2">
        <v>46185</v>
      </c>
      <c r="C1690" t="s">
        <v>16</v>
      </c>
      <c r="D1690" t="s">
        <v>7044</v>
      </c>
      <c r="E1690" t="s">
        <v>54</v>
      </c>
      <c r="F1690">
        <v>3</v>
      </c>
      <c r="G1690" t="s">
        <v>43</v>
      </c>
      <c r="H1690" t="s">
        <v>14</v>
      </c>
      <c r="I1690" t="s">
        <v>47</v>
      </c>
    </row>
    <row r="1691" spans="1:9" x14ac:dyDescent="0.45">
      <c r="A1691" t="s">
        <v>7045</v>
      </c>
      <c r="B1691" s="2">
        <v>46073</v>
      </c>
      <c r="C1691" t="s">
        <v>28</v>
      </c>
      <c r="D1691" t="s">
        <v>7046</v>
      </c>
      <c r="E1691" t="s">
        <v>34</v>
      </c>
      <c r="F1691">
        <v>3</v>
      </c>
      <c r="G1691" t="s">
        <v>24</v>
      </c>
      <c r="H1691" t="s">
        <v>25</v>
      </c>
      <c r="I1691" t="s">
        <v>47</v>
      </c>
    </row>
    <row r="1692" spans="1:9" x14ac:dyDescent="0.45">
      <c r="A1692" t="s">
        <v>7047</v>
      </c>
      <c r="B1692" s="2">
        <v>46031</v>
      </c>
      <c r="C1692" t="s">
        <v>49</v>
      </c>
      <c r="D1692" t="s">
        <v>7048</v>
      </c>
      <c r="E1692" t="s">
        <v>58</v>
      </c>
      <c r="F1692">
        <v>10</v>
      </c>
      <c r="G1692" t="s">
        <v>68</v>
      </c>
      <c r="H1692" t="s">
        <v>25</v>
      </c>
      <c r="I1692" t="s">
        <v>60</v>
      </c>
    </row>
    <row r="1693" spans="1:9" x14ac:dyDescent="0.45">
      <c r="A1693" t="s">
        <v>7049</v>
      </c>
      <c r="B1693" s="2">
        <v>46115</v>
      </c>
      <c r="C1693" t="s">
        <v>66</v>
      </c>
      <c r="D1693" t="s">
        <v>7050</v>
      </c>
      <c r="E1693" t="s">
        <v>54</v>
      </c>
      <c r="F1693">
        <v>7</v>
      </c>
      <c r="G1693" t="s">
        <v>24</v>
      </c>
      <c r="H1693" t="s">
        <v>25</v>
      </c>
      <c r="I1693" t="s">
        <v>19</v>
      </c>
    </row>
    <row r="1694" spans="1:9" x14ac:dyDescent="0.45">
      <c r="A1694" t="s">
        <v>7051</v>
      </c>
      <c r="B1694" s="2">
        <v>46048</v>
      </c>
      <c r="C1694" t="s">
        <v>99</v>
      </c>
      <c r="D1694" t="s">
        <v>7052</v>
      </c>
      <c r="E1694" t="s">
        <v>7973</v>
      </c>
      <c r="F1694">
        <v>6</v>
      </c>
      <c r="G1694" t="s">
        <v>18</v>
      </c>
      <c r="H1694" t="s">
        <v>14</v>
      </c>
      <c r="I1694" t="s">
        <v>19</v>
      </c>
    </row>
    <row r="1695" spans="1:9" x14ac:dyDescent="0.45">
      <c r="A1695" t="s">
        <v>7053</v>
      </c>
      <c r="B1695" s="2">
        <v>46237</v>
      </c>
      <c r="C1695" t="s">
        <v>21</v>
      </c>
      <c r="D1695" t="s">
        <v>7054</v>
      </c>
      <c r="E1695" t="s">
        <v>46</v>
      </c>
      <c r="F1695">
        <v>3</v>
      </c>
      <c r="G1695" t="s">
        <v>35</v>
      </c>
      <c r="H1695" t="s">
        <v>25</v>
      </c>
      <c r="I1695" t="s">
        <v>19</v>
      </c>
    </row>
    <row r="1696" spans="1:9" x14ac:dyDescent="0.45">
      <c r="A1696" t="s">
        <v>7055</v>
      </c>
      <c r="B1696" s="2">
        <v>46041</v>
      </c>
      <c r="C1696" t="s">
        <v>16</v>
      </c>
      <c r="D1696" t="s">
        <v>7056</v>
      </c>
      <c r="E1696" t="s">
        <v>71</v>
      </c>
      <c r="F1696">
        <v>6</v>
      </c>
      <c r="G1696" t="s">
        <v>55</v>
      </c>
      <c r="H1696" t="s">
        <v>72</v>
      </c>
      <c r="I1696" t="s">
        <v>60</v>
      </c>
    </row>
    <row r="1697" spans="1:9" x14ac:dyDescent="0.45">
      <c r="A1697" t="s">
        <v>7057</v>
      </c>
      <c r="B1697" s="2">
        <v>46242</v>
      </c>
      <c r="C1697" t="s">
        <v>16</v>
      </c>
      <c r="D1697" t="s">
        <v>7058</v>
      </c>
      <c r="E1697" t="s">
        <v>46</v>
      </c>
      <c r="F1697">
        <v>2</v>
      </c>
      <c r="G1697" t="s">
        <v>43</v>
      </c>
      <c r="H1697" t="s">
        <v>14</v>
      </c>
      <c r="I1697" t="s">
        <v>19</v>
      </c>
    </row>
    <row r="1698" spans="1:9" x14ac:dyDescent="0.45">
      <c r="A1698" t="s">
        <v>7059</v>
      </c>
      <c r="B1698" s="2">
        <v>46038</v>
      </c>
      <c r="C1698" t="s">
        <v>10</v>
      </c>
      <c r="D1698" t="s">
        <v>7060</v>
      </c>
      <c r="E1698" t="s">
        <v>23</v>
      </c>
      <c r="F1698">
        <v>12</v>
      </c>
      <c r="G1698" t="s">
        <v>55</v>
      </c>
      <c r="H1698" t="s">
        <v>72</v>
      </c>
      <c r="I1698" t="s">
        <v>47</v>
      </c>
    </row>
    <row r="1699" spans="1:9" x14ac:dyDescent="0.45">
      <c r="A1699" t="s">
        <v>7061</v>
      </c>
      <c r="B1699" s="2">
        <v>46227</v>
      </c>
      <c r="C1699" t="s">
        <v>52</v>
      </c>
      <c r="D1699" t="s">
        <v>7062</v>
      </c>
      <c r="E1699" t="s">
        <v>7973</v>
      </c>
      <c r="F1699">
        <v>11</v>
      </c>
      <c r="G1699" t="s">
        <v>18</v>
      </c>
      <c r="H1699" t="s">
        <v>14</v>
      </c>
      <c r="I1699" t="s">
        <v>26</v>
      </c>
    </row>
    <row r="1700" spans="1:9" x14ac:dyDescent="0.45">
      <c r="A1700" t="s">
        <v>7063</v>
      </c>
      <c r="B1700" s="2">
        <v>46050</v>
      </c>
      <c r="C1700" t="s">
        <v>21</v>
      </c>
      <c r="D1700" t="s">
        <v>7064</v>
      </c>
      <c r="E1700" t="s">
        <v>58</v>
      </c>
      <c r="F1700">
        <v>7</v>
      </c>
      <c r="G1700" t="s">
        <v>18</v>
      </c>
      <c r="H1700" t="s">
        <v>14</v>
      </c>
      <c r="I1700" t="s">
        <v>19</v>
      </c>
    </row>
    <row r="1701" spans="1:9" x14ac:dyDescent="0.45">
      <c r="A1701" t="s">
        <v>7065</v>
      </c>
      <c r="B1701" s="2">
        <v>46077</v>
      </c>
      <c r="C1701" t="s">
        <v>52</v>
      </c>
      <c r="D1701" t="s">
        <v>7066</v>
      </c>
      <c r="E1701" t="s">
        <v>71</v>
      </c>
      <c r="F1701">
        <v>1</v>
      </c>
      <c r="G1701" t="s">
        <v>18</v>
      </c>
      <c r="H1701" t="s">
        <v>14</v>
      </c>
      <c r="I1701" t="s">
        <v>47</v>
      </c>
    </row>
    <row r="1702" spans="1:9" x14ac:dyDescent="0.45">
      <c r="A1702" t="s">
        <v>7067</v>
      </c>
      <c r="B1702" s="2">
        <v>46076</v>
      </c>
      <c r="C1702" t="s">
        <v>16</v>
      </c>
      <c r="D1702" t="s">
        <v>7068</v>
      </c>
      <c r="E1702" t="s">
        <v>23</v>
      </c>
      <c r="F1702">
        <v>7</v>
      </c>
      <c r="G1702" t="s">
        <v>59</v>
      </c>
      <c r="H1702" t="s">
        <v>14</v>
      </c>
      <c r="I1702" t="s">
        <v>19</v>
      </c>
    </row>
    <row r="1703" spans="1:9" x14ac:dyDescent="0.45">
      <c r="A1703" t="s">
        <v>7069</v>
      </c>
      <c r="B1703" s="2">
        <v>46201</v>
      </c>
      <c r="C1703" t="s">
        <v>66</v>
      </c>
      <c r="D1703" t="s">
        <v>7070</v>
      </c>
      <c r="E1703" t="s">
        <v>7973</v>
      </c>
      <c r="F1703">
        <v>5</v>
      </c>
      <c r="G1703" t="s">
        <v>13</v>
      </c>
      <c r="H1703" t="s">
        <v>14</v>
      </c>
      <c r="I1703" t="s">
        <v>39</v>
      </c>
    </row>
    <row r="1704" spans="1:9" x14ac:dyDescent="0.45">
      <c r="A1704" t="s">
        <v>7071</v>
      </c>
      <c r="B1704" s="2">
        <v>46076</v>
      </c>
      <c r="C1704" t="s">
        <v>21</v>
      </c>
      <c r="D1704" t="s">
        <v>7072</v>
      </c>
      <c r="E1704" t="s">
        <v>38</v>
      </c>
      <c r="F1704">
        <v>11</v>
      </c>
      <c r="G1704" t="s">
        <v>13</v>
      </c>
      <c r="H1704" t="s">
        <v>14</v>
      </c>
      <c r="I1704" t="s">
        <v>19</v>
      </c>
    </row>
    <row r="1705" spans="1:9" x14ac:dyDescent="0.45">
      <c r="A1705" t="s">
        <v>7073</v>
      </c>
      <c r="B1705" s="2">
        <v>46225</v>
      </c>
      <c r="C1705" t="s">
        <v>28</v>
      </c>
      <c r="D1705" t="s">
        <v>7074</v>
      </c>
      <c r="E1705" t="s">
        <v>38</v>
      </c>
      <c r="F1705">
        <v>9</v>
      </c>
      <c r="G1705" t="s">
        <v>35</v>
      </c>
      <c r="H1705" t="s">
        <v>25</v>
      </c>
      <c r="I1705" t="s">
        <v>47</v>
      </c>
    </row>
    <row r="1706" spans="1:9" x14ac:dyDescent="0.45">
      <c r="A1706" t="s">
        <v>7075</v>
      </c>
      <c r="B1706" s="2">
        <v>46174</v>
      </c>
      <c r="C1706" t="s">
        <v>28</v>
      </c>
      <c r="D1706" t="s">
        <v>7076</v>
      </c>
      <c r="E1706" t="s">
        <v>38</v>
      </c>
      <c r="F1706">
        <v>3</v>
      </c>
      <c r="G1706" t="s">
        <v>24</v>
      </c>
      <c r="H1706" t="s">
        <v>25</v>
      </c>
      <c r="I1706" t="s">
        <v>47</v>
      </c>
    </row>
    <row r="1707" spans="1:9" x14ac:dyDescent="0.45">
      <c r="A1707" t="s">
        <v>7077</v>
      </c>
      <c r="B1707" s="2">
        <v>46138</v>
      </c>
      <c r="C1707" t="s">
        <v>10</v>
      </c>
      <c r="D1707" t="s">
        <v>7078</v>
      </c>
      <c r="E1707" t="s">
        <v>7974</v>
      </c>
      <c r="F1707">
        <v>6</v>
      </c>
      <c r="G1707" t="s">
        <v>13</v>
      </c>
      <c r="H1707" t="s">
        <v>14</v>
      </c>
      <c r="I1707" t="s">
        <v>31</v>
      </c>
    </row>
    <row r="1708" spans="1:9" x14ac:dyDescent="0.45">
      <c r="A1708" t="s">
        <v>7079</v>
      </c>
      <c r="B1708" s="2">
        <v>46029</v>
      </c>
      <c r="C1708" t="s">
        <v>49</v>
      </c>
      <c r="D1708" t="s">
        <v>7080</v>
      </c>
      <c r="E1708" t="s">
        <v>34</v>
      </c>
      <c r="F1708">
        <v>5</v>
      </c>
      <c r="G1708" t="s">
        <v>55</v>
      </c>
      <c r="H1708" t="s">
        <v>72</v>
      </c>
      <c r="I1708" t="s">
        <v>26</v>
      </c>
    </row>
    <row r="1709" spans="1:9" x14ac:dyDescent="0.45">
      <c r="A1709" t="s">
        <v>7081</v>
      </c>
      <c r="B1709" s="2">
        <v>46081</v>
      </c>
      <c r="C1709" t="s">
        <v>52</v>
      </c>
      <c r="D1709" t="s">
        <v>7082</v>
      </c>
      <c r="E1709" t="s">
        <v>46</v>
      </c>
      <c r="F1709">
        <v>6</v>
      </c>
      <c r="G1709" t="s">
        <v>35</v>
      </c>
      <c r="H1709" t="s">
        <v>25</v>
      </c>
      <c r="I1709" t="s">
        <v>26</v>
      </c>
    </row>
    <row r="1710" spans="1:9" x14ac:dyDescent="0.45">
      <c r="A1710" t="s">
        <v>7083</v>
      </c>
      <c r="B1710" s="2">
        <v>46150</v>
      </c>
      <c r="C1710" t="s">
        <v>16</v>
      </c>
      <c r="D1710" t="s">
        <v>7084</v>
      </c>
      <c r="E1710" t="s">
        <v>71</v>
      </c>
      <c r="F1710">
        <v>7</v>
      </c>
      <c r="G1710" t="s">
        <v>68</v>
      </c>
      <c r="H1710" t="s">
        <v>25</v>
      </c>
      <c r="I1710" t="s">
        <v>31</v>
      </c>
    </row>
    <row r="1711" spans="1:9" x14ac:dyDescent="0.45">
      <c r="A1711" t="s">
        <v>7085</v>
      </c>
      <c r="B1711" s="2">
        <v>46202</v>
      </c>
      <c r="C1711" t="s">
        <v>52</v>
      </c>
      <c r="D1711" t="s">
        <v>7086</v>
      </c>
      <c r="E1711" t="s">
        <v>7967</v>
      </c>
      <c r="F1711">
        <v>7</v>
      </c>
      <c r="G1711" t="s">
        <v>68</v>
      </c>
      <c r="H1711" t="s">
        <v>25</v>
      </c>
      <c r="I1711" t="s">
        <v>19</v>
      </c>
    </row>
    <row r="1712" spans="1:9" x14ac:dyDescent="0.45">
      <c r="A1712" t="s">
        <v>7087</v>
      </c>
      <c r="B1712" s="2">
        <v>46241</v>
      </c>
      <c r="C1712" t="s">
        <v>52</v>
      </c>
      <c r="D1712" t="s">
        <v>7088</v>
      </c>
      <c r="E1712" t="s">
        <v>34</v>
      </c>
      <c r="F1712">
        <v>10</v>
      </c>
      <c r="G1712" t="s">
        <v>68</v>
      </c>
      <c r="H1712" t="s">
        <v>25</v>
      </c>
      <c r="I1712" t="s">
        <v>47</v>
      </c>
    </row>
    <row r="1713" spans="1:9" x14ac:dyDescent="0.45">
      <c r="A1713" t="s">
        <v>7089</v>
      </c>
      <c r="B1713" s="2">
        <v>46127</v>
      </c>
      <c r="C1713" t="s">
        <v>52</v>
      </c>
      <c r="D1713" t="s">
        <v>7090</v>
      </c>
      <c r="E1713" t="s">
        <v>7967</v>
      </c>
      <c r="F1713">
        <v>6</v>
      </c>
      <c r="G1713" t="s">
        <v>35</v>
      </c>
      <c r="H1713" t="s">
        <v>25</v>
      </c>
      <c r="I1713" t="s">
        <v>47</v>
      </c>
    </row>
    <row r="1714" spans="1:9" x14ac:dyDescent="0.45">
      <c r="A1714" t="s">
        <v>7091</v>
      </c>
      <c r="B1714" s="2">
        <v>46250</v>
      </c>
      <c r="C1714" t="s">
        <v>21</v>
      </c>
      <c r="D1714" t="s">
        <v>7092</v>
      </c>
      <c r="E1714" t="s">
        <v>7974</v>
      </c>
      <c r="F1714">
        <v>12</v>
      </c>
      <c r="G1714" t="s">
        <v>59</v>
      </c>
      <c r="H1714" t="s">
        <v>14</v>
      </c>
      <c r="I1714" t="s">
        <v>47</v>
      </c>
    </row>
    <row r="1715" spans="1:9" x14ac:dyDescent="0.45">
      <c r="A1715" t="s">
        <v>7093</v>
      </c>
      <c r="B1715" s="2">
        <v>46239</v>
      </c>
      <c r="C1715" t="s">
        <v>99</v>
      </c>
      <c r="D1715" t="s">
        <v>7094</v>
      </c>
      <c r="E1715" t="s">
        <v>7973</v>
      </c>
      <c r="F1715">
        <v>8</v>
      </c>
      <c r="G1715" t="s">
        <v>55</v>
      </c>
      <c r="H1715" t="s">
        <v>72</v>
      </c>
      <c r="I1715" t="s">
        <v>26</v>
      </c>
    </row>
    <row r="1716" spans="1:9" x14ac:dyDescent="0.45">
      <c r="A1716" t="s">
        <v>7095</v>
      </c>
      <c r="B1716" s="2">
        <v>46040</v>
      </c>
      <c r="C1716" t="s">
        <v>16</v>
      </c>
      <c r="D1716" t="s">
        <v>7096</v>
      </c>
      <c r="E1716" t="s">
        <v>71</v>
      </c>
      <c r="F1716">
        <v>10</v>
      </c>
      <c r="G1716" t="s">
        <v>59</v>
      </c>
      <c r="H1716" t="s">
        <v>14</v>
      </c>
      <c r="I1716" t="s">
        <v>39</v>
      </c>
    </row>
    <row r="1717" spans="1:9" x14ac:dyDescent="0.45">
      <c r="A1717" t="s">
        <v>7097</v>
      </c>
      <c r="B1717" s="2">
        <v>46077</v>
      </c>
      <c r="C1717" t="s">
        <v>66</v>
      </c>
      <c r="D1717" t="s">
        <v>7098</v>
      </c>
      <c r="E1717" t="s">
        <v>30</v>
      </c>
      <c r="F1717">
        <v>11</v>
      </c>
      <c r="G1717" t="s">
        <v>13</v>
      </c>
      <c r="H1717" t="s">
        <v>14</v>
      </c>
      <c r="I1717" t="s">
        <v>31</v>
      </c>
    </row>
    <row r="1718" spans="1:9" x14ac:dyDescent="0.45">
      <c r="A1718" t="s">
        <v>7099</v>
      </c>
      <c r="B1718" s="2">
        <v>46260</v>
      </c>
      <c r="C1718" t="s">
        <v>49</v>
      </c>
      <c r="D1718" t="s">
        <v>7100</v>
      </c>
      <c r="E1718" t="s">
        <v>7973</v>
      </c>
      <c r="F1718">
        <v>1</v>
      </c>
      <c r="G1718" t="s">
        <v>18</v>
      </c>
      <c r="H1718" t="s">
        <v>14</v>
      </c>
      <c r="I1718" t="s">
        <v>39</v>
      </c>
    </row>
    <row r="1719" spans="1:9" x14ac:dyDescent="0.45">
      <c r="A1719" t="s">
        <v>7101</v>
      </c>
      <c r="B1719" s="2">
        <v>46083</v>
      </c>
      <c r="C1719" t="s">
        <v>21</v>
      </c>
      <c r="D1719" t="s">
        <v>7102</v>
      </c>
      <c r="E1719" t="s">
        <v>7973</v>
      </c>
      <c r="F1719">
        <v>3</v>
      </c>
      <c r="G1719" t="s">
        <v>35</v>
      </c>
      <c r="H1719" t="s">
        <v>25</v>
      </c>
      <c r="I1719" t="s">
        <v>47</v>
      </c>
    </row>
    <row r="1720" spans="1:9" x14ac:dyDescent="0.45">
      <c r="A1720" t="s">
        <v>7103</v>
      </c>
      <c r="B1720" s="2">
        <v>46141</v>
      </c>
      <c r="C1720" t="s">
        <v>10</v>
      </c>
      <c r="D1720" t="s">
        <v>7104</v>
      </c>
      <c r="E1720" t="s">
        <v>58</v>
      </c>
      <c r="F1720">
        <v>6</v>
      </c>
      <c r="G1720" t="s">
        <v>59</v>
      </c>
      <c r="H1720" t="s">
        <v>14</v>
      </c>
      <c r="I1720" t="s">
        <v>47</v>
      </c>
    </row>
    <row r="1721" spans="1:9" x14ac:dyDescent="0.45">
      <c r="A1721" t="s">
        <v>7105</v>
      </c>
      <c r="B1721" s="2">
        <v>46026</v>
      </c>
      <c r="C1721" t="s">
        <v>66</v>
      </c>
      <c r="D1721" t="s">
        <v>7106</v>
      </c>
      <c r="E1721" t="s">
        <v>58</v>
      </c>
      <c r="F1721">
        <v>3</v>
      </c>
      <c r="G1721" t="s">
        <v>18</v>
      </c>
      <c r="H1721" t="s">
        <v>14</v>
      </c>
      <c r="I1721" t="s">
        <v>47</v>
      </c>
    </row>
    <row r="1722" spans="1:9" x14ac:dyDescent="0.45">
      <c r="A1722" t="s">
        <v>7107</v>
      </c>
      <c r="B1722" s="2">
        <v>46237</v>
      </c>
      <c r="C1722" t="s">
        <v>28</v>
      </c>
      <c r="D1722" t="s">
        <v>7108</v>
      </c>
      <c r="E1722" t="s">
        <v>34</v>
      </c>
      <c r="F1722">
        <v>11</v>
      </c>
      <c r="G1722" t="s">
        <v>55</v>
      </c>
      <c r="H1722" t="s">
        <v>72</v>
      </c>
      <c r="I1722" t="s">
        <v>31</v>
      </c>
    </row>
    <row r="1723" spans="1:9" x14ac:dyDescent="0.45">
      <c r="A1723" t="s">
        <v>7109</v>
      </c>
      <c r="B1723" s="2">
        <v>46186</v>
      </c>
      <c r="C1723" t="s">
        <v>66</v>
      </c>
      <c r="D1723" t="s">
        <v>7110</v>
      </c>
      <c r="E1723" t="s">
        <v>23</v>
      </c>
      <c r="F1723">
        <v>8</v>
      </c>
      <c r="G1723" t="s">
        <v>35</v>
      </c>
      <c r="H1723" t="s">
        <v>25</v>
      </c>
      <c r="I1723" t="s">
        <v>39</v>
      </c>
    </row>
    <row r="1724" spans="1:9" x14ac:dyDescent="0.45">
      <c r="A1724" t="s">
        <v>7111</v>
      </c>
      <c r="B1724" s="2">
        <v>46172</v>
      </c>
      <c r="C1724" t="s">
        <v>10</v>
      </c>
      <c r="D1724" t="s">
        <v>7112</v>
      </c>
      <c r="E1724" t="s">
        <v>7973</v>
      </c>
      <c r="F1724">
        <v>4</v>
      </c>
      <c r="G1724" t="s">
        <v>43</v>
      </c>
      <c r="H1724" t="s">
        <v>14</v>
      </c>
      <c r="I1724" t="s">
        <v>26</v>
      </c>
    </row>
    <row r="1725" spans="1:9" x14ac:dyDescent="0.45">
      <c r="A1725" t="s">
        <v>7113</v>
      </c>
      <c r="B1725" s="2">
        <v>46056</v>
      </c>
      <c r="C1725" t="s">
        <v>52</v>
      </c>
      <c r="D1725" t="s">
        <v>7114</v>
      </c>
      <c r="E1725" t="s">
        <v>46</v>
      </c>
      <c r="F1725">
        <v>2</v>
      </c>
      <c r="G1725" t="s">
        <v>59</v>
      </c>
      <c r="H1725" t="s">
        <v>14</v>
      </c>
      <c r="I1725" t="s">
        <v>19</v>
      </c>
    </row>
    <row r="1726" spans="1:9" x14ac:dyDescent="0.45">
      <c r="A1726" t="s">
        <v>7115</v>
      </c>
      <c r="B1726" s="2">
        <v>46192</v>
      </c>
      <c r="C1726" t="s">
        <v>52</v>
      </c>
      <c r="D1726" t="s">
        <v>7116</v>
      </c>
      <c r="E1726" t="s">
        <v>7974</v>
      </c>
      <c r="F1726">
        <v>4</v>
      </c>
      <c r="G1726" t="s">
        <v>13</v>
      </c>
      <c r="H1726" t="s">
        <v>14</v>
      </c>
      <c r="I1726" t="s">
        <v>19</v>
      </c>
    </row>
    <row r="1727" spans="1:9" x14ac:dyDescent="0.45">
      <c r="A1727" t="s">
        <v>7117</v>
      </c>
      <c r="B1727" s="2">
        <v>46200</v>
      </c>
      <c r="C1727" t="s">
        <v>16</v>
      </c>
      <c r="D1727" t="s">
        <v>7118</v>
      </c>
      <c r="E1727" t="s">
        <v>75</v>
      </c>
      <c r="F1727">
        <v>5</v>
      </c>
      <c r="G1727" t="s">
        <v>55</v>
      </c>
      <c r="H1727" t="s">
        <v>72</v>
      </c>
      <c r="I1727" t="s">
        <v>47</v>
      </c>
    </row>
    <row r="1728" spans="1:9" x14ac:dyDescent="0.45">
      <c r="A1728" t="s">
        <v>7119</v>
      </c>
      <c r="B1728" s="2">
        <v>46085</v>
      </c>
      <c r="C1728" t="s">
        <v>16</v>
      </c>
      <c r="D1728" t="s">
        <v>7120</v>
      </c>
      <c r="E1728" t="s">
        <v>46</v>
      </c>
      <c r="F1728">
        <v>11</v>
      </c>
      <c r="G1728" t="s">
        <v>7967</v>
      </c>
      <c r="H1728" t="s">
        <v>14</v>
      </c>
      <c r="I1728" t="s">
        <v>60</v>
      </c>
    </row>
    <row r="1729" spans="1:9" x14ac:dyDescent="0.45">
      <c r="A1729" t="s">
        <v>7121</v>
      </c>
      <c r="B1729" s="2">
        <v>46268</v>
      </c>
      <c r="C1729" t="s">
        <v>52</v>
      </c>
      <c r="D1729" t="s">
        <v>7122</v>
      </c>
      <c r="E1729" t="s">
        <v>7974</v>
      </c>
      <c r="F1729">
        <v>7</v>
      </c>
      <c r="G1729" t="s">
        <v>55</v>
      </c>
      <c r="H1729" t="s">
        <v>72</v>
      </c>
      <c r="I1729" t="s">
        <v>39</v>
      </c>
    </row>
    <row r="1730" spans="1:9" x14ac:dyDescent="0.45">
      <c r="A1730" t="s">
        <v>7123</v>
      </c>
      <c r="B1730" s="2">
        <v>46191</v>
      </c>
      <c r="C1730" t="s">
        <v>49</v>
      </c>
      <c r="D1730" t="s">
        <v>7124</v>
      </c>
      <c r="E1730" t="s">
        <v>54</v>
      </c>
      <c r="F1730">
        <v>6</v>
      </c>
      <c r="G1730" t="s">
        <v>13</v>
      </c>
      <c r="H1730" t="s">
        <v>14</v>
      </c>
      <c r="I1730" t="s">
        <v>26</v>
      </c>
    </row>
    <row r="1731" spans="1:9" x14ac:dyDescent="0.45">
      <c r="A1731" t="s">
        <v>7125</v>
      </c>
      <c r="B1731" s="2">
        <v>46124</v>
      </c>
      <c r="C1731" t="s">
        <v>16</v>
      </c>
      <c r="D1731" t="s">
        <v>7126</v>
      </c>
      <c r="E1731" t="s">
        <v>71</v>
      </c>
      <c r="F1731">
        <v>1</v>
      </c>
      <c r="G1731" t="s">
        <v>59</v>
      </c>
      <c r="H1731" t="s">
        <v>14</v>
      </c>
      <c r="I1731" t="s">
        <v>19</v>
      </c>
    </row>
    <row r="1732" spans="1:9" x14ac:dyDescent="0.45">
      <c r="A1732" t="s">
        <v>7127</v>
      </c>
      <c r="B1732" s="2">
        <v>46177</v>
      </c>
      <c r="C1732" t="s">
        <v>99</v>
      </c>
      <c r="D1732" t="s">
        <v>7128</v>
      </c>
      <c r="E1732" t="s">
        <v>54</v>
      </c>
      <c r="F1732">
        <v>6</v>
      </c>
      <c r="G1732" t="s">
        <v>24</v>
      </c>
      <c r="H1732" t="s">
        <v>25</v>
      </c>
      <c r="I1732" t="s">
        <v>47</v>
      </c>
    </row>
    <row r="1733" spans="1:9" x14ac:dyDescent="0.45">
      <c r="A1733" t="s">
        <v>7129</v>
      </c>
      <c r="B1733" s="2">
        <v>46074</v>
      </c>
      <c r="C1733" t="s">
        <v>21</v>
      </c>
      <c r="D1733" t="s">
        <v>7130</v>
      </c>
      <c r="E1733" t="s">
        <v>42</v>
      </c>
      <c r="F1733">
        <v>8</v>
      </c>
      <c r="G1733" t="s">
        <v>13</v>
      </c>
      <c r="H1733" t="s">
        <v>14</v>
      </c>
      <c r="I1733" t="s">
        <v>31</v>
      </c>
    </row>
    <row r="1734" spans="1:9" x14ac:dyDescent="0.45">
      <c r="A1734" t="s">
        <v>7131</v>
      </c>
      <c r="B1734" s="2">
        <v>46258</v>
      </c>
      <c r="C1734" t="s">
        <v>10</v>
      </c>
      <c r="D1734" t="s">
        <v>7132</v>
      </c>
      <c r="E1734" t="s">
        <v>38</v>
      </c>
      <c r="F1734">
        <v>10</v>
      </c>
      <c r="G1734" t="s">
        <v>59</v>
      </c>
      <c r="H1734" t="s">
        <v>14</v>
      </c>
      <c r="I1734" t="s">
        <v>26</v>
      </c>
    </row>
    <row r="1735" spans="1:9" x14ac:dyDescent="0.45">
      <c r="A1735" t="s">
        <v>7133</v>
      </c>
      <c r="B1735" s="2">
        <v>46030</v>
      </c>
      <c r="C1735" t="s">
        <v>10</v>
      </c>
      <c r="D1735" t="s">
        <v>7134</v>
      </c>
      <c r="E1735" t="s">
        <v>58</v>
      </c>
      <c r="F1735">
        <v>9</v>
      </c>
      <c r="G1735" t="s">
        <v>35</v>
      </c>
      <c r="H1735" t="s">
        <v>25</v>
      </c>
      <c r="I1735" t="s">
        <v>19</v>
      </c>
    </row>
    <row r="1736" spans="1:9" x14ac:dyDescent="0.45">
      <c r="A1736" t="s">
        <v>7135</v>
      </c>
      <c r="B1736" s="2">
        <v>46070</v>
      </c>
      <c r="C1736" t="s">
        <v>52</v>
      </c>
      <c r="D1736" t="s">
        <v>7136</v>
      </c>
      <c r="E1736" t="s">
        <v>42</v>
      </c>
      <c r="F1736">
        <v>11</v>
      </c>
      <c r="G1736" t="s">
        <v>13</v>
      </c>
      <c r="H1736" t="s">
        <v>14</v>
      </c>
      <c r="I1736" t="s">
        <v>39</v>
      </c>
    </row>
    <row r="1737" spans="1:9" x14ac:dyDescent="0.45">
      <c r="A1737" t="s">
        <v>7137</v>
      </c>
      <c r="B1737" s="2">
        <v>46067</v>
      </c>
      <c r="C1737" t="s">
        <v>52</v>
      </c>
      <c r="D1737" t="s">
        <v>7138</v>
      </c>
      <c r="E1737" t="s">
        <v>34</v>
      </c>
      <c r="F1737">
        <v>10</v>
      </c>
      <c r="G1737" t="s">
        <v>13</v>
      </c>
      <c r="H1737" t="s">
        <v>14</v>
      </c>
      <c r="I1737" t="s">
        <v>39</v>
      </c>
    </row>
    <row r="1738" spans="1:9" x14ac:dyDescent="0.45">
      <c r="A1738" t="s">
        <v>7139</v>
      </c>
      <c r="B1738" s="2">
        <v>46101</v>
      </c>
      <c r="C1738" t="s">
        <v>28</v>
      </c>
      <c r="D1738" t="s">
        <v>7140</v>
      </c>
      <c r="E1738" t="s">
        <v>38</v>
      </c>
      <c r="F1738">
        <v>2</v>
      </c>
      <c r="G1738" t="s">
        <v>59</v>
      </c>
      <c r="H1738" t="s">
        <v>14</v>
      </c>
      <c r="I1738" t="s">
        <v>26</v>
      </c>
    </row>
    <row r="1739" spans="1:9" x14ac:dyDescent="0.45">
      <c r="A1739" t="s">
        <v>7141</v>
      </c>
      <c r="B1739" s="2">
        <v>46151</v>
      </c>
      <c r="C1739" t="s">
        <v>66</v>
      </c>
      <c r="D1739" t="s">
        <v>7142</v>
      </c>
      <c r="E1739" t="s">
        <v>46</v>
      </c>
      <c r="F1739">
        <v>1</v>
      </c>
      <c r="G1739" t="s">
        <v>43</v>
      </c>
      <c r="H1739" t="s">
        <v>14</v>
      </c>
      <c r="I1739" t="s">
        <v>60</v>
      </c>
    </row>
    <row r="1740" spans="1:9" x14ac:dyDescent="0.45">
      <c r="A1740" t="s">
        <v>7143</v>
      </c>
      <c r="B1740" s="2">
        <v>46209</v>
      </c>
      <c r="C1740" t="s">
        <v>21</v>
      </c>
      <c r="D1740" t="s">
        <v>7144</v>
      </c>
      <c r="E1740" t="s">
        <v>38</v>
      </c>
      <c r="F1740">
        <v>6</v>
      </c>
      <c r="G1740" t="s">
        <v>18</v>
      </c>
      <c r="H1740" t="s">
        <v>14</v>
      </c>
      <c r="I1740" t="s">
        <v>31</v>
      </c>
    </row>
    <row r="1741" spans="1:9" x14ac:dyDescent="0.45">
      <c r="A1741" t="s">
        <v>7145</v>
      </c>
      <c r="B1741" s="2">
        <v>46246</v>
      </c>
      <c r="C1741" t="s">
        <v>52</v>
      </c>
      <c r="D1741" t="s">
        <v>7146</v>
      </c>
      <c r="E1741" t="s">
        <v>7967</v>
      </c>
      <c r="F1741">
        <v>4</v>
      </c>
      <c r="G1741" t="s">
        <v>18</v>
      </c>
      <c r="H1741" t="s">
        <v>14</v>
      </c>
      <c r="I1741" t="s">
        <v>26</v>
      </c>
    </row>
    <row r="1742" spans="1:9" x14ac:dyDescent="0.45">
      <c r="A1742" t="s">
        <v>7147</v>
      </c>
      <c r="B1742" s="2">
        <v>46259</v>
      </c>
      <c r="C1742" t="s">
        <v>99</v>
      </c>
      <c r="D1742" t="s">
        <v>7148</v>
      </c>
      <c r="E1742" t="s">
        <v>23</v>
      </c>
      <c r="F1742">
        <v>3</v>
      </c>
      <c r="G1742" t="s">
        <v>43</v>
      </c>
      <c r="H1742" t="s">
        <v>14</v>
      </c>
      <c r="I1742" t="s">
        <v>60</v>
      </c>
    </row>
    <row r="1743" spans="1:9" x14ac:dyDescent="0.45">
      <c r="A1743" t="s">
        <v>7149</v>
      </c>
      <c r="B1743" s="2">
        <v>46151</v>
      </c>
      <c r="C1743" t="s">
        <v>28</v>
      </c>
      <c r="D1743" t="s">
        <v>7150</v>
      </c>
      <c r="E1743" t="s">
        <v>23</v>
      </c>
      <c r="F1743">
        <v>11</v>
      </c>
      <c r="G1743" t="s">
        <v>68</v>
      </c>
      <c r="H1743" t="s">
        <v>25</v>
      </c>
      <c r="I1743" t="s">
        <v>47</v>
      </c>
    </row>
    <row r="1744" spans="1:9" x14ac:dyDescent="0.45">
      <c r="A1744" t="s">
        <v>7151</v>
      </c>
      <c r="B1744" s="2">
        <v>46114</v>
      </c>
      <c r="C1744" t="s">
        <v>21</v>
      </c>
      <c r="D1744" t="s">
        <v>7152</v>
      </c>
      <c r="E1744" t="s">
        <v>42</v>
      </c>
      <c r="F1744">
        <v>8</v>
      </c>
      <c r="G1744" t="s">
        <v>55</v>
      </c>
      <c r="H1744" t="s">
        <v>72</v>
      </c>
      <c r="I1744" t="s">
        <v>26</v>
      </c>
    </row>
    <row r="1745" spans="1:9" x14ac:dyDescent="0.45">
      <c r="A1745" t="s">
        <v>7153</v>
      </c>
      <c r="B1745" s="2">
        <v>46239</v>
      </c>
      <c r="C1745" t="s">
        <v>16</v>
      </c>
      <c r="D1745" t="s">
        <v>7154</v>
      </c>
      <c r="E1745" t="s">
        <v>30</v>
      </c>
      <c r="F1745">
        <v>4</v>
      </c>
      <c r="G1745" t="s">
        <v>18</v>
      </c>
      <c r="H1745" t="s">
        <v>14</v>
      </c>
      <c r="I1745" t="s">
        <v>47</v>
      </c>
    </row>
    <row r="1746" spans="1:9" x14ac:dyDescent="0.45">
      <c r="A1746" t="s">
        <v>7155</v>
      </c>
      <c r="B1746" s="2">
        <v>46029</v>
      </c>
      <c r="C1746" t="s">
        <v>52</v>
      </c>
      <c r="D1746" t="s">
        <v>7156</v>
      </c>
      <c r="E1746" t="s">
        <v>75</v>
      </c>
      <c r="F1746">
        <v>12</v>
      </c>
      <c r="G1746" t="s">
        <v>68</v>
      </c>
      <c r="H1746" t="s">
        <v>25</v>
      </c>
      <c r="I1746" t="s">
        <v>60</v>
      </c>
    </row>
    <row r="1747" spans="1:9" x14ac:dyDescent="0.45">
      <c r="A1747" t="s">
        <v>7157</v>
      </c>
      <c r="B1747" s="2">
        <v>46184</v>
      </c>
      <c r="C1747" t="s">
        <v>66</v>
      </c>
      <c r="D1747" t="s">
        <v>7158</v>
      </c>
      <c r="E1747" t="s">
        <v>7973</v>
      </c>
      <c r="F1747">
        <v>6</v>
      </c>
      <c r="G1747" t="s">
        <v>55</v>
      </c>
      <c r="H1747" t="s">
        <v>72</v>
      </c>
      <c r="I1747" t="s">
        <v>26</v>
      </c>
    </row>
    <row r="1748" spans="1:9" x14ac:dyDescent="0.45">
      <c r="A1748" t="s">
        <v>7159</v>
      </c>
      <c r="B1748" s="2">
        <v>46072</v>
      </c>
      <c r="C1748" t="s">
        <v>10</v>
      </c>
      <c r="D1748" t="s">
        <v>7160</v>
      </c>
      <c r="E1748" t="s">
        <v>34</v>
      </c>
      <c r="F1748">
        <v>5</v>
      </c>
      <c r="G1748" t="s">
        <v>59</v>
      </c>
      <c r="H1748" t="s">
        <v>14</v>
      </c>
      <c r="I1748" t="s">
        <v>31</v>
      </c>
    </row>
    <row r="1749" spans="1:9" x14ac:dyDescent="0.45">
      <c r="A1749" t="s">
        <v>7161</v>
      </c>
      <c r="B1749" s="2">
        <v>46024</v>
      </c>
      <c r="C1749" t="s">
        <v>99</v>
      </c>
      <c r="D1749" t="s">
        <v>7162</v>
      </c>
      <c r="E1749" t="s">
        <v>34</v>
      </c>
      <c r="F1749">
        <v>3</v>
      </c>
      <c r="G1749" t="s">
        <v>13</v>
      </c>
      <c r="H1749" t="s">
        <v>14</v>
      </c>
      <c r="I1749" t="s">
        <v>39</v>
      </c>
    </row>
    <row r="1750" spans="1:9" x14ac:dyDescent="0.45">
      <c r="A1750" t="s">
        <v>7163</v>
      </c>
      <c r="B1750" s="2">
        <v>46146</v>
      </c>
      <c r="C1750" t="s">
        <v>49</v>
      </c>
      <c r="D1750" t="s">
        <v>7164</v>
      </c>
      <c r="E1750" t="s">
        <v>38</v>
      </c>
      <c r="F1750">
        <v>5</v>
      </c>
      <c r="G1750" t="s">
        <v>24</v>
      </c>
      <c r="H1750" t="s">
        <v>25</v>
      </c>
      <c r="I1750" t="s">
        <v>19</v>
      </c>
    </row>
    <row r="1751" spans="1:9" x14ac:dyDescent="0.45">
      <c r="A1751" t="s">
        <v>7165</v>
      </c>
      <c r="B1751" s="2">
        <v>46035</v>
      </c>
      <c r="C1751" t="s">
        <v>49</v>
      </c>
      <c r="D1751" t="s">
        <v>7166</v>
      </c>
      <c r="E1751" t="s">
        <v>7973</v>
      </c>
      <c r="F1751">
        <v>7</v>
      </c>
      <c r="G1751" t="s">
        <v>43</v>
      </c>
      <c r="H1751" t="s">
        <v>14</v>
      </c>
      <c r="I1751" t="s">
        <v>39</v>
      </c>
    </row>
    <row r="1752" spans="1:9" x14ac:dyDescent="0.45">
      <c r="A1752" t="s">
        <v>7167</v>
      </c>
      <c r="B1752" s="2">
        <v>46073</v>
      </c>
      <c r="C1752" t="s">
        <v>10</v>
      </c>
      <c r="D1752" t="s">
        <v>7168</v>
      </c>
      <c r="E1752" t="s">
        <v>75</v>
      </c>
      <c r="F1752">
        <v>12</v>
      </c>
      <c r="G1752" t="s">
        <v>7967</v>
      </c>
      <c r="H1752" t="s">
        <v>14</v>
      </c>
      <c r="I1752" t="s">
        <v>31</v>
      </c>
    </row>
    <row r="1753" spans="1:9" x14ac:dyDescent="0.45">
      <c r="A1753" t="s">
        <v>7169</v>
      </c>
      <c r="B1753" s="2">
        <v>46099</v>
      </c>
      <c r="C1753" t="s">
        <v>66</v>
      </c>
      <c r="D1753" t="s">
        <v>7170</v>
      </c>
      <c r="E1753" t="s">
        <v>7973</v>
      </c>
      <c r="F1753">
        <v>9</v>
      </c>
      <c r="G1753" t="s">
        <v>24</v>
      </c>
      <c r="H1753" t="s">
        <v>25</v>
      </c>
      <c r="I1753" t="s">
        <v>60</v>
      </c>
    </row>
    <row r="1754" spans="1:9" x14ac:dyDescent="0.45">
      <c r="A1754" t="s">
        <v>7171</v>
      </c>
      <c r="B1754" s="2">
        <v>46267</v>
      </c>
      <c r="C1754" t="s">
        <v>52</v>
      </c>
      <c r="D1754" t="s">
        <v>7172</v>
      </c>
      <c r="E1754" t="s">
        <v>7974</v>
      </c>
      <c r="F1754">
        <v>7</v>
      </c>
      <c r="G1754" t="s">
        <v>13</v>
      </c>
      <c r="H1754" t="s">
        <v>14</v>
      </c>
      <c r="I1754" t="s">
        <v>60</v>
      </c>
    </row>
    <row r="1755" spans="1:9" x14ac:dyDescent="0.45">
      <c r="A1755" t="s">
        <v>7173</v>
      </c>
      <c r="B1755" s="2">
        <v>46105</v>
      </c>
      <c r="C1755" t="s">
        <v>49</v>
      </c>
      <c r="D1755" t="s">
        <v>7174</v>
      </c>
      <c r="E1755" t="s">
        <v>38</v>
      </c>
      <c r="F1755">
        <v>10</v>
      </c>
      <c r="G1755" t="s">
        <v>35</v>
      </c>
      <c r="H1755" t="s">
        <v>25</v>
      </c>
      <c r="I1755" t="s">
        <v>39</v>
      </c>
    </row>
    <row r="1756" spans="1:9" x14ac:dyDescent="0.45">
      <c r="A1756" t="s">
        <v>7175</v>
      </c>
      <c r="B1756" s="2">
        <v>46174</v>
      </c>
      <c r="C1756" t="s">
        <v>16</v>
      </c>
      <c r="D1756" t="s">
        <v>7176</v>
      </c>
      <c r="E1756" t="s">
        <v>30</v>
      </c>
      <c r="F1756">
        <v>5</v>
      </c>
      <c r="G1756" t="s">
        <v>35</v>
      </c>
      <c r="H1756" t="s">
        <v>25</v>
      </c>
      <c r="I1756" t="s">
        <v>60</v>
      </c>
    </row>
    <row r="1757" spans="1:9" x14ac:dyDescent="0.45">
      <c r="A1757" t="s">
        <v>7177</v>
      </c>
      <c r="B1757" s="2">
        <v>46211</v>
      </c>
      <c r="C1757" t="s">
        <v>28</v>
      </c>
      <c r="D1757" t="s">
        <v>7178</v>
      </c>
      <c r="E1757" t="s">
        <v>75</v>
      </c>
      <c r="F1757">
        <v>5</v>
      </c>
      <c r="G1757" t="s">
        <v>59</v>
      </c>
      <c r="H1757" t="s">
        <v>14</v>
      </c>
      <c r="I1757" t="s">
        <v>60</v>
      </c>
    </row>
    <row r="1758" spans="1:9" x14ac:dyDescent="0.45">
      <c r="A1758" t="s">
        <v>7179</v>
      </c>
      <c r="B1758" s="2">
        <v>46041</v>
      </c>
      <c r="C1758" t="s">
        <v>21</v>
      </c>
      <c r="D1758" t="s">
        <v>7180</v>
      </c>
      <c r="E1758" t="s">
        <v>7974</v>
      </c>
      <c r="F1758">
        <v>11</v>
      </c>
      <c r="G1758" t="s">
        <v>35</v>
      </c>
      <c r="H1758" t="s">
        <v>25</v>
      </c>
      <c r="I1758" t="s">
        <v>39</v>
      </c>
    </row>
    <row r="1759" spans="1:9" x14ac:dyDescent="0.45">
      <c r="A1759" t="s">
        <v>7181</v>
      </c>
      <c r="B1759" s="2">
        <v>46244</v>
      </c>
      <c r="C1759" t="s">
        <v>66</v>
      </c>
      <c r="D1759" t="s">
        <v>7182</v>
      </c>
      <c r="E1759" t="s">
        <v>23</v>
      </c>
      <c r="F1759">
        <v>4</v>
      </c>
      <c r="G1759" t="s">
        <v>24</v>
      </c>
      <c r="H1759" t="s">
        <v>25</v>
      </c>
      <c r="I1759" t="s">
        <v>26</v>
      </c>
    </row>
    <row r="1760" spans="1:9" x14ac:dyDescent="0.45">
      <c r="A1760" t="s">
        <v>7183</v>
      </c>
      <c r="B1760" s="2">
        <v>46177</v>
      </c>
      <c r="C1760" t="s">
        <v>28</v>
      </c>
      <c r="D1760" t="s">
        <v>7184</v>
      </c>
      <c r="E1760" t="s">
        <v>46</v>
      </c>
      <c r="F1760">
        <v>10</v>
      </c>
      <c r="G1760" t="s">
        <v>43</v>
      </c>
      <c r="H1760" t="s">
        <v>14</v>
      </c>
      <c r="I1760" t="s">
        <v>19</v>
      </c>
    </row>
    <row r="1761" spans="1:9" x14ac:dyDescent="0.45">
      <c r="A1761" t="s">
        <v>7185</v>
      </c>
      <c r="B1761" s="2">
        <v>46173</v>
      </c>
      <c r="C1761" t="s">
        <v>49</v>
      </c>
      <c r="D1761" t="s">
        <v>7186</v>
      </c>
      <c r="E1761" t="s">
        <v>7974</v>
      </c>
      <c r="F1761">
        <v>7</v>
      </c>
      <c r="G1761" t="s">
        <v>35</v>
      </c>
      <c r="H1761" t="s">
        <v>25</v>
      </c>
      <c r="I1761" t="s">
        <v>60</v>
      </c>
    </row>
    <row r="1762" spans="1:9" x14ac:dyDescent="0.45">
      <c r="A1762" t="s">
        <v>7187</v>
      </c>
      <c r="B1762" s="2">
        <v>46055</v>
      </c>
      <c r="C1762" t="s">
        <v>16</v>
      </c>
      <c r="D1762" t="s">
        <v>7188</v>
      </c>
      <c r="E1762" t="s">
        <v>46</v>
      </c>
      <c r="F1762">
        <v>1</v>
      </c>
      <c r="G1762" t="s">
        <v>13</v>
      </c>
      <c r="H1762" t="s">
        <v>14</v>
      </c>
      <c r="I1762" t="s">
        <v>31</v>
      </c>
    </row>
    <row r="1763" spans="1:9" x14ac:dyDescent="0.45">
      <c r="A1763" t="s">
        <v>7189</v>
      </c>
      <c r="B1763" s="2">
        <v>46244</v>
      </c>
      <c r="C1763" t="s">
        <v>21</v>
      </c>
      <c r="D1763" t="s">
        <v>7190</v>
      </c>
      <c r="E1763" t="s">
        <v>42</v>
      </c>
      <c r="F1763">
        <v>3</v>
      </c>
      <c r="G1763" t="s">
        <v>13</v>
      </c>
      <c r="H1763" t="s">
        <v>14</v>
      </c>
      <c r="I1763" t="s">
        <v>47</v>
      </c>
    </row>
    <row r="1764" spans="1:9" x14ac:dyDescent="0.45">
      <c r="A1764" t="s">
        <v>7191</v>
      </c>
      <c r="B1764" s="2">
        <v>46214</v>
      </c>
      <c r="C1764" t="s">
        <v>99</v>
      </c>
      <c r="D1764" t="s">
        <v>7192</v>
      </c>
      <c r="E1764" t="s">
        <v>23</v>
      </c>
      <c r="F1764">
        <v>6</v>
      </c>
      <c r="G1764" t="s">
        <v>7967</v>
      </c>
      <c r="H1764" t="s">
        <v>14</v>
      </c>
      <c r="I1764" t="s">
        <v>39</v>
      </c>
    </row>
    <row r="1765" spans="1:9" x14ac:dyDescent="0.45">
      <c r="A1765" t="s">
        <v>7193</v>
      </c>
      <c r="B1765" s="2">
        <v>46224</v>
      </c>
      <c r="C1765" t="s">
        <v>28</v>
      </c>
      <c r="D1765" t="s">
        <v>7194</v>
      </c>
      <c r="E1765" t="s">
        <v>58</v>
      </c>
      <c r="F1765">
        <v>3</v>
      </c>
      <c r="G1765" t="s">
        <v>59</v>
      </c>
      <c r="H1765" t="s">
        <v>14</v>
      </c>
      <c r="I1765" t="s">
        <v>26</v>
      </c>
    </row>
    <row r="1766" spans="1:9" x14ac:dyDescent="0.45">
      <c r="A1766" t="s">
        <v>7195</v>
      </c>
      <c r="B1766" s="2">
        <v>46194</v>
      </c>
      <c r="C1766" t="s">
        <v>16</v>
      </c>
      <c r="D1766" t="s">
        <v>7196</v>
      </c>
      <c r="E1766" t="s">
        <v>7974</v>
      </c>
      <c r="F1766">
        <v>9</v>
      </c>
      <c r="G1766" t="s">
        <v>18</v>
      </c>
      <c r="H1766" t="s">
        <v>14</v>
      </c>
      <c r="I1766" t="s">
        <v>39</v>
      </c>
    </row>
    <row r="1767" spans="1:9" x14ac:dyDescent="0.45">
      <c r="A1767" t="s">
        <v>7197</v>
      </c>
      <c r="B1767" s="2">
        <v>46055</v>
      </c>
      <c r="C1767" t="s">
        <v>49</v>
      </c>
      <c r="D1767" t="s">
        <v>7198</v>
      </c>
      <c r="E1767" t="s">
        <v>7974</v>
      </c>
      <c r="F1767">
        <v>2</v>
      </c>
      <c r="G1767" t="s">
        <v>59</v>
      </c>
      <c r="H1767" t="s">
        <v>14</v>
      </c>
      <c r="I1767" t="s">
        <v>31</v>
      </c>
    </row>
    <row r="1768" spans="1:9" x14ac:dyDescent="0.45">
      <c r="A1768" t="s">
        <v>7199</v>
      </c>
      <c r="B1768" s="2">
        <v>46028</v>
      </c>
      <c r="C1768" t="s">
        <v>21</v>
      </c>
      <c r="D1768" t="s">
        <v>7200</v>
      </c>
      <c r="E1768" t="s">
        <v>7974</v>
      </c>
      <c r="F1768">
        <v>8</v>
      </c>
      <c r="G1768" t="s">
        <v>24</v>
      </c>
      <c r="H1768" t="s">
        <v>25</v>
      </c>
      <c r="I1768" t="s">
        <v>47</v>
      </c>
    </row>
    <row r="1769" spans="1:9" x14ac:dyDescent="0.45">
      <c r="A1769" t="s">
        <v>7201</v>
      </c>
      <c r="B1769" s="2">
        <v>46217</v>
      </c>
      <c r="C1769" t="s">
        <v>49</v>
      </c>
      <c r="D1769" t="s">
        <v>7202</v>
      </c>
      <c r="E1769" t="s">
        <v>30</v>
      </c>
      <c r="F1769">
        <v>12</v>
      </c>
      <c r="G1769" t="s">
        <v>59</v>
      </c>
      <c r="H1769" t="s">
        <v>14</v>
      </c>
      <c r="I1769" t="s">
        <v>7967</v>
      </c>
    </row>
    <row r="1770" spans="1:9" x14ac:dyDescent="0.45">
      <c r="A1770" t="s">
        <v>7203</v>
      </c>
      <c r="B1770" s="2">
        <v>46023</v>
      </c>
      <c r="C1770" t="s">
        <v>28</v>
      </c>
      <c r="D1770" t="s">
        <v>7204</v>
      </c>
      <c r="E1770" t="s">
        <v>449</v>
      </c>
      <c r="F1770">
        <v>12</v>
      </c>
      <c r="G1770" t="s">
        <v>68</v>
      </c>
      <c r="H1770" t="s">
        <v>25</v>
      </c>
      <c r="I1770" t="s">
        <v>19</v>
      </c>
    </row>
    <row r="1771" spans="1:9" x14ac:dyDescent="0.45">
      <c r="A1771" t="s">
        <v>7205</v>
      </c>
      <c r="B1771" s="2">
        <v>46215</v>
      </c>
      <c r="C1771" t="s">
        <v>49</v>
      </c>
      <c r="D1771" t="s">
        <v>7206</v>
      </c>
      <c r="E1771" t="s">
        <v>7974</v>
      </c>
      <c r="F1771">
        <v>2</v>
      </c>
      <c r="G1771" t="s">
        <v>55</v>
      </c>
      <c r="H1771" t="s">
        <v>72</v>
      </c>
      <c r="I1771" t="s">
        <v>26</v>
      </c>
    </row>
    <row r="1772" spans="1:9" x14ac:dyDescent="0.45">
      <c r="A1772" t="s">
        <v>7207</v>
      </c>
      <c r="B1772" s="2">
        <v>46102</v>
      </c>
      <c r="C1772" t="s">
        <v>21</v>
      </c>
      <c r="D1772" t="s">
        <v>7208</v>
      </c>
      <c r="E1772" t="s">
        <v>38</v>
      </c>
      <c r="F1772">
        <v>12</v>
      </c>
      <c r="G1772" t="s">
        <v>13</v>
      </c>
      <c r="H1772" t="s">
        <v>14</v>
      </c>
      <c r="I1772" t="s">
        <v>47</v>
      </c>
    </row>
    <row r="1773" spans="1:9" x14ac:dyDescent="0.45">
      <c r="A1773" t="s">
        <v>7209</v>
      </c>
      <c r="B1773" s="2">
        <v>46104</v>
      </c>
      <c r="C1773" t="s">
        <v>99</v>
      </c>
      <c r="D1773" t="s">
        <v>7210</v>
      </c>
      <c r="E1773" t="s">
        <v>38</v>
      </c>
      <c r="F1773">
        <v>5</v>
      </c>
      <c r="G1773" t="s">
        <v>13</v>
      </c>
      <c r="H1773" t="s">
        <v>14</v>
      </c>
      <c r="I1773" t="s">
        <v>47</v>
      </c>
    </row>
    <row r="1774" spans="1:9" x14ac:dyDescent="0.45">
      <c r="A1774" t="s">
        <v>7211</v>
      </c>
      <c r="B1774" s="2">
        <v>46191</v>
      </c>
      <c r="C1774" t="s">
        <v>16</v>
      </c>
      <c r="D1774" t="s">
        <v>7212</v>
      </c>
      <c r="E1774" t="s">
        <v>7974</v>
      </c>
      <c r="F1774">
        <v>3</v>
      </c>
      <c r="G1774" t="s">
        <v>18</v>
      </c>
      <c r="H1774" t="s">
        <v>14</v>
      </c>
      <c r="I1774" t="s">
        <v>31</v>
      </c>
    </row>
    <row r="1775" spans="1:9" x14ac:dyDescent="0.45">
      <c r="A1775" t="s">
        <v>7213</v>
      </c>
      <c r="B1775" s="2">
        <v>46203</v>
      </c>
      <c r="C1775" t="s">
        <v>99</v>
      </c>
      <c r="D1775" t="s">
        <v>7214</v>
      </c>
      <c r="E1775" t="s">
        <v>75</v>
      </c>
      <c r="F1775">
        <v>7</v>
      </c>
      <c r="G1775" t="s">
        <v>13</v>
      </c>
      <c r="H1775" t="s">
        <v>14</v>
      </c>
      <c r="I1775" t="s">
        <v>26</v>
      </c>
    </row>
    <row r="1776" spans="1:9" x14ac:dyDescent="0.45">
      <c r="A1776" t="s">
        <v>7215</v>
      </c>
      <c r="B1776" s="2">
        <v>46179</v>
      </c>
      <c r="C1776" t="s">
        <v>99</v>
      </c>
      <c r="D1776" t="s">
        <v>7216</v>
      </c>
      <c r="E1776" t="s">
        <v>38</v>
      </c>
      <c r="F1776">
        <v>4</v>
      </c>
      <c r="G1776" t="s">
        <v>55</v>
      </c>
      <c r="H1776" t="s">
        <v>72</v>
      </c>
      <c r="I1776" t="s">
        <v>39</v>
      </c>
    </row>
    <row r="1777" spans="1:9" x14ac:dyDescent="0.45">
      <c r="A1777" t="s">
        <v>7217</v>
      </c>
      <c r="B1777" s="2">
        <v>46046</v>
      </c>
      <c r="C1777" t="s">
        <v>21</v>
      </c>
      <c r="D1777" t="s">
        <v>7218</v>
      </c>
      <c r="E1777" t="s">
        <v>58</v>
      </c>
      <c r="F1777">
        <v>7</v>
      </c>
      <c r="G1777" t="s">
        <v>55</v>
      </c>
      <c r="H1777" t="s">
        <v>72</v>
      </c>
      <c r="I1777" t="s">
        <v>26</v>
      </c>
    </row>
    <row r="1778" spans="1:9" x14ac:dyDescent="0.45">
      <c r="A1778" t="s">
        <v>7219</v>
      </c>
      <c r="B1778" s="2">
        <v>46067</v>
      </c>
      <c r="C1778" t="s">
        <v>16</v>
      </c>
      <c r="D1778" t="s">
        <v>7220</v>
      </c>
      <c r="E1778" t="s">
        <v>58</v>
      </c>
      <c r="F1778">
        <v>6</v>
      </c>
      <c r="G1778" t="s">
        <v>43</v>
      </c>
      <c r="H1778" t="s">
        <v>14</v>
      </c>
      <c r="I1778" t="s">
        <v>39</v>
      </c>
    </row>
    <row r="1779" spans="1:9" x14ac:dyDescent="0.45">
      <c r="A1779" t="s">
        <v>7221</v>
      </c>
      <c r="B1779" s="2">
        <v>46155</v>
      </c>
      <c r="C1779" t="s">
        <v>28</v>
      </c>
      <c r="D1779" t="s">
        <v>7222</v>
      </c>
      <c r="E1779" t="s">
        <v>42</v>
      </c>
      <c r="F1779">
        <v>5</v>
      </c>
      <c r="G1779" t="s">
        <v>43</v>
      </c>
      <c r="H1779" t="s">
        <v>14</v>
      </c>
      <c r="I1779" t="s">
        <v>19</v>
      </c>
    </row>
    <row r="1780" spans="1:9" x14ac:dyDescent="0.45">
      <c r="A1780" t="s">
        <v>7223</v>
      </c>
      <c r="B1780" s="2">
        <v>46137</v>
      </c>
      <c r="C1780" t="s">
        <v>10</v>
      </c>
      <c r="D1780" t="s">
        <v>7224</v>
      </c>
      <c r="E1780" t="s">
        <v>75</v>
      </c>
      <c r="F1780">
        <v>4</v>
      </c>
      <c r="G1780" t="s">
        <v>43</v>
      </c>
      <c r="H1780" t="s">
        <v>14</v>
      </c>
      <c r="I1780" t="s">
        <v>47</v>
      </c>
    </row>
    <row r="1781" spans="1:9" x14ac:dyDescent="0.45">
      <c r="A1781" t="s">
        <v>7225</v>
      </c>
      <c r="B1781" s="2">
        <v>46217</v>
      </c>
      <c r="C1781" t="s">
        <v>21</v>
      </c>
      <c r="D1781" t="s">
        <v>7226</v>
      </c>
      <c r="E1781" t="s">
        <v>23</v>
      </c>
      <c r="F1781">
        <v>2</v>
      </c>
      <c r="G1781" t="s">
        <v>13</v>
      </c>
      <c r="H1781" t="s">
        <v>14</v>
      </c>
      <c r="I1781" t="s">
        <v>31</v>
      </c>
    </row>
    <row r="1782" spans="1:9" x14ac:dyDescent="0.45">
      <c r="A1782" t="s">
        <v>7227</v>
      </c>
      <c r="B1782" s="2">
        <v>46063</v>
      </c>
      <c r="C1782" t="s">
        <v>52</v>
      </c>
      <c r="D1782" t="s">
        <v>7228</v>
      </c>
      <c r="E1782" t="s">
        <v>30</v>
      </c>
      <c r="F1782">
        <v>4</v>
      </c>
      <c r="G1782" t="s">
        <v>43</v>
      </c>
      <c r="H1782" t="s">
        <v>14</v>
      </c>
      <c r="I1782" t="s">
        <v>31</v>
      </c>
    </row>
    <row r="1783" spans="1:9" x14ac:dyDescent="0.45">
      <c r="A1783" t="s">
        <v>7229</v>
      </c>
      <c r="B1783" s="2">
        <v>46072</v>
      </c>
      <c r="C1783" t="s">
        <v>21</v>
      </c>
      <c r="D1783" t="s">
        <v>7230</v>
      </c>
      <c r="E1783" t="s">
        <v>71</v>
      </c>
      <c r="F1783">
        <v>2</v>
      </c>
      <c r="G1783" t="s">
        <v>59</v>
      </c>
      <c r="H1783" t="s">
        <v>14</v>
      </c>
      <c r="I1783" t="s">
        <v>39</v>
      </c>
    </row>
    <row r="1784" spans="1:9" x14ac:dyDescent="0.45">
      <c r="A1784" t="s">
        <v>7231</v>
      </c>
      <c r="B1784" s="2">
        <v>46035</v>
      </c>
      <c r="C1784" t="s">
        <v>10</v>
      </c>
      <c r="D1784" t="s">
        <v>7232</v>
      </c>
      <c r="E1784" t="s">
        <v>46</v>
      </c>
      <c r="F1784">
        <v>5</v>
      </c>
      <c r="G1784" t="s">
        <v>59</v>
      </c>
      <c r="H1784" t="s">
        <v>14</v>
      </c>
      <c r="I1784" t="s">
        <v>31</v>
      </c>
    </row>
    <row r="1785" spans="1:9" x14ac:dyDescent="0.45">
      <c r="A1785" t="s">
        <v>7233</v>
      </c>
      <c r="B1785" s="2">
        <v>46167</v>
      </c>
      <c r="C1785" t="s">
        <v>49</v>
      </c>
      <c r="D1785" t="s">
        <v>7234</v>
      </c>
      <c r="E1785" t="s">
        <v>46</v>
      </c>
      <c r="F1785">
        <v>1</v>
      </c>
      <c r="G1785" t="s">
        <v>18</v>
      </c>
      <c r="H1785" t="s">
        <v>14</v>
      </c>
      <c r="I1785" t="s">
        <v>26</v>
      </c>
    </row>
    <row r="1786" spans="1:9" x14ac:dyDescent="0.45">
      <c r="A1786" t="s">
        <v>7235</v>
      </c>
      <c r="B1786" s="2">
        <v>46097</v>
      </c>
      <c r="C1786" t="s">
        <v>28</v>
      </c>
      <c r="D1786" t="s">
        <v>7236</v>
      </c>
      <c r="E1786" t="s">
        <v>75</v>
      </c>
      <c r="F1786">
        <v>3</v>
      </c>
      <c r="G1786" t="s">
        <v>18</v>
      </c>
      <c r="H1786" t="s">
        <v>14</v>
      </c>
      <c r="I1786" t="s">
        <v>31</v>
      </c>
    </row>
    <row r="1787" spans="1:9" x14ac:dyDescent="0.45">
      <c r="A1787" t="s">
        <v>7237</v>
      </c>
      <c r="B1787" s="2">
        <v>46138</v>
      </c>
      <c r="C1787" t="s">
        <v>16</v>
      </c>
      <c r="D1787" t="s">
        <v>7238</v>
      </c>
      <c r="E1787" t="s">
        <v>7973</v>
      </c>
      <c r="F1787">
        <v>8</v>
      </c>
      <c r="G1787" t="s">
        <v>18</v>
      </c>
      <c r="H1787" t="s">
        <v>14</v>
      </c>
      <c r="I1787" t="s">
        <v>47</v>
      </c>
    </row>
    <row r="1788" spans="1:9" x14ac:dyDescent="0.45">
      <c r="A1788" t="s">
        <v>7239</v>
      </c>
      <c r="B1788" s="2">
        <v>46205</v>
      </c>
      <c r="C1788" t="s">
        <v>10</v>
      </c>
      <c r="D1788" t="s">
        <v>7240</v>
      </c>
      <c r="E1788" t="s">
        <v>38</v>
      </c>
      <c r="F1788">
        <v>1</v>
      </c>
      <c r="G1788" t="s">
        <v>59</v>
      </c>
      <c r="H1788" t="s">
        <v>14</v>
      </c>
      <c r="I1788" t="s">
        <v>26</v>
      </c>
    </row>
    <row r="1789" spans="1:9" x14ac:dyDescent="0.45">
      <c r="A1789" t="s">
        <v>7241</v>
      </c>
      <c r="B1789" s="2">
        <v>46113</v>
      </c>
      <c r="C1789" t="s">
        <v>10</v>
      </c>
      <c r="D1789" t="s">
        <v>7242</v>
      </c>
      <c r="E1789" t="s">
        <v>42</v>
      </c>
      <c r="F1789">
        <v>9</v>
      </c>
      <c r="G1789" t="s">
        <v>43</v>
      </c>
      <c r="H1789" t="s">
        <v>14</v>
      </c>
      <c r="I1789" t="s">
        <v>31</v>
      </c>
    </row>
    <row r="1790" spans="1:9" x14ac:dyDescent="0.45">
      <c r="A1790" t="s">
        <v>7243</v>
      </c>
      <c r="B1790" s="2">
        <v>46053</v>
      </c>
      <c r="C1790" t="s">
        <v>66</v>
      </c>
      <c r="D1790" t="s">
        <v>7244</v>
      </c>
      <c r="E1790" t="s">
        <v>7974</v>
      </c>
      <c r="F1790">
        <v>10</v>
      </c>
      <c r="G1790" t="s">
        <v>43</v>
      </c>
      <c r="H1790" t="s">
        <v>14</v>
      </c>
      <c r="I1790" t="s">
        <v>60</v>
      </c>
    </row>
    <row r="1791" spans="1:9" x14ac:dyDescent="0.45">
      <c r="A1791" t="s">
        <v>7245</v>
      </c>
      <c r="B1791" s="2">
        <v>46256</v>
      </c>
      <c r="C1791" t="s">
        <v>66</v>
      </c>
      <c r="D1791" t="s">
        <v>7246</v>
      </c>
      <c r="E1791" t="s">
        <v>38</v>
      </c>
      <c r="F1791">
        <v>2</v>
      </c>
      <c r="G1791" t="s">
        <v>55</v>
      </c>
      <c r="H1791" t="s">
        <v>72</v>
      </c>
      <c r="I1791" t="s">
        <v>60</v>
      </c>
    </row>
    <row r="1792" spans="1:9" x14ac:dyDescent="0.45">
      <c r="A1792" t="s">
        <v>7247</v>
      </c>
      <c r="B1792" s="2">
        <v>46220</v>
      </c>
      <c r="C1792" t="s">
        <v>10</v>
      </c>
      <c r="D1792" t="s">
        <v>7248</v>
      </c>
      <c r="E1792" t="s">
        <v>58</v>
      </c>
      <c r="F1792">
        <v>1</v>
      </c>
      <c r="G1792" t="s">
        <v>35</v>
      </c>
      <c r="H1792" t="s">
        <v>25</v>
      </c>
      <c r="I1792" t="s">
        <v>26</v>
      </c>
    </row>
    <row r="1793" spans="1:9" x14ac:dyDescent="0.45">
      <c r="A1793" t="s">
        <v>7249</v>
      </c>
      <c r="B1793" s="2">
        <v>46164</v>
      </c>
      <c r="C1793" t="s">
        <v>99</v>
      </c>
      <c r="D1793" t="s">
        <v>7250</v>
      </c>
      <c r="E1793" t="s">
        <v>75</v>
      </c>
      <c r="F1793">
        <v>11</v>
      </c>
      <c r="G1793" t="s">
        <v>13</v>
      </c>
      <c r="H1793" t="s">
        <v>14</v>
      </c>
      <c r="I1793" t="s">
        <v>31</v>
      </c>
    </row>
    <row r="1794" spans="1:9" x14ac:dyDescent="0.45">
      <c r="A1794" t="s">
        <v>7251</v>
      </c>
      <c r="B1794" s="2">
        <v>46037</v>
      </c>
      <c r="C1794" t="s">
        <v>21</v>
      </c>
      <c r="D1794" t="s">
        <v>7252</v>
      </c>
      <c r="E1794" t="s">
        <v>23</v>
      </c>
      <c r="F1794">
        <v>1</v>
      </c>
      <c r="G1794" t="s">
        <v>24</v>
      </c>
      <c r="H1794" t="s">
        <v>25</v>
      </c>
      <c r="I1794" t="s">
        <v>19</v>
      </c>
    </row>
    <row r="1795" spans="1:9" x14ac:dyDescent="0.45">
      <c r="A1795" t="s">
        <v>7253</v>
      </c>
      <c r="B1795" s="2">
        <v>46120</v>
      </c>
      <c r="C1795" t="s">
        <v>10</v>
      </c>
      <c r="D1795" t="s">
        <v>7254</v>
      </c>
      <c r="E1795" t="s">
        <v>38</v>
      </c>
      <c r="F1795">
        <v>1</v>
      </c>
      <c r="G1795" t="s">
        <v>24</v>
      </c>
      <c r="H1795" t="s">
        <v>25</v>
      </c>
      <c r="I1795" t="s">
        <v>47</v>
      </c>
    </row>
    <row r="1796" spans="1:9" x14ac:dyDescent="0.45">
      <c r="A1796" t="s">
        <v>7255</v>
      </c>
      <c r="B1796" s="2">
        <v>46110</v>
      </c>
      <c r="C1796" t="s">
        <v>66</v>
      </c>
      <c r="D1796" t="s">
        <v>7256</v>
      </c>
      <c r="E1796" t="s">
        <v>58</v>
      </c>
      <c r="F1796">
        <v>1</v>
      </c>
      <c r="G1796" t="s">
        <v>43</v>
      </c>
      <c r="H1796" t="s">
        <v>14</v>
      </c>
      <c r="I1796" t="s">
        <v>60</v>
      </c>
    </row>
    <row r="1797" spans="1:9" x14ac:dyDescent="0.45">
      <c r="A1797" t="s">
        <v>7257</v>
      </c>
      <c r="B1797" s="2">
        <v>46102</v>
      </c>
      <c r="C1797" t="s">
        <v>10</v>
      </c>
      <c r="D1797" t="s">
        <v>7258</v>
      </c>
      <c r="E1797" t="s">
        <v>7974</v>
      </c>
      <c r="F1797">
        <v>10</v>
      </c>
      <c r="G1797" t="s">
        <v>24</v>
      </c>
      <c r="H1797" t="s">
        <v>25</v>
      </c>
      <c r="I1797" t="s">
        <v>19</v>
      </c>
    </row>
    <row r="1798" spans="1:9" x14ac:dyDescent="0.45">
      <c r="A1798" t="s">
        <v>7259</v>
      </c>
      <c r="B1798" s="2">
        <v>46265</v>
      </c>
      <c r="C1798" t="s">
        <v>49</v>
      </c>
      <c r="D1798" t="s">
        <v>7260</v>
      </c>
      <c r="E1798" t="s">
        <v>30</v>
      </c>
      <c r="F1798">
        <v>6</v>
      </c>
      <c r="G1798" t="s">
        <v>18</v>
      </c>
      <c r="H1798" t="s">
        <v>14</v>
      </c>
      <c r="I1798" t="s">
        <v>31</v>
      </c>
    </row>
    <row r="1799" spans="1:9" x14ac:dyDescent="0.45">
      <c r="A1799" t="s">
        <v>7261</v>
      </c>
      <c r="B1799" s="2">
        <v>46043</v>
      </c>
      <c r="C1799" t="s">
        <v>66</v>
      </c>
      <c r="D1799" t="s">
        <v>7262</v>
      </c>
      <c r="E1799" t="s">
        <v>58</v>
      </c>
      <c r="F1799">
        <v>3</v>
      </c>
      <c r="G1799" t="s">
        <v>68</v>
      </c>
      <c r="H1799" t="s">
        <v>25</v>
      </c>
      <c r="I1799" t="s">
        <v>26</v>
      </c>
    </row>
    <row r="1800" spans="1:9" x14ac:dyDescent="0.45">
      <c r="A1800" t="s">
        <v>7263</v>
      </c>
      <c r="B1800" s="2">
        <v>46171</v>
      </c>
      <c r="C1800" t="s">
        <v>99</v>
      </c>
      <c r="D1800" t="s">
        <v>7264</v>
      </c>
      <c r="E1800" t="s">
        <v>7974</v>
      </c>
      <c r="F1800">
        <v>7</v>
      </c>
      <c r="G1800" t="s">
        <v>43</v>
      </c>
      <c r="H1800" t="s">
        <v>14</v>
      </c>
      <c r="I1800" t="s">
        <v>26</v>
      </c>
    </row>
    <row r="1801" spans="1:9" x14ac:dyDescent="0.45">
      <c r="A1801" t="s">
        <v>7265</v>
      </c>
      <c r="B1801" s="2">
        <v>46210</v>
      </c>
      <c r="C1801" t="s">
        <v>10</v>
      </c>
      <c r="D1801" t="s">
        <v>7266</v>
      </c>
      <c r="E1801" t="s">
        <v>71</v>
      </c>
      <c r="F1801">
        <v>5</v>
      </c>
      <c r="G1801" t="s">
        <v>24</v>
      </c>
      <c r="H1801" t="s">
        <v>25</v>
      </c>
      <c r="I1801" t="s">
        <v>31</v>
      </c>
    </row>
    <row r="1802" spans="1:9" x14ac:dyDescent="0.45">
      <c r="A1802" t="s">
        <v>7267</v>
      </c>
      <c r="B1802" s="2">
        <v>46124</v>
      </c>
      <c r="C1802" t="s">
        <v>66</v>
      </c>
      <c r="D1802" t="s">
        <v>7268</v>
      </c>
      <c r="E1802" t="s">
        <v>7974</v>
      </c>
      <c r="F1802">
        <v>4</v>
      </c>
      <c r="G1802" t="s">
        <v>55</v>
      </c>
      <c r="H1802" t="s">
        <v>72</v>
      </c>
      <c r="I1802" t="s">
        <v>31</v>
      </c>
    </row>
    <row r="1803" spans="1:9" x14ac:dyDescent="0.45">
      <c r="A1803" t="s">
        <v>7269</v>
      </c>
      <c r="B1803" s="2">
        <v>46151</v>
      </c>
      <c r="C1803" t="s">
        <v>49</v>
      </c>
      <c r="D1803" t="s">
        <v>7270</v>
      </c>
      <c r="E1803" t="s">
        <v>75</v>
      </c>
      <c r="F1803">
        <v>6</v>
      </c>
      <c r="G1803" t="s">
        <v>59</v>
      </c>
      <c r="H1803" t="s">
        <v>14</v>
      </c>
      <c r="I1803" t="s">
        <v>60</v>
      </c>
    </row>
    <row r="1804" spans="1:9" x14ac:dyDescent="0.45">
      <c r="A1804" t="s">
        <v>7271</v>
      </c>
      <c r="B1804" s="2">
        <v>46164</v>
      </c>
      <c r="C1804" t="s">
        <v>99</v>
      </c>
      <c r="D1804" t="s">
        <v>7272</v>
      </c>
      <c r="E1804" t="s">
        <v>42</v>
      </c>
      <c r="F1804">
        <v>9</v>
      </c>
      <c r="G1804" t="s">
        <v>13</v>
      </c>
      <c r="H1804" t="s">
        <v>14</v>
      </c>
      <c r="I1804" t="s">
        <v>60</v>
      </c>
    </row>
    <row r="1805" spans="1:9" x14ac:dyDescent="0.45">
      <c r="A1805" t="s">
        <v>7273</v>
      </c>
      <c r="B1805" s="2">
        <v>46163</v>
      </c>
      <c r="C1805" t="s">
        <v>16</v>
      </c>
      <c r="D1805" t="s">
        <v>7274</v>
      </c>
      <c r="E1805" t="s">
        <v>54</v>
      </c>
      <c r="F1805">
        <v>5</v>
      </c>
      <c r="G1805" t="s">
        <v>35</v>
      </c>
      <c r="H1805" t="s">
        <v>25</v>
      </c>
      <c r="I1805" t="s">
        <v>19</v>
      </c>
    </row>
    <row r="1806" spans="1:9" x14ac:dyDescent="0.45">
      <c r="A1806" t="s">
        <v>7275</v>
      </c>
      <c r="B1806" s="2">
        <v>46091</v>
      </c>
      <c r="C1806" t="s">
        <v>49</v>
      </c>
      <c r="D1806" t="s">
        <v>7276</v>
      </c>
      <c r="E1806" t="s">
        <v>30</v>
      </c>
      <c r="F1806">
        <v>11</v>
      </c>
      <c r="G1806" t="s">
        <v>68</v>
      </c>
      <c r="H1806" t="s">
        <v>25</v>
      </c>
      <c r="I1806" t="s">
        <v>31</v>
      </c>
    </row>
    <row r="1807" spans="1:9" x14ac:dyDescent="0.45">
      <c r="A1807" t="s">
        <v>7277</v>
      </c>
      <c r="B1807" s="2">
        <v>46108</v>
      </c>
      <c r="C1807" t="s">
        <v>52</v>
      </c>
      <c r="D1807" t="s">
        <v>7278</v>
      </c>
      <c r="E1807" t="s">
        <v>7974</v>
      </c>
      <c r="F1807">
        <v>5</v>
      </c>
      <c r="G1807" t="s">
        <v>13</v>
      </c>
      <c r="H1807" t="s">
        <v>14</v>
      </c>
      <c r="I1807" t="s">
        <v>47</v>
      </c>
    </row>
    <row r="1808" spans="1:9" x14ac:dyDescent="0.45">
      <c r="A1808" t="s">
        <v>7279</v>
      </c>
      <c r="B1808" s="2">
        <v>46217</v>
      </c>
      <c r="C1808" t="s">
        <v>10</v>
      </c>
      <c r="D1808" t="s">
        <v>7280</v>
      </c>
      <c r="E1808" t="s">
        <v>30</v>
      </c>
      <c r="F1808">
        <v>7</v>
      </c>
      <c r="G1808" t="s">
        <v>13</v>
      </c>
      <c r="H1808" t="s">
        <v>14</v>
      </c>
      <c r="I1808" t="s">
        <v>39</v>
      </c>
    </row>
    <row r="1809" spans="1:9" x14ac:dyDescent="0.45">
      <c r="A1809" t="s">
        <v>7281</v>
      </c>
      <c r="B1809" s="2">
        <v>46041</v>
      </c>
      <c r="C1809" t="s">
        <v>28</v>
      </c>
      <c r="D1809" t="s">
        <v>7282</v>
      </c>
      <c r="E1809" t="s">
        <v>71</v>
      </c>
      <c r="F1809">
        <v>7</v>
      </c>
      <c r="G1809" t="s">
        <v>55</v>
      </c>
      <c r="H1809" t="s">
        <v>72</v>
      </c>
      <c r="I1809" t="s">
        <v>26</v>
      </c>
    </row>
    <row r="1810" spans="1:9" x14ac:dyDescent="0.45">
      <c r="A1810" t="s">
        <v>7283</v>
      </c>
      <c r="B1810" s="2">
        <v>46269</v>
      </c>
      <c r="C1810" t="s">
        <v>28</v>
      </c>
      <c r="D1810" t="s">
        <v>7284</v>
      </c>
      <c r="E1810" t="s">
        <v>7974</v>
      </c>
      <c r="F1810">
        <v>9</v>
      </c>
      <c r="G1810" t="s">
        <v>55</v>
      </c>
      <c r="H1810" t="s">
        <v>72</v>
      </c>
      <c r="I1810" t="s">
        <v>60</v>
      </c>
    </row>
    <row r="1811" spans="1:9" x14ac:dyDescent="0.45">
      <c r="A1811" t="s">
        <v>7285</v>
      </c>
      <c r="B1811" s="2">
        <v>46054</v>
      </c>
      <c r="C1811" t="s">
        <v>10</v>
      </c>
      <c r="D1811" t="s">
        <v>7286</v>
      </c>
      <c r="E1811" t="s">
        <v>46</v>
      </c>
      <c r="F1811">
        <v>2</v>
      </c>
      <c r="G1811" t="s">
        <v>55</v>
      </c>
      <c r="H1811" t="s">
        <v>72</v>
      </c>
      <c r="I1811" t="s">
        <v>47</v>
      </c>
    </row>
    <row r="1812" spans="1:9" x14ac:dyDescent="0.45">
      <c r="A1812" t="s">
        <v>7287</v>
      </c>
      <c r="B1812" s="2">
        <v>46191</v>
      </c>
      <c r="C1812" t="s">
        <v>52</v>
      </c>
      <c r="D1812" t="s">
        <v>7288</v>
      </c>
      <c r="E1812" t="s">
        <v>46</v>
      </c>
      <c r="F1812">
        <v>12</v>
      </c>
      <c r="G1812" t="s">
        <v>59</v>
      </c>
      <c r="H1812" t="s">
        <v>14</v>
      </c>
      <c r="I1812" t="s">
        <v>31</v>
      </c>
    </row>
    <row r="1813" spans="1:9" x14ac:dyDescent="0.45">
      <c r="A1813" t="s">
        <v>7289</v>
      </c>
      <c r="B1813" s="2">
        <v>46218</v>
      </c>
      <c r="C1813" t="s">
        <v>28</v>
      </c>
      <c r="D1813" t="s">
        <v>7290</v>
      </c>
      <c r="E1813" t="s">
        <v>46</v>
      </c>
      <c r="F1813">
        <v>10</v>
      </c>
      <c r="G1813" t="s">
        <v>35</v>
      </c>
      <c r="H1813" t="s">
        <v>25</v>
      </c>
      <c r="I1813" t="s">
        <v>60</v>
      </c>
    </row>
    <row r="1814" spans="1:9" x14ac:dyDescent="0.45">
      <c r="A1814" t="s">
        <v>7291</v>
      </c>
      <c r="B1814" s="2">
        <v>46220</v>
      </c>
      <c r="C1814" t="s">
        <v>52</v>
      </c>
      <c r="D1814" t="s">
        <v>7292</v>
      </c>
      <c r="E1814" t="s">
        <v>58</v>
      </c>
      <c r="F1814">
        <v>7</v>
      </c>
      <c r="G1814" t="s">
        <v>43</v>
      </c>
      <c r="H1814" t="s">
        <v>14</v>
      </c>
      <c r="I1814" t="s">
        <v>60</v>
      </c>
    </row>
    <row r="1815" spans="1:9" x14ac:dyDescent="0.45">
      <c r="A1815" t="s">
        <v>7293</v>
      </c>
      <c r="B1815" s="2">
        <v>46047</v>
      </c>
      <c r="C1815" t="s">
        <v>52</v>
      </c>
      <c r="D1815" t="s">
        <v>7294</v>
      </c>
      <c r="E1815" t="s">
        <v>7973</v>
      </c>
      <c r="F1815">
        <v>8</v>
      </c>
      <c r="G1815" t="s">
        <v>68</v>
      </c>
      <c r="H1815" t="s">
        <v>25</v>
      </c>
      <c r="I1815" t="s">
        <v>47</v>
      </c>
    </row>
    <row r="1816" spans="1:9" x14ac:dyDescent="0.45">
      <c r="A1816" t="s">
        <v>7295</v>
      </c>
      <c r="B1816" s="2">
        <v>46160</v>
      </c>
      <c r="C1816" t="s">
        <v>66</v>
      </c>
      <c r="D1816" t="s">
        <v>7296</v>
      </c>
      <c r="E1816" t="s">
        <v>30</v>
      </c>
      <c r="F1816">
        <v>10</v>
      </c>
      <c r="G1816" t="s">
        <v>35</v>
      </c>
      <c r="H1816" t="s">
        <v>25</v>
      </c>
      <c r="I1816" t="s">
        <v>19</v>
      </c>
    </row>
    <row r="1817" spans="1:9" x14ac:dyDescent="0.45">
      <c r="A1817" t="s">
        <v>7297</v>
      </c>
      <c r="B1817" s="2">
        <v>46108</v>
      </c>
      <c r="C1817" t="s">
        <v>66</v>
      </c>
      <c r="D1817" t="s">
        <v>7298</v>
      </c>
      <c r="E1817" t="s">
        <v>7974</v>
      </c>
      <c r="F1817">
        <v>2</v>
      </c>
      <c r="G1817" t="s">
        <v>68</v>
      </c>
      <c r="H1817" t="s">
        <v>25</v>
      </c>
      <c r="I1817" t="s">
        <v>31</v>
      </c>
    </row>
    <row r="1818" spans="1:9" x14ac:dyDescent="0.45">
      <c r="A1818" t="s">
        <v>7299</v>
      </c>
      <c r="B1818" s="2">
        <v>46103</v>
      </c>
      <c r="C1818" t="s">
        <v>49</v>
      </c>
      <c r="D1818" t="s">
        <v>7300</v>
      </c>
      <c r="E1818" t="s">
        <v>42</v>
      </c>
      <c r="F1818">
        <v>11</v>
      </c>
      <c r="G1818" t="s">
        <v>55</v>
      </c>
      <c r="H1818" t="s">
        <v>72</v>
      </c>
      <c r="I1818" t="s">
        <v>26</v>
      </c>
    </row>
    <row r="1819" spans="1:9" x14ac:dyDescent="0.45">
      <c r="A1819" t="s">
        <v>7301</v>
      </c>
      <c r="B1819" s="2">
        <v>46085</v>
      </c>
      <c r="C1819" t="s">
        <v>52</v>
      </c>
      <c r="D1819" t="s">
        <v>7302</v>
      </c>
      <c r="E1819" t="s">
        <v>30</v>
      </c>
      <c r="F1819">
        <v>8</v>
      </c>
      <c r="G1819" t="s">
        <v>13</v>
      </c>
      <c r="H1819" t="s">
        <v>14</v>
      </c>
      <c r="I1819" t="s">
        <v>47</v>
      </c>
    </row>
    <row r="1820" spans="1:9" x14ac:dyDescent="0.45">
      <c r="A1820" t="s">
        <v>7303</v>
      </c>
      <c r="B1820" s="2">
        <v>46152</v>
      </c>
      <c r="C1820" t="s">
        <v>10</v>
      </c>
      <c r="D1820" t="s">
        <v>7304</v>
      </c>
      <c r="E1820" t="s">
        <v>46</v>
      </c>
      <c r="F1820">
        <v>8</v>
      </c>
      <c r="G1820" t="s">
        <v>43</v>
      </c>
      <c r="H1820" t="s">
        <v>14</v>
      </c>
      <c r="I1820" t="s">
        <v>19</v>
      </c>
    </row>
    <row r="1821" spans="1:9" x14ac:dyDescent="0.45">
      <c r="A1821" t="s">
        <v>7305</v>
      </c>
      <c r="B1821" s="2">
        <v>46050</v>
      </c>
      <c r="C1821" t="s">
        <v>52</v>
      </c>
      <c r="D1821" t="s">
        <v>7306</v>
      </c>
      <c r="E1821" t="s">
        <v>7973</v>
      </c>
      <c r="F1821">
        <v>1</v>
      </c>
      <c r="G1821" t="s">
        <v>13</v>
      </c>
      <c r="H1821" t="s">
        <v>14</v>
      </c>
      <c r="I1821" t="s">
        <v>26</v>
      </c>
    </row>
    <row r="1822" spans="1:9" x14ac:dyDescent="0.45">
      <c r="A1822" t="s">
        <v>7307</v>
      </c>
      <c r="B1822" s="2">
        <v>46176</v>
      </c>
      <c r="C1822" t="s">
        <v>66</v>
      </c>
      <c r="D1822" t="s">
        <v>7308</v>
      </c>
      <c r="E1822" t="s">
        <v>7973</v>
      </c>
      <c r="F1822">
        <v>9</v>
      </c>
      <c r="G1822" t="s">
        <v>43</v>
      </c>
      <c r="H1822" t="s">
        <v>14</v>
      </c>
      <c r="I1822" t="s">
        <v>47</v>
      </c>
    </row>
    <row r="1823" spans="1:9" x14ac:dyDescent="0.45">
      <c r="A1823" t="s">
        <v>7309</v>
      </c>
      <c r="B1823" s="2">
        <v>46101</v>
      </c>
      <c r="C1823" t="s">
        <v>49</v>
      </c>
      <c r="D1823" t="s">
        <v>7310</v>
      </c>
      <c r="E1823" t="s">
        <v>7974</v>
      </c>
      <c r="F1823">
        <v>1</v>
      </c>
      <c r="G1823" t="s">
        <v>55</v>
      </c>
      <c r="H1823" t="s">
        <v>72</v>
      </c>
      <c r="I1823" t="s">
        <v>60</v>
      </c>
    </row>
    <row r="1824" spans="1:9" x14ac:dyDescent="0.45">
      <c r="A1824" t="s">
        <v>7311</v>
      </c>
      <c r="B1824" s="2">
        <v>46108</v>
      </c>
      <c r="C1824" t="s">
        <v>49</v>
      </c>
      <c r="D1824" t="s">
        <v>7312</v>
      </c>
      <c r="E1824" t="s">
        <v>7974</v>
      </c>
      <c r="F1824">
        <v>5</v>
      </c>
      <c r="G1824" t="s">
        <v>68</v>
      </c>
      <c r="H1824" t="s">
        <v>25</v>
      </c>
      <c r="I1824" t="s">
        <v>19</v>
      </c>
    </row>
    <row r="1825" spans="1:9" x14ac:dyDescent="0.45">
      <c r="A1825" t="s">
        <v>7313</v>
      </c>
      <c r="B1825" s="2">
        <v>46046</v>
      </c>
      <c r="C1825" t="s">
        <v>21</v>
      </c>
      <c r="D1825" t="s">
        <v>7314</v>
      </c>
      <c r="E1825" t="s">
        <v>7974</v>
      </c>
      <c r="F1825">
        <v>12</v>
      </c>
      <c r="G1825" t="s">
        <v>68</v>
      </c>
      <c r="H1825" t="s">
        <v>25</v>
      </c>
      <c r="I1825" t="s">
        <v>31</v>
      </c>
    </row>
    <row r="1826" spans="1:9" x14ac:dyDescent="0.45">
      <c r="A1826" t="s">
        <v>7315</v>
      </c>
      <c r="B1826" s="2">
        <v>46154</v>
      </c>
      <c r="C1826" t="s">
        <v>10</v>
      </c>
      <c r="D1826" t="s">
        <v>7316</v>
      </c>
      <c r="E1826" t="s">
        <v>75</v>
      </c>
      <c r="F1826">
        <v>9</v>
      </c>
      <c r="G1826" t="s">
        <v>7967</v>
      </c>
      <c r="H1826" t="s">
        <v>25</v>
      </c>
      <c r="I1826" t="s">
        <v>39</v>
      </c>
    </row>
    <row r="1827" spans="1:9" x14ac:dyDescent="0.45">
      <c r="A1827" t="s">
        <v>7317</v>
      </c>
      <c r="B1827" s="2">
        <v>46193</v>
      </c>
      <c r="C1827" t="s">
        <v>66</v>
      </c>
      <c r="D1827" t="s">
        <v>7318</v>
      </c>
      <c r="E1827" t="s">
        <v>54</v>
      </c>
      <c r="F1827">
        <v>6</v>
      </c>
      <c r="G1827" t="s">
        <v>68</v>
      </c>
      <c r="H1827" t="s">
        <v>25</v>
      </c>
      <c r="I1827" t="s">
        <v>39</v>
      </c>
    </row>
    <row r="1828" spans="1:9" x14ac:dyDescent="0.45">
      <c r="A1828" t="s">
        <v>7319</v>
      </c>
      <c r="B1828" s="2">
        <v>46172</v>
      </c>
      <c r="C1828" t="s">
        <v>99</v>
      </c>
      <c r="D1828" t="s">
        <v>7320</v>
      </c>
      <c r="E1828" t="s">
        <v>30</v>
      </c>
      <c r="F1828">
        <v>7</v>
      </c>
      <c r="G1828" t="s">
        <v>59</v>
      </c>
      <c r="H1828" t="s">
        <v>14</v>
      </c>
      <c r="I1828" t="s">
        <v>19</v>
      </c>
    </row>
    <row r="1829" spans="1:9" x14ac:dyDescent="0.45">
      <c r="A1829" t="s">
        <v>7321</v>
      </c>
      <c r="B1829" s="2">
        <v>46165</v>
      </c>
      <c r="C1829" t="s">
        <v>52</v>
      </c>
      <c r="D1829" t="s">
        <v>7322</v>
      </c>
      <c r="E1829" t="s">
        <v>7974</v>
      </c>
      <c r="F1829">
        <v>1</v>
      </c>
      <c r="G1829" t="s">
        <v>55</v>
      </c>
      <c r="H1829" t="s">
        <v>72</v>
      </c>
      <c r="I1829" t="s">
        <v>26</v>
      </c>
    </row>
    <row r="1830" spans="1:9" x14ac:dyDescent="0.45">
      <c r="A1830" t="s">
        <v>7323</v>
      </c>
      <c r="B1830" s="2">
        <v>46189</v>
      </c>
      <c r="C1830" t="s">
        <v>21</v>
      </c>
      <c r="D1830" t="s">
        <v>7324</v>
      </c>
      <c r="E1830" t="s">
        <v>46</v>
      </c>
      <c r="F1830">
        <v>5</v>
      </c>
      <c r="G1830" t="s">
        <v>18</v>
      </c>
      <c r="H1830" t="s">
        <v>14</v>
      </c>
      <c r="I1830" t="s">
        <v>19</v>
      </c>
    </row>
    <row r="1831" spans="1:9" x14ac:dyDescent="0.45">
      <c r="A1831" t="s">
        <v>7325</v>
      </c>
      <c r="B1831" s="2">
        <v>46185</v>
      </c>
      <c r="C1831" t="s">
        <v>28</v>
      </c>
      <c r="D1831" t="s">
        <v>7326</v>
      </c>
      <c r="E1831" t="s">
        <v>54</v>
      </c>
      <c r="F1831">
        <v>6</v>
      </c>
      <c r="G1831" t="s">
        <v>43</v>
      </c>
      <c r="H1831" t="s">
        <v>14</v>
      </c>
      <c r="I1831" t="s">
        <v>19</v>
      </c>
    </row>
    <row r="1832" spans="1:9" x14ac:dyDescent="0.45">
      <c r="A1832" t="s">
        <v>7327</v>
      </c>
      <c r="B1832" s="2">
        <v>46261</v>
      </c>
      <c r="C1832" t="s">
        <v>16</v>
      </c>
      <c r="D1832" t="s">
        <v>7328</v>
      </c>
      <c r="E1832" t="s">
        <v>46</v>
      </c>
      <c r="F1832">
        <v>1</v>
      </c>
      <c r="G1832" t="s">
        <v>59</v>
      </c>
      <c r="H1832" t="s">
        <v>14</v>
      </c>
      <c r="I1832" t="s">
        <v>47</v>
      </c>
    </row>
    <row r="1833" spans="1:9" x14ac:dyDescent="0.45">
      <c r="A1833" t="s">
        <v>7329</v>
      </c>
      <c r="B1833" s="2">
        <v>46150</v>
      </c>
      <c r="C1833" t="s">
        <v>28</v>
      </c>
      <c r="D1833" t="s">
        <v>7330</v>
      </c>
      <c r="E1833" t="s">
        <v>34</v>
      </c>
      <c r="F1833">
        <v>10</v>
      </c>
      <c r="G1833" t="s">
        <v>18</v>
      </c>
      <c r="H1833" t="s">
        <v>14</v>
      </c>
      <c r="I1833" t="s">
        <v>19</v>
      </c>
    </row>
    <row r="1834" spans="1:9" x14ac:dyDescent="0.45">
      <c r="A1834" t="s">
        <v>7331</v>
      </c>
      <c r="B1834" s="2">
        <v>46183</v>
      </c>
      <c r="C1834" t="s">
        <v>10</v>
      </c>
      <c r="D1834" t="s">
        <v>7332</v>
      </c>
      <c r="E1834" t="s">
        <v>23</v>
      </c>
      <c r="F1834">
        <v>10</v>
      </c>
      <c r="G1834" t="s">
        <v>18</v>
      </c>
      <c r="H1834" t="s">
        <v>14</v>
      </c>
      <c r="I1834" t="s">
        <v>31</v>
      </c>
    </row>
    <row r="1835" spans="1:9" x14ac:dyDescent="0.45">
      <c r="A1835" t="s">
        <v>7333</v>
      </c>
      <c r="B1835" s="2">
        <v>46035</v>
      </c>
      <c r="C1835" t="s">
        <v>52</v>
      </c>
      <c r="D1835" t="s">
        <v>7334</v>
      </c>
      <c r="E1835" t="s">
        <v>30</v>
      </c>
      <c r="F1835">
        <v>6</v>
      </c>
      <c r="G1835" t="s">
        <v>18</v>
      </c>
      <c r="H1835" t="s">
        <v>14</v>
      </c>
      <c r="I1835" t="s">
        <v>47</v>
      </c>
    </row>
    <row r="1836" spans="1:9" x14ac:dyDescent="0.45">
      <c r="A1836" t="s">
        <v>7335</v>
      </c>
      <c r="B1836" s="2">
        <v>46255</v>
      </c>
      <c r="C1836" t="s">
        <v>66</v>
      </c>
      <c r="D1836" t="s">
        <v>7336</v>
      </c>
      <c r="E1836" t="s">
        <v>75</v>
      </c>
      <c r="F1836">
        <v>3</v>
      </c>
      <c r="G1836" t="s">
        <v>13</v>
      </c>
      <c r="H1836" t="s">
        <v>14</v>
      </c>
      <c r="I1836" t="s">
        <v>47</v>
      </c>
    </row>
    <row r="1837" spans="1:9" x14ac:dyDescent="0.45">
      <c r="A1837" t="s">
        <v>7337</v>
      </c>
      <c r="B1837" s="2">
        <v>46098</v>
      </c>
      <c r="C1837" t="s">
        <v>66</v>
      </c>
      <c r="D1837" t="s">
        <v>7338</v>
      </c>
      <c r="E1837" t="s">
        <v>71</v>
      </c>
      <c r="F1837">
        <v>6</v>
      </c>
      <c r="G1837" t="s">
        <v>55</v>
      </c>
      <c r="H1837" t="s">
        <v>72</v>
      </c>
      <c r="I1837" t="s">
        <v>19</v>
      </c>
    </row>
    <row r="1838" spans="1:9" x14ac:dyDescent="0.45">
      <c r="A1838" t="s">
        <v>7339</v>
      </c>
      <c r="B1838" s="2">
        <v>46129</v>
      </c>
      <c r="C1838" t="s">
        <v>16</v>
      </c>
      <c r="D1838" t="s">
        <v>7340</v>
      </c>
      <c r="E1838" t="s">
        <v>54</v>
      </c>
      <c r="F1838">
        <v>7</v>
      </c>
      <c r="G1838" t="s">
        <v>43</v>
      </c>
      <c r="H1838" t="s">
        <v>14</v>
      </c>
      <c r="I1838" t="s">
        <v>39</v>
      </c>
    </row>
    <row r="1839" spans="1:9" x14ac:dyDescent="0.45">
      <c r="A1839" t="s">
        <v>7341</v>
      </c>
      <c r="B1839" s="2">
        <v>46209</v>
      </c>
      <c r="C1839" t="s">
        <v>16</v>
      </c>
      <c r="D1839" t="s">
        <v>7342</v>
      </c>
      <c r="E1839" t="s">
        <v>42</v>
      </c>
      <c r="F1839">
        <v>2</v>
      </c>
      <c r="G1839" t="s">
        <v>59</v>
      </c>
      <c r="H1839" t="s">
        <v>14</v>
      </c>
      <c r="I1839" t="s">
        <v>60</v>
      </c>
    </row>
    <row r="1840" spans="1:9" x14ac:dyDescent="0.45">
      <c r="A1840" t="s">
        <v>7343</v>
      </c>
      <c r="B1840" s="2">
        <v>46039</v>
      </c>
      <c r="C1840" t="s">
        <v>66</v>
      </c>
      <c r="D1840" t="s">
        <v>7344</v>
      </c>
      <c r="E1840" t="s">
        <v>75</v>
      </c>
      <c r="F1840">
        <v>2</v>
      </c>
      <c r="G1840" t="s">
        <v>59</v>
      </c>
      <c r="H1840" t="s">
        <v>14</v>
      </c>
      <c r="I1840" t="s">
        <v>47</v>
      </c>
    </row>
    <row r="1841" spans="1:9" x14ac:dyDescent="0.45">
      <c r="A1841" t="s">
        <v>7345</v>
      </c>
      <c r="B1841" s="2">
        <v>46130</v>
      </c>
      <c r="C1841" t="s">
        <v>28</v>
      </c>
      <c r="D1841" t="s">
        <v>7346</v>
      </c>
      <c r="E1841" t="s">
        <v>58</v>
      </c>
      <c r="F1841">
        <v>8</v>
      </c>
      <c r="G1841" t="s">
        <v>24</v>
      </c>
      <c r="H1841" t="s">
        <v>25</v>
      </c>
      <c r="I1841" t="s">
        <v>26</v>
      </c>
    </row>
    <row r="1842" spans="1:9" x14ac:dyDescent="0.45">
      <c r="A1842" t="s">
        <v>7347</v>
      </c>
      <c r="B1842" s="2">
        <v>46179</v>
      </c>
      <c r="C1842" t="s">
        <v>66</v>
      </c>
      <c r="D1842" t="s">
        <v>7348</v>
      </c>
      <c r="E1842" t="s">
        <v>58</v>
      </c>
      <c r="F1842">
        <v>6</v>
      </c>
      <c r="G1842" t="s">
        <v>59</v>
      </c>
      <c r="H1842" t="s">
        <v>14</v>
      </c>
      <c r="I1842" t="s">
        <v>60</v>
      </c>
    </row>
    <row r="1843" spans="1:9" x14ac:dyDescent="0.45">
      <c r="A1843" t="s">
        <v>7349</v>
      </c>
      <c r="B1843" s="2">
        <v>46208</v>
      </c>
      <c r="C1843" t="s">
        <v>16</v>
      </c>
      <c r="D1843" t="s">
        <v>7350</v>
      </c>
      <c r="E1843" t="s">
        <v>71</v>
      </c>
      <c r="F1843">
        <v>5</v>
      </c>
      <c r="G1843" t="s">
        <v>24</v>
      </c>
      <c r="H1843" t="s">
        <v>25</v>
      </c>
      <c r="I1843" t="s">
        <v>19</v>
      </c>
    </row>
    <row r="1844" spans="1:9" x14ac:dyDescent="0.45">
      <c r="A1844" t="s">
        <v>7351</v>
      </c>
      <c r="B1844" s="2">
        <v>46040</v>
      </c>
      <c r="C1844" t="s">
        <v>99</v>
      </c>
      <c r="D1844" t="s">
        <v>7352</v>
      </c>
      <c r="E1844" t="s">
        <v>46</v>
      </c>
      <c r="F1844">
        <v>6</v>
      </c>
      <c r="G1844" t="s">
        <v>13</v>
      </c>
      <c r="H1844" t="s">
        <v>14</v>
      </c>
      <c r="I1844" t="s">
        <v>31</v>
      </c>
    </row>
    <row r="1845" spans="1:9" x14ac:dyDescent="0.45">
      <c r="A1845" t="s">
        <v>7353</v>
      </c>
      <c r="B1845" s="2">
        <v>46240</v>
      </c>
      <c r="C1845" t="s">
        <v>66</v>
      </c>
      <c r="D1845" t="s">
        <v>7354</v>
      </c>
      <c r="E1845" t="s">
        <v>7974</v>
      </c>
      <c r="F1845">
        <v>3</v>
      </c>
      <c r="G1845" t="s">
        <v>18</v>
      </c>
      <c r="H1845" t="s">
        <v>14</v>
      </c>
      <c r="I1845" t="s">
        <v>31</v>
      </c>
    </row>
    <row r="1846" spans="1:9" x14ac:dyDescent="0.45">
      <c r="A1846" t="s">
        <v>7355</v>
      </c>
      <c r="B1846" s="2">
        <v>46261</v>
      </c>
      <c r="C1846" t="s">
        <v>66</v>
      </c>
      <c r="D1846" t="s">
        <v>7356</v>
      </c>
      <c r="E1846" t="s">
        <v>75</v>
      </c>
      <c r="F1846">
        <v>10</v>
      </c>
      <c r="G1846" t="s">
        <v>59</v>
      </c>
      <c r="H1846" t="s">
        <v>14</v>
      </c>
      <c r="I1846" t="s">
        <v>31</v>
      </c>
    </row>
    <row r="1847" spans="1:9" x14ac:dyDescent="0.45">
      <c r="A1847" t="s">
        <v>7357</v>
      </c>
      <c r="B1847" s="2">
        <v>46091</v>
      </c>
      <c r="C1847" t="s">
        <v>66</v>
      </c>
      <c r="D1847" t="s">
        <v>7358</v>
      </c>
      <c r="E1847" t="s">
        <v>7973</v>
      </c>
      <c r="F1847">
        <v>3</v>
      </c>
      <c r="G1847" t="s">
        <v>68</v>
      </c>
      <c r="H1847" t="s">
        <v>25</v>
      </c>
      <c r="I1847" t="s">
        <v>39</v>
      </c>
    </row>
    <row r="1848" spans="1:9" x14ac:dyDescent="0.45">
      <c r="A1848" t="s">
        <v>7359</v>
      </c>
      <c r="B1848" s="2">
        <v>46160</v>
      </c>
      <c r="C1848" t="s">
        <v>52</v>
      </c>
      <c r="D1848" t="s">
        <v>7360</v>
      </c>
      <c r="E1848" t="s">
        <v>34</v>
      </c>
      <c r="F1848">
        <v>6</v>
      </c>
      <c r="G1848" t="s">
        <v>68</v>
      </c>
      <c r="H1848" t="s">
        <v>25</v>
      </c>
      <c r="I1848" t="s">
        <v>31</v>
      </c>
    </row>
    <row r="1849" spans="1:9" x14ac:dyDescent="0.45">
      <c r="A1849" t="s">
        <v>7361</v>
      </c>
      <c r="B1849" s="2">
        <v>46183</v>
      </c>
      <c r="C1849" t="s">
        <v>66</v>
      </c>
      <c r="D1849" t="s">
        <v>7362</v>
      </c>
      <c r="E1849" t="s">
        <v>23</v>
      </c>
      <c r="F1849">
        <v>4</v>
      </c>
      <c r="G1849" t="s">
        <v>24</v>
      </c>
      <c r="H1849" t="s">
        <v>25</v>
      </c>
      <c r="I1849" t="s">
        <v>60</v>
      </c>
    </row>
    <row r="1850" spans="1:9" x14ac:dyDescent="0.45">
      <c r="A1850" t="s">
        <v>7363</v>
      </c>
      <c r="B1850" s="2">
        <v>46191</v>
      </c>
      <c r="C1850" t="s">
        <v>66</v>
      </c>
      <c r="D1850" t="s">
        <v>7364</v>
      </c>
      <c r="E1850" t="s">
        <v>58</v>
      </c>
      <c r="F1850">
        <v>10</v>
      </c>
      <c r="G1850" t="s">
        <v>68</v>
      </c>
      <c r="H1850" t="s">
        <v>25</v>
      </c>
      <c r="I1850" t="s">
        <v>39</v>
      </c>
    </row>
    <row r="1851" spans="1:9" x14ac:dyDescent="0.45">
      <c r="A1851" t="s">
        <v>7365</v>
      </c>
      <c r="B1851" s="2">
        <v>46061</v>
      </c>
      <c r="C1851" t="s">
        <v>49</v>
      </c>
      <c r="D1851" t="s">
        <v>7366</v>
      </c>
      <c r="E1851" t="s">
        <v>75</v>
      </c>
      <c r="F1851">
        <v>9</v>
      </c>
      <c r="G1851" t="s">
        <v>35</v>
      </c>
      <c r="H1851" t="s">
        <v>25</v>
      </c>
      <c r="I1851" t="s">
        <v>60</v>
      </c>
    </row>
    <row r="1852" spans="1:9" x14ac:dyDescent="0.45">
      <c r="A1852" t="s">
        <v>7367</v>
      </c>
      <c r="B1852" s="2">
        <v>46130</v>
      </c>
      <c r="C1852" t="s">
        <v>66</v>
      </c>
      <c r="D1852" t="s">
        <v>7368</v>
      </c>
      <c r="E1852" t="s">
        <v>46</v>
      </c>
      <c r="F1852">
        <v>11</v>
      </c>
      <c r="G1852" t="s">
        <v>24</v>
      </c>
      <c r="H1852" t="s">
        <v>25</v>
      </c>
      <c r="I1852" t="s">
        <v>26</v>
      </c>
    </row>
    <row r="1853" spans="1:9" x14ac:dyDescent="0.45">
      <c r="A1853" t="s">
        <v>7369</v>
      </c>
      <c r="B1853" s="2">
        <v>46222</v>
      </c>
      <c r="C1853" t="s">
        <v>52</v>
      </c>
      <c r="D1853" t="s">
        <v>7370</v>
      </c>
      <c r="E1853" t="s">
        <v>58</v>
      </c>
      <c r="F1853">
        <v>7</v>
      </c>
      <c r="G1853" t="s">
        <v>55</v>
      </c>
      <c r="H1853" t="s">
        <v>72</v>
      </c>
      <c r="I1853" t="s">
        <v>26</v>
      </c>
    </row>
    <row r="1854" spans="1:9" x14ac:dyDescent="0.45">
      <c r="A1854" t="s">
        <v>7371</v>
      </c>
      <c r="B1854" s="2">
        <v>46082</v>
      </c>
      <c r="C1854" t="s">
        <v>10</v>
      </c>
      <c r="D1854" t="s">
        <v>7372</v>
      </c>
      <c r="E1854" t="s">
        <v>75</v>
      </c>
      <c r="F1854">
        <v>4</v>
      </c>
      <c r="G1854" t="s">
        <v>18</v>
      </c>
      <c r="H1854" t="s">
        <v>14</v>
      </c>
      <c r="I1854" t="s">
        <v>60</v>
      </c>
    </row>
    <row r="1855" spans="1:9" x14ac:dyDescent="0.45">
      <c r="A1855" t="s">
        <v>7373</v>
      </c>
      <c r="B1855" s="2">
        <v>46100</v>
      </c>
      <c r="C1855" t="s">
        <v>66</v>
      </c>
      <c r="D1855" t="s">
        <v>7374</v>
      </c>
      <c r="E1855" t="s">
        <v>38</v>
      </c>
      <c r="F1855">
        <v>11</v>
      </c>
      <c r="G1855" t="s">
        <v>13</v>
      </c>
      <c r="H1855" t="s">
        <v>14</v>
      </c>
      <c r="I1855" t="s">
        <v>60</v>
      </c>
    </row>
    <row r="1856" spans="1:9" x14ac:dyDescent="0.45">
      <c r="A1856" t="s">
        <v>7375</v>
      </c>
      <c r="B1856" s="2">
        <v>46159</v>
      </c>
      <c r="C1856" t="s">
        <v>16</v>
      </c>
      <c r="D1856" t="s">
        <v>7376</v>
      </c>
      <c r="E1856" t="s">
        <v>42</v>
      </c>
      <c r="F1856">
        <v>3</v>
      </c>
      <c r="G1856" t="s">
        <v>35</v>
      </c>
      <c r="H1856" t="s">
        <v>25</v>
      </c>
      <c r="I1856" t="s">
        <v>26</v>
      </c>
    </row>
    <row r="1857" spans="1:9" x14ac:dyDescent="0.45">
      <c r="A1857" t="s">
        <v>7377</v>
      </c>
      <c r="B1857" s="2">
        <v>46102</v>
      </c>
      <c r="C1857" t="s">
        <v>16</v>
      </c>
      <c r="D1857" t="s">
        <v>7378</v>
      </c>
      <c r="E1857" t="s">
        <v>34</v>
      </c>
      <c r="F1857">
        <v>7</v>
      </c>
      <c r="G1857" t="s">
        <v>18</v>
      </c>
      <c r="H1857" t="s">
        <v>14</v>
      </c>
      <c r="I1857" t="s">
        <v>60</v>
      </c>
    </row>
    <row r="1858" spans="1:9" x14ac:dyDescent="0.45">
      <c r="A1858" t="s">
        <v>7379</v>
      </c>
      <c r="B1858" s="2">
        <v>46184</v>
      </c>
      <c r="C1858" t="s">
        <v>21</v>
      </c>
      <c r="D1858" t="s">
        <v>7380</v>
      </c>
      <c r="E1858" t="s">
        <v>46</v>
      </c>
      <c r="F1858">
        <v>12</v>
      </c>
      <c r="G1858" t="s">
        <v>43</v>
      </c>
      <c r="H1858" t="s">
        <v>14</v>
      </c>
      <c r="I1858" t="s">
        <v>47</v>
      </c>
    </row>
    <row r="1859" spans="1:9" x14ac:dyDescent="0.45">
      <c r="A1859" t="s">
        <v>7381</v>
      </c>
      <c r="B1859" s="2">
        <v>46226</v>
      </c>
      <c r="C1859" t="s">
        <v>21</v>
      </c>
      <c r="D1859" t="s">
        <v>7382</v>
      </c>
      <c r="E1859" t="s">
        <v>23</v>
      </c>
      <c r="F1859">
        <v>3</v>
      </c>
      <c r="G1859" t="s">
        <v>55</v>
      </c>
      <c r="H1859" t="s">
        <v>72</v>
      </c>
      <c r="I1859" t="s">
        <v>26</v>
      </c>
    </row>
    <row r="1860" spans="1:9" x14ac:dyDescent="0.45">
      <c r="A1860" t="s">
        <v>7383</v>
      </c>
      <c r="B1860" s="2">
        <v>46082</v>
      </c>
      <c r="C1860" t="s">
        <v>49</v>
      </c>
      <c r="D1860" t="s">
        <v>7384</v>
      </c>
      <c r="E1860" t="s">
        <v>54</v>
      </c>
      <c r="F1860">
        <v>11</v>
      </c>
      <c r="G1860" t="s">
        <v>43</v>
      </c>
      <c r="H1860" t="s">
        <v>14</v>
      </c>
      <c r="I1860" t="s">
        <v>31</v>
      </c>
    </row>
    <row r="1861" spans="1:9" x14ac:dyDescent="0.45">
      <c r="A1861" t="s">
        <v>7385</v>
      </c>
      <c r="B1861" s="2">
        <v>46166</v>
      </c>
      <c r="C1861" t="s">
        <v>16</v>
      </c>
      <c r="D1861" t="s">
        <v>7386</v>
      </c>
      <c r="E1861" t="s">
        <v>30</v>
      </c>
      <c r="F1861">
        <v>7</v>
      </c>
      <c r="G1861" t="s">
        <v>35</v>
      </c>
      <c r="H1861" t="s">
        <v>25</v>
      </c>
      <c r="I1861" t="s">
        <v>39</v>
      </c>
    </row>
    <row r="1862" spans="1:9" x14ac:dyDescent="0.45">
      <c r="A1862" t="s">
        <v>7387</v>
      </c>
      <c r="B1862" s="2">
        <v>46148</v>
      </c>
      <c r="C1862" t="s">
        <v>21</v>
      </c>
      <c r="D1862" t="s">
        <v>7388</v>
      </c>
      <c r="E1862" t="s">
        <v>7974</v>
      </c>
      <c r="F1862">
        <v>12</v>
      </c>
      <c r="G1862" t="s">
        <v>59</v>
      </c>
      <c r="H1862" t="s">
        <v>14</v>
      </c>
      <c r="I1862" t="s">
        <v>26</v>
      </c>
    </row>
    <row r="1863" spans="1:9" x14ac:dyDescent="0.45">
      <c r="A1863" t="s">
        <v>7389</v>
      </c>
      <c r="B1863" s="2">
        <v>46036</v>
      </c>
      <c r="C1863" t="s">
        <v>10</v>
      </c>
      <c r="D1863" t="s">
        <v>7390</v>
      </c>
      <c r="E1863" t="s">
        <v>38</v>
      </c>
      <c r="F1863">
        <v>4</v>
      </c>
      <c r="G1863" t="s">
        <v>35</v>
      </c>
      <c r="H1863" t="s">
        <v>25</v>
      </c>
      <c r="I1863" t="s">
        <v>47</v>
      </c>
    </row>
    <row r="1864" spans="1:9" x14ac:dyDescent="0.45">
      <c r="A1864" t="s">
        <v>7391</v>
      </c>
      <c r="B1864" s="2">
        <v>46076</v>
      </c>
      <c r="C1864" t="s">
        <v>66</v>
      </c>
      <c r="D1864" t="s">
        <v>7392</v>
      </c>
      <c r="E1864" t="s">
        <v>34</v>
      </c>
      <c r="F1864">
        <v>11</v>
      </c>
      <c r="G1864" t="s">
        <v>24</v>
      </c>
      <c r="H1864" t="s">
        <v>25</v>
      </c>
      <c r="I1864" t="s">
        <v>47</v>
      </c>
    </row>
    <row r="1865" spans="1:9" x14ac:dyDescent="0.45">
      <c r="A1865" t="s">
        <v>7393</v>
      </c>
      <c r="B1865" s="2">
        <v>46058</v>
      </c>
      <c r="C1865" t="s">
        <v>16</v>
      </c>
      <c r="D1865" t="s">
        <v>7394</v>
      </c>
      <c r="E1865" t="s">
        <v>30</v>
      </c>
      <c r="F1865">
        <v>2</v>
      </c>
      <c r="G1865" t="s">
        <v>18</v>
      </c>
      <c r="H1865" t="s">
        <v>14</v>
      </c>
      <c r="I1865" t="s">
        <v>26</v>
      </c>
    </row>
    <row r="1866" spans="1:9" x14ac:dyDescent="0.45">
      <c r="A1866" t="s">
        <v>7395</v>
      </c>
      <c r="B1866" s="2">
        <v>46266</v>
      </c>
      <c r="C1866" t="s">
        <v>10</v>
      </c>
      <c r="D1866" t="s">
        <v>7396</v>
      </c>
      <c r="E1866" t="s">
        <v>46</v>
      </c>
      <c r="F1866">
        <v>1</v>
      </c>
      <c r="G1866" t="s">
        <v>43</v>
      </c>
      <c r="H1866" t="s">
        <v>14</v>
      </c>
      <c r="I1866" t="s">
        <v>7967</v>
      </c>
    </row>
    <row r="1867" spans="1:9" x14ac:dyDescent="0.45">
      <c r="A1867" t="s">
        <v>7397</v>
      </c>
      <c r="B1867" s="2">
        <v>46268</v>
      </c>
      <c r="C1867" t="s">
        <v>21</v>
      </c>
      <c r="D1867" t="s">
        <v>7398</v>
      </c>
      <c r="E1867" t="s">
        <v>7973</v>
      </c>
      <c r="F1867">
        <v>2</v>
      </c>
      <c r="G1867" t="s">
        <v>59</v>
      </c>
      <c r="H1867" t="s">
        <v>14</v>
      </c>
      <c r="I1867" t="s">
        <v>31</v>
      </c>
    </row>
    <row r="1868" spans="1:9" x14ac:dyDescent="0.45">
      <c r="A1868" t="s">
        <v>7399</v>
      </c>
      <c r="B1868" s="2">
        <v>46254</v>
      </c>
      <c r="C1868" t="s">
        <v>21</v>
      </c>
      <c r="D1868" t="s">
        <v>7400</v>
      </c>
      <c r="E1868" t="s">
        <v>38</v>
      </c>
      <c r="F1868">
        <v>5</v>
      </c>
      <c r="G1868" t="s">
        <v>59</v>
      </c>
      <c r="H1868" t="s">
        <v>14</v>
      </c>
      <c r="I1868" t="s">
        <v>19</v>
      </c>
    </row>
    <row r="1869" spans="1:9" x14ac:dyDescent="0.45">
      <c r="A1869" t="s">
        <v>7401</v>
      </c>
      <c r="B1869" s="2">
        <v>46148</v>
      </c>
      <c r="C1869" t="s">
        <v>16</v>
      </c>
      <c r="D1869" t="s">
        <v>7402</v>
      </c>
      <c r="E1869" t="s">
        <v>54</v>
      </c>
      <c r="F1869">
        <v>3</v>
      </c>
      <c r="G1869" t="s">
        <v>55</v>
      </c>
      <c r="H1869" t="s">
        <v>72</v>
      </c>
      <c r="I1869" t="s">
        <v>39</v>
      </c>
    </row>
    <row r="1870" spans="1:9" x14ac:dyDescent="0.45">
      <c r="A1870" t="s">
        <v>7403</v>
      </c>
      <c r="B1870" s="2">
        <v>46224</v>
      </c>
      <c r="C1870" t="s">
        <v>16</v>
      </c>
      <c r="D1870" t="s">
        <v>7404</v>
      </c>
      <c r="E1870" t="s">
        <v>46</v>
      </c>
      <c r="F1870">
        <v>4</v>
      </c>
      <c r="G1870" t="s">
        <v>24</v>
      </c>
      <c r="H1870" t="s">
        <v>25</v>
      </c>
      <c r="I1870" t="s">
        <v>31</v>
      </c>
    </row>
    <row r="1871" spans="1:9" x14ac:dyDescent="0.45">
      <c r="A1871" t="s">
        <v>7405</v>
      </c>
      <c r="B1871" s="2">
        <v>46172</v>
      </c>
      <c r="C1871" t="s">
        <v>21</v>
      </c>
      <c r="D1871" t="s">
        <v>7406</v>
      </c>
      <c r="E1871" t="s">
        <v>7974</v>
      </c>
      <c r="F1871">
        <v>12</v>
      </c>
      <c r="G1871" t="s">
        <v>43</v>
      </c>
      <c r="H1871" t="s">
        <v>14</v>
      </c>
      <c r="I1871" t="s">
        <v>19</v>
      </c>
    </row>
    <row r="1872" spans="1:9" x14ac:dyDescent="0.45">
      <c r="A1872" t="s">
        <v>7407</v>
      </c>
      <c r="B1872" s="2">
        <v>46208</v>
      </c>
      <c r="C1872" t="s">
        <v>16</v>
      </c>
      <c r="D1872" t="s">
        <v>7408</v>
      </c>
      <c r="E1872" t="s">
        <v>7973</v>
      </c>
      <c r="F1872">
        <v>3</v>
      </c>
      <c r="G1872" t="s">
        <v>55</v>
      </c>
      <c r="H1872" t="s">
        <v>72</v>
      </c>
      <c r="I1872" t="s">
        <v>26</v>
      </c>
    </row>
    <row r="1873" spans="1:9" x14ac:dyDescent="0.45">
      <c r="A1873" t="s">
        <v>7409</v>
      </c>
      <c r="B1873" s="2">
        <v>46174</v>
      </c>
      <c r="C1873" t="s">
        <v>52</v>
      </c>
      <c r="D1873" t="s">
        <v>7410</v>
      </c>
      <c r="E1873" t="s">
        <v>23</v>
      </c>
      <c r="F1873">
        <v>1</v>
      </c>
      <c r="G1873" t="s">
        <v>55</v>
      </c>
      <c r="H1873" t="s">
        <v>72</v>
      </c>
      <c r="I1873" t="s">
        <v>26</v>
      </c>
    </row>
    <row r="1874" spans="1:9" x14ac:dyDescent="0.45">
      <c r="A1874" t="s">
        <v>7411</v>
      </c>
      <c r="B1874" s="2">
        <v>46197</v>
      </c>
      <c r="C1874" t="s">
        <v>16</v>
      </c>
      <c r="D1874" t="s">
        <v>7412</v>
      </c>
      <c r="E1874" t="s">
        <v>71</v>
      </c>
      <c r="F1874">
        <v>4</v>
      </c>
      <c r="G1874" t="s">
        <v>13</v>
      </c>
      <c r="H1874" t="s">
        <v>14</v>
      </c>
      <c r="I1874" t="s">
        <v>60</v>
      </c>
    </row>
    <row r="1875" spans="1:9" x14ac:dyDescent="0.45">
      <c r="A1875" t="s">
        <v>7413</v>
      </c>
      <c r="B1875" s="2">
        <v>46111</v>
      </c>
      <c r="C1875" t="s">
        <v>52</v>
      </c>
      <c r="D1875" t="s">
        <v>7414</v>
      </c>
      <c r="E1875" t="s">
        <v>7973</v>
      </c>
      <c r="F1875">
        <v>6</v>
      </c>
      <c r="G1875" t="s">
        <v>35</v>
      </c>
      <c r="H1875" t="s">
        <v>25</v>
      </c>
      <c r="I1875" t="s">
        <v>7967</v>
      </c>
    </row>
    <row r="1876" spans="1:9" x14ac:dyDescent="0.45">
      <c r="A1876" t="s">
        <v>7415</v>
      </c>
      <c r="B1876" s="2">
        <v>46135</v>
      </c>
      <c r="C1876" t="s">
        <v>49</v>
      </c>
      <c r="D1876" t="s">
        <v>7416</v>
      </c>
      <c r="E1876" t="s">
        <v>42</v>
      </c>
      <c r="F1876">
        <v>9</v>
      </c>
      <c r="G1876" t="s">
        <v>55</v>
      </c>
      <c r="H1876" t="s">
        <v>72</v>
      </c>
      <c r="I1876" t="s">
        <v>47</v>
      </c>
    </row>
    <row r="1877" spans="1:9" x14ac:dyDescent="0.45">
      <c r="A1877" t="s">
        <v>7417</v>
      </c>
      <c r="B1877" s="2">
        <v>46173</v>
      </c>
      <c r="C1877" t="s">
        <v>49</v>
      </c>
      <c r="D1877" t="s">
        <v>7418</v>
      </c>
      <c r="E1877" t="s">
        <v>23</v>
      </c>
      <c r="F1877">
        <v>7</v>
      </c>
      <c r="G1877" t="s">
        <v>55</v>
      </c>
      <c r="H1877" t="s">
        <v>72</v>
      </c>
      <c r="I1877" t="s">
        <v>60</v>
      </c>
    </row>
    <row r="1878" spans="1:9" x14ac:dyDescent="0.45">
      <c r="A1878" t="s">
        <v>7419</v>
      </c>
      <c r="B1878" s="2">
        <v>46189</v>
      </c>
      <c r="C1878" t="s">
        <v>66</v>
      </c>
      <c r="D1878" t="s">
        <v>7420</v>
      </c>
      <c r="E1878" t="s">
        <v>58</v>
      </c>
      <c r="F1878">
        <v>12</v>
      </c>
      <c r="G1878" t="s">
        <v>35</v>
      </c>
      <c r="H1878" t="s">
        <v>25</v>
      </c>
      <c r="I1878" t="s">
        <v>47</v>
      </c>
    </row>
    <row r="1879" spans="1:9" x14ac:dyDescent="0.45">
      <c r="A1879" t="s">
        <v>7421</v>
      </c>
      <c r="B1879" s="2">
        <v>46254</v>
      </c>
      <c r="C1879" t="s">
        <v>16</v>
      </c>
      <c r="D1879" t="s">
        <v>7422</v>
      </c>
      <c r="E1879" t="s">
        <v>866</v>
      </c>
      <c r="F1879">
        <v>3</v>
      </c>
      <c r="G1879" t="s">
        <v>55</v>
      </c>
      <c r="H1879" t="s">
        <v>72</v>
      </c>
      <c r="I1879" t="s">
        <v>39</v>
      </c>
    </row>
    <row r="1880" spans="1:9" x14ac:dyDescent="0.45">
      <c r="A1880" t="s">
        <v>7423</v>
      </c>
      <c r="B1880" s="2">
        <v>46163</v>
      </c>
      <c r="C1880" t="s">
        <v>49</v>
      </c>
      <c r="D1880" t="s">
        <v>7424</v>
      </c>
      <c r="E1880" t="s">
        <v>7974</v>
      </c>
      <c r="F1880">
        <v>7</v>
      </c>
      <c r="G1880" t="s">
        <v>18</v>
      </c>
      <c r="H1880" t="s">
        <v>14</v>
      </c>
      <c r="I1880" t="s">
        <v>60</v>
      </c>
    </row>
    <row r="1881" spans="1:9" x14ac:dyDescent="0.45">
      <c r="A1881" t="s">
        <v>7425</v>
      </c>
      <c r="B1881" s="2">
        <v>46258</v>
      </c>
      <c r="C1881" t="s">
        <v>10</v>
      </c>
      <c r="D1881" t="s">
        <v>7426</v>
      </c>
      <c r="E1881" t="s">
        <v>34</v>
      </c>
      <c r="F1881">
        <v>5</v>
      </c>
      <c r="G1881" t="s">
        <v>18</v>
      </c>
      <c r="H1881" t="s">
        <v>14</v>
      </c>
      <c r="I1881" t="s">
        <v>26</v>
      </c>
    </row>
    <row r="1882" spans="1:9" x14ac:dyDescent="0.45">
      <c r="A1882" t="s">
        <v>7427</v>
      </c>
      <c r="B1882" s="2">
        <v>46192</v>
      </c>
      <c r="C1882" t="s">
        <v>52</v>
      </c>
      <c r="D1882" t="s">
        <v>7428</v>
      </c>
      <c r="E1882" t="s">
        <v>34</v>
      </c>
      <c r="F1882">
        <v>6</v>
      </c>
      <c r="G1882" t="s">
        <v>24</v>
      </c>
      <c r="H1882" t="s">
        <v>25</v>
      </c>
      <c r="I1882" t="s">
        <v>39</v>
      </c>
    </row>
    <row r="1883" spans="1:9" x14ac:dyDescent="0.45">
      <c r="A1883" t="s">
        <v>7429</v>
      </c>
      <c r="B1883" s="2">
        <v>46244</v>
      </c>
      <c r="C1883" t="s">
        <v>52</v>
      </c>
      <c r="D1883" t="s">
        <v>7430</v>
      </c>
      <c r="E1883" t="s">
        <v>23</v>
      </c>
      <c r="F1883">
        <v>6</v>
      </c>
      <c r="G1883" t="s">
        <v>43</v>
      </c>
      <c r="H1883" t="s">
        <v>14</v>
      </c>
      <c r="I1883" t="s">
        <v>31</v>
      </c>
    </row>
    <row r="1884" spans="1:9" x14ac:dyDescent="0.45">
      <c r="A1884" t="s">
        <v>7431</v>
      </c>
      <c r="B1884" s="2">
        <v>46167</v>
      </c>
      <c r="C1884" t="s">
        <v>28</v>
      </c>
      <c r="D1884" t="s">
        <v>7432</v>
      </c>
      <c r="E1884" t="s">
        <v>38</v>
      </c>
      <c r="F1884">
        <v>5</v>
      </c>
      <c r="G1884" t="s">
        <v>18</v>
      </c>
      <c r="H1884" t="s">
        <v>14</v>
      </c>
      <c r="I1884" t="s">
        <v>31</v>
      </c>
    </row>
    <row r="1885" spans="1:9" x14ac:dyDescent="0.45">
      <c r="A1885" t="s">
        <v>7433</v>
      </c>
      <c r="B1885" s="2">
        <v>46057</v>
      </c>
      <c r="C1885" t="s">
        <v>16</v>
      </c>
      <c r="D1885" t="s">
        <v>7434</v>
      </c>
      <c r="E1885" t="s">
        <v>30</v>
      </c>
      <c r="F1885">
        <v>2</v>
      </c>
      <c r="G1885" t="s">
        <v>68</v>
      </c>
      <c r="H1885" t="s">
        <v>25</v>
      </c>
      <c r="I1885" t="s">
        <v>19</v>
      </c>
    </row>
    <row r="1886" spans="1:9" x14ac:dyDescent="0.45">
      <c r="A1886" t="s">
        <v>7435</v>
      </c>
      <c r="B1886" s="2">
        <v>46181</v>
      </c>
      <c r="C1886" t="s">
        <v>49</v>
      </c>
      <c r="D1886" t="s">
        <v>7436</v>
      </c>
      <c r="E1886" t="s">
        <v>46</v>
      </c>
      <c r="F1886">
        <v>9</v>
      </c>
      <c r="G1886" t="s">
        <v>24</v>
      </c>
      <c r="H1886" t="s">
        <v>25</v>
      </c>
      <c r="I1886" t="s">
        <v>19</v>
      </c>
    </row>
    <row r="1887" spans="1:9" x14ac:dyDescent="0.45">
      <c r="A1887" t="s">
        <v>7437</v>
      </c>
      <c r="B1887" s="2">
        <v>46057</v>
      </c>
      <c r="C1887" t="s">
        <v>99</v>
      </c>
      <c r="D1887" t="s">
        <v>7438</v>
      </c>
      <c r="E1887" t="s">
        <v>7974</v>
      </c>
      <c r="F1887">
        <v>12</v>
      </c>
      <c r="G1887" t="s">
        <v>18</v>
      </c>
      <c r="H1887" t="s">
        <v>14</v>
      </c>
      <c r="I1887" t="s">
        <v>39</v>
      </c>
    </row>
    <row r="1888" spans="1:9" x14ac:dyDescent="0.45">
      <c r="A1888" t="s">
        <v>7439</v>
      </c>
      <c r="B1888" s="2">
        <v>46223</v>
      </c>
      <c r="C1888" t="s">
        <v>49</v>
      </c>
      <c r="D1888" t="s">
        <v>7440</v>
      </c>
      <c r="E1888" t="s">
        <v>34</v>
      </c>
      <c r="F1888">
        <v>1</v>
      </c>
      <c r="G1888" t="s">
        <v>13</v>
      </c>
      <c r="H1888" t="s">
        <v>14</v>
      </c>
      <c r="I1888" t="s">
        <v>26</v>
      </c>
    </row>
    <row r="1889" spans="1:9" x14ac:dyDescent="0.45">
      <c r="A1889" t="s">
        <v>7441</v>
      </c>
      <c r="B1889" s="2">
        <v>46123</v>
      </c>
      <c r="C1889" t="s">
        <v>28</v>
      </c>
      <c r="D1889" t="s">
        <v>7442</v>
      </c>
      <c r="E1889" t="s">
        <v>46</v>
      </c>
      <c r="F1889">
        <v>12</v>
      </c>
      <c r="G1889" t="s">
        <v>59</v>
      </c>
      <c r="H1889" t="s">
        <v>14</v>
      </c>
      <c r="I1889" t="s">
        <v>47</v>
      </c>
    </row>
    <row r="1890" spans="1:9" x14ac:dyDescent="0.45">
      <c r="A1890" t="s">
        <v>7443</v>
      </c>
      <c r="B1890" s="2">
        <v>46244</v>
      </c>
      <c r="C1890" t="s">
        <v>10</v>
      </c>
      <c r="D1890" t="s">
        <v>7444</v>
      </c>
      <c r="E1890" t="s">
        <v>71</v>
      </c>
      <c r="F1890">
        <v>8</v>
      </c>
      <c r="G1890" t="s">
        <v>68</v>
      </c>
      <c r="H1890" t="s">
        <v>25</v>
      </c>
      <c r="I1890" t="s">
        <v>47</v>
      </c>
    </row>
    <row r="1891" spans="1:9" x14ac:dyDescent="0.45">
      <c r="A1891" t="s">
        <v>7445</v>
      </c>
      <c r="B1891" s="2">
        <v>46172</v>
      </c>
      <c r="C1891" t="s">
        <v>21</v>
      </c>
      <c r="D1891" t="s">
        <v>7446</v>
      </c>
      <c r="E1891" t="s">
        <v>58</v>
      </c>
      <c r="F1891">
        <v>2</v>
      </c>
      <c r="G1891" t="s">
        <v>18</v>
      </c>
      <c r="H1891" t="s">
        <v>14</v>
      </c>
      <c r="I1891" t="s">
        <v>31</v>
      </c>
    </row>
    <row r="1892" spans="1:9" x14ac:dyDescent="0.45">
      <c r="A1892" t="s">
        <v>7447</v>
      </c>
      <c r="B1892" s="2">
        <v>46256</v>
      </c>
      <c r="C1892" t="s">
        <v>52</v>
      </c>
      <c r="D1892" t="s">
        <v>7448</v>
      </c>
      <c r="E1892" t="s">
        <v>42</v>
      </c>
      <c r="F1892">
        <v>9</v>
      </c>
      <c r="G1892" t="s">
        <v>68</v>
      </c>
      <c r="H1892" t="s">
        <v>25</v>
      </c>
      <c r="I1892" t="s">
        <v>26</v>
      </c>
    </row>
    <row r="1893" spans="1:9" x14ac:dyDescent="0.45">
      <c r="A1893" t="s">
        <v>7449</v>
      </c>
      <c r="B1893" s="2">
        <v>46124</v>
      </c>
      <c r="C1893" t="s">
        <v>52</v>
      </c>
      <c r="D1893" t="s">
        <v>7450</v>
      </c>
      <c r="E1893" t="s">
        <v>23</v>
      </c>
      <c r="F1893">
        <v>10</v>
      </c>
      <c r="G1893" t="s">
        <v>43</v>
      </c>
      <c r="H1893" t="s">
        <v>14</v>
      </c>
      <c r="I1893" t="s">
        <v>31</v>
      </c>
    </row>
    <row r="1894" spans="1:9" x14ac:dyDescent="0.45">
      <c r="A1894" t="s">
        <v>7451</v>
      </c>
      <c r="B1894" s="2">
        <v>46155</v>
      </c>
      <c r="C1894" t="s">
        <v>10</v>
      </c>
      <c r="D1894" t="s">
        <v>7452</v>
      </c>
      <c r="E1894" t="s">
        <v>7974</v>
      </c>
      <c r="F1894">
        <v>8</v>
      </c>
      <c r="G1894" t="s">
        <v>35</v>
      </c>
      <c r="H1894" t="s">
        <v>25</v>
      </c>
      <c r="I1894" t="s">
        <v>39</v>
      </c>
    </row>
    <row r="1895" spans="1:9" x14ac:dyDescent="0.45">
      <c r="A1895" t="s">
        <v>7453</v>
      </c>
      <c r="B1895" s="2">
        <v>46205</v>
      </c>
      <c r="C1895" t="s">
        <v>16</v>
      </c>
      <c r="D1895" t="s">
        <v>7454</v>
      </c>
      <c r="E1895" t="s">
        <v>71</v>
      </c>
      <c r="F1895">
        <v>7</v>
      </c>
      <c r="G1895" t="s">
        <v>13</v>
      </c>
      <c r="H1895" t="s">
        <v>14</v>
      </c>
      <c r="I1895" t="s">
        <v>47</v>
      </c>
    </row>
    <row r="1896" spans="1:9" x14ac:dyDescent="0.45">
      <c r="A1896" t="s">
        <v>7455</v>
      </c>
      <c r="B1896" s="2">
        <v>46091</v>
      </c>
      <c r="C1896" t="s">
        <v>52</v>
      </c>
      <c r="D1896" t="s">
        <v>7456</v>
      </c>
      <c r="E1896" t="s">
        <v>30</v>
      </c>
      <c r="F1896">
        <v>5</v>
      </c>
      <c r="G1896" t="s">
        <v>24</v>
      </c>
      <c r="H1896" t="s">
        <v>25</v>
      </c>
      <c r="I1896" t="s">
        <v>47</v>
      </c>
    </row>
    <row r="1897" spans="1:9" x14ac:dyDescent="0.45">
      <c r="A1897" t="s">
        <v>7457</v>
      </c>
      <c r="B1897" s="2">
        <v>46258</v>
      </c>
      <c r="C1897" t="s">
        <v>66</v>
      </c>
      <c r="D1897" t="s">
        <v>7458</v>
      </c>
      <c r="E1897" t="s">
        <v>7973</v>
      </c>
      <c r="F1897">
        <v>12</v>
      </c>
      <c r="G1897" t="s">
        <v>43</v>
      </c>
      <c r="H1897" t="s">
        <v>14</v>
      </c>
      <c r="I1897" t="s">
        <v>47</v>
      </c>
    </row>
    <row r="1898" spans="1:9" x14ac:dyDescent="0.45">
      <c r="A1898" t="s">
        <v>7459</v>
      </c>
      <c r="B1898" s="2">
        <v>46072</v>
      </c>
      <c r="C1898" t="s">
        <v>28</v>
      </c>
      <c r="D1898" t="s">
        <v>7460</v>
      </c>
      <c r="E1898" t="s">
        <v>34</v>
      </c>
      <c r="F1898">
        <v>8</v>
      </c>
      <c r="G1898" t="s">
        <v>59</v>
      </c>
      <c r="H1898" t="s">
        <v>14</v>
      </c>
      <c r="I1898" t="s">
        <v>47</v>
      </c>
    </row>
    <row r="1899" spans="1:9" x14ac:dyDescent="0.45">
      <c r="A1899" t="s">
        <v>7461</v>
      </c>
      <c r="B1899" s="2">
        <v>46033</v>
      </c>
      <c r="C1899" t="s">
        <v>28</v>
      </c>
      <c r="D1899" t="s">
        <v>7462</v>
      </c>
      <c r="E1899" t="s">
        <v>54</v>
      </c>
      <c r="F1899">
        <v>11</v>
      </c>
      <c r="G1899" t="s">
        <v>24</v>
      </c>
      <c r="H1899" t="s">
        <v>25</v>
      </c>
      <c r="I1899" t="s">
        <v>60</v>
      </c>
    </row>
    <row r="1900" spans="1:9" x14ac:dyDescent="0.45">
      <c r="A1900" t="s">
        <v>7463</v>
      </c>
      <c r="B1900" s="2">
        <v>46049</v>
      </c>
      <c r="C1900" t="s">
        <v>49</v>
      </c>
      <c r="D1900" t="s">
        <v>7464</v>
      </c>
      <c r="E1900" t="s">
        <v>58</v>
      </c>
      <c r="F1900">
        <v>1</v>
      </c>
      <c r="G1900" t="s">
        <v>24</v>
      </c>
      <c r="H1900" t="s">
        <v>25</v>
      </c>
      <c r="I1900" t="s">
        <v>60</v>
      </c>
    </row>
    <row r="1901" spans="1:9" x14ac:dyDescent="0.45">
      <c r="A1901" t="s">
        <v>7465</v>
      </c>
      <c r="B1901" s="2">
        <v>46085</v>
      </c>
      <c r="C1901" t="s">
        <v>52</v>
      </c>
      <c r="D1901" t="s">
        <v>7466</v>
      </c>
      <c r="E1901" t="s">
        <v>23</v>
      </c>
      <c r="F1901">
        <v>12</v>
      </c>
      <c r="G1901" t="s">
        <v>68</v>
      </c>
      <c r="H1901" t="s">
        <v>25</v>
      </c>
      <c r="I1901" t="s">
        <v>26</v>
      </c>
    </row>
    <row r="1902" spans="1:9" x14ac:dyDescent="0.45">
      <c r="A1902" t="s">
        <v>7467</v>
      </c>
      <c r="B1902" s="2">
        <v>46202</v>
      </c>
      <c r="C1902" t="s">
        <v>28</v>
      </c>
      <c r="D1902" t="s">
        <v>7468</v>
      </c>
      <c r="E1902" t="s">
        <v>75</v>
      </c>
      <c r="F1902">
        <v>11</v>
      </c>
      <c r="G1902" t="s">
        <v>24</v>
      </c>
      <c r="H1902" t="s">
        <v>25</v>
      </c>
      <c r="I1902" t="s">
        <v>60</v>
      </c>
    </row>
    <row r="1903" spans="1:9" x14ac:dyDescent="0.45">
      <c r="A1903" t="s">
        <v>7469</v>
      </c>
      <c r="B1903" s="2">
        <v>46267</v>
      </c>
      <c r="C1903" t="s">
        <v>99</v>
      </c>
      <c r="D1903" t="s">
        <v>7470</v>
      </c>
      <c r="E1903" t="s">
        <v>71</v>
      </c>
      <c r="F1903">
        <v>5</v>
      </c>
      <c r="G1903" t="s">
        <v>35</v>
      </c>
      <c r="H1903" t="s">
        <v>25</v>
      </c>
      <c r="I1903" t="s">
        <v>60</v>
      </c>
    </row>
    <row r="1904" spans="1:9" x14ac:dyDescent="0.45">
      <c r="A1904" t="s">
        <v>7471</v>
      </c>
      <c r="B1904" s="2">
        <v>46253</v>
      </c>
      <c r="C1904" t="s">
        <v>66</v>
      </c>
      <c r="D1904" t="s">
        <v>7472</v>
      </c>
      <c r="E1904" t="s">
        <v>23</v>
      </c>
      <c r="F1904">
        <v>7</v>
      </c>
      <c r="G1904" t="s">
        <v>68</v>
      </c>
      <c r="H1904" t="s">
        <v>25</v>
      </c>
      <c r="I1904" t="s">
        <v>47</v>
      </c>
    </row>
    <row r="1905" spans="1:9" x14ac:dyDescent="0.45">
      <c r="A1905" t="s">
        <v>7473</v>
      </c>
      <c r="B1905" s="2">
        <v>46241</v>
      </c>
      <c r="C1905" t="s">
        <v>52</v>
      </c>
      <c r="D1905" t="s">
        <v>7474</v>
      </c>
      <c r="E1905" t="s">
        <v>7974</v>
      </c>
      <c r="F1905">
        <v>11</v>
      </c>
      <c r="G1905" t="s">
        <v>35</v>
      </c>
      <c r="H1905" t="s">
        <v>25</v>
      </c>
      <c r="I1905" t="s">
        <v>47</v>
      </c>
    </row>
    <row r="1906" spans="1:9" x14ac:dyDescent="0.45">
      <c r="A1906" t="s">
        <v>7475</v>
      </c>
      <c r="B1906" s="2">
        <v>46158</v>
      </c>
      <c r="C1906" t="s">
        <v>49</v>
      </c>
      <c r="D1906" t="s">
        <v>7476</v>
      </c>
      <c r="E1906" t="s">
        <v>23</v>
      </c>
      <c r="F1906">
        <v>7</v>
      </c>
      <c r="G1906" t="s">
        <v>35</v>
      </c>
      <c r="H1906" t="s">
        <v>25</v>
      </c>
      <c r="I1906" t="s">
        <v>47</v>
      </c>
    </row>
    <row r="1907" spans="1:9" x14ac:dyDescent="0.45">
      <c r="A1907" t="s">
        <v>7477</v>
      </c>
      <c r="B1907" s="2">
        <v>46104</v>
      </c>
      <c r="C1907" t="s">
        <v>52</v>
      </c>
      <c r="D1907" t="s">
        <v>7478</v>
      </c>
      <c r="E1907" t="s">
        <v>7973</v>
      </c>
      <c r="F1907">
        <v>10</v>
      </c>
      <c r="G1907" t="s">
        <v>68</v>
      </c>
      <c r="H1907" t="s">
        <v>25</v>
      </c>
      <c r="I1907" t="s">
        <v>47</v>
      </c>
    </row>
    <row r="1908" spans="1:9" x14ac:dyDescent="0.45">
      <c r="A1908" t="s">
        <v>7479</v>
      </c>
      <c r="B1908" s="2">
        <v>46135</v>
      </c>
      <c r="C1908" t="s">
        <v>99</v>
      </c>
      <c r="D1908" t="s">
        <v>7480</v>
      </c>
      <c r="E1908" t="s">
        <v>58</v>
      </c>
      <c r="F1908">
        <v>5</v>
      </c>
      <c r="G1908" t="s">
        <v>43</v>
      </c>
      <c r="H1908" t="s">
        <v>14</v>
      </c>
      <c r="I1908" t="s">
        <v>47</v>
      </c>
    </row>
    <row r="1909" spans="1:9" x14ac:dyDescent="0.45">
      <c r="A1909" t="s">
        <v>7481</v>
      </c>
      <c r="B1909" s="2">
        <v>46053</v>
      </c>
      <c r="C1909" t="s">
        <v>16</v>
      </c>
      <c r="D1909" t="s">
        <v>7482</v>
      </c>
      <c r="E1909" t="s">
        <v>71</v>
      </c>
      <c r="F1909">
        <v>5</v>
      </c>
      <c r="G1909" t="s">
        <v>35</v>
      </c>
      <c r="H1909" t="s">
        <v>25</v>
      </c>
      <c r="I1909" t="s">
        <v>60</v>
      </c>
    </row>
    <row r="1910" spans="1:9" x14ac:dyDescent="0.45">
      <c r="A1910" t="s">
        <v>7483</v>
      </c>
      <c r="B1910" s="2">
        <v>46087</v>
      </c>
      <c r="C1910" t="s">
        <v>99</v>
      </c>
      <c r="D1910" t="s">
        <v>7484</v>
      </c>
      <c r="E1910" t="s">
        <v>23</v>
      </c>
      <c r="F1910">
        <v>5</v>
      </c>
      <c r="G1910" t="s">
        <v>18</v>
      </c>
      <c r="H1910" t="s">
        <v>14</v>
      </c>
      <c r="I1910" t="s">
        <v>39</v>
      </c>
    </row>
    <row r="1911" spans="1:9" x14ac:dyDescent="0.45">
      <c r="A1911" t="s">
        <v>7485</v>
      </c>
      <c r="B1911" s="2">
        <v>46078</v>
      </c>
      <c r="C1911" t="s">
        <v>52</v>
      </c>
      <c r="D1911" t="s">
        <v>7486</v>
      </c>
      <c r="E1911" t="s">
        <v>75</v>
      </c>
      <c r="F1911">
        <v>11</v>
      </c>
      <c r="G1911" t="s">
        <v>43</v>
      </c>
      <c r="H1911" t="s">
        <v>14</v>
      </c>
      <c r="I1911" t="s">
        <v>47</v>
      </c>
    </row>
    <row r="1912" spans="1:9" x14ac:dyDescent="0.45">
      <c r="A1912" t="s">
        <v>7487</v>
      </c>
      <c r="B1912" s="2">
        <v>46096</v>
      </c>
      <c r="C1912" t="s">
        <v>10</v>
      </c>
      <c r="D1912" t="s">
        <v>7488</v>
      </c>
      <c r="E1912" t="s">
        <v>58</v>
      </c>
      <c r="F1912">
        <v>6</v>
      </c>
      <c r="G1912" t="s">
        <v>55</v>
      </c>
      <c r="H1912" t="s">
        <v>72</v>
      </c>
      <c r="I1912" t="s">
        <v>19</v>
      </c>
    </row>
    <row r="1913" spans="1:9" x14ac:dyDescent="0.45">
      <c r="A1913" t="s">
        <v>7489</v>
      </c>
      <c r="B1913" s="2">
        <v>46087</v>
      </c>
      <c r="C1913" t="s">
        <v>52</v>
      </c>
      <c r="D1913" t="s">
        <v>7490</v>
      </c>
      <c r="E1913" t="s">
        <v>7974</v>
      </c>
      <c r="F1913">
        <v>12</v>
      </c>
      <c r="G1913" t="s">
        <v>59</v>
      </c>
      <c r="H1913" t="s">
        <v>14</v>
      </c>
      <c r="I1913" t="s">
        <v>26</v>
      </c>
    </row>
    <row r="1914" spans="1:9" x14ac:dyDescent="0.45">
      <c r="A1914" t="s">
        <v>7491</v>
      </c>
      <c r="B1914" s="2">
        <v>46203</v>
      </c>
      <c r="C1914" t="s">
        <v>16</v>
      </c>
      <c r="D1914" t="s">
        <v>7492</v>
      </c>
      <c r="E1914" t="s">
        <v>7974</v>
      </c>
      <c r="F1914">
        <v>10</v>
      </c>
      <c r="G1914" t="s">
        <v>68</v>
      </c>
      <c r="H1914" t="s">
        <v>25</v>
      </c>
      <c r="I1914" t="s">
        <v>19</v>
      </c>
    </row>
    <row r="1915" spans="1:9" x14ac:dyDescent="0.45">
      <c r="A1915" t="s">
        <v>7493</v>
      </c>
      <c r="B1915" s="2">
        <v>46074</v>
      </c>
      <c r="C1915" t="s">
        <v>28</v>
      </c>
      <c r="D1915" t="s">
        <v>7494</v>
      </c>
      <c r="E1915" t="s">
        <v>71</v>
      </c>
      <c r="F1915">
        <v>10</v>
      </c>
      <c r="G1915" t="s">
        <v>35</v>
      </c>
      <c r="H1915" t="s">
        <v>25</v>
      </c>
      <c r="I1915" t="s">
        <v>47</v>
      </c>
    </row>
    <row r="1916" spans="1:9" x14ac:dyDescent="0.45">
      <c r="A1916" t="s">
        <v>7495</v>
      </c>
      <c r="B1916" s="2">
        <v>46044</v>
      </c>
      <c r="C1916" t="s">
        <v>16</v>
      </c>
      <c r="D1916" t="s">
        <v>7496</v>
      </c>
      <c r="E1916" t="s">
        <v>34</v>
      </c>
      <c r="F1916">
        <v>7</v>
      </c>
      <c r="G1916" t="s">
        <v>59</v>
      </c>
      <c r="H1916" t="s">
        <v>14</v>
      </c>
      <c r="I1916" t="s">
        <v>47</v>
      </c>
    </row>
    <row r="1917" spans="1:9" x14ac:dyDescent="0.45">
      <c r="A1917" t="s">
        <v>7497</v>
      </c>
      <c r="B1917" s="2">
        <v>46090</v>
      </c>
      <c r="C1917" t="s">
        <v>16</v>
      </c>
      <c r="D1917" t="s">
        <v>7498</v>
      </c>
      <c r="E1917" t="s">
        <v>75</v>
      </c>
      <c r="F1917">
        <v>10</v>
      </c>
      <c r="G1917" t="s">
        <v>59</v>
      </c>
      <c r="H1917" t="s">
        <v>14</v>
      </c>
      <c r="I1917" t="s">
        <v>31</v>
      </c>
    </row>
    <row r="1918" spans="1:9" x14ac:dyDescent="0.45">
      <c r="A1918" t="s">
        <v>7499</v>
      </c>
      <c r="B1918" s="2">
        <v>46127</v>
      </c>
      <c r="C1918" t="s">
        <v>10</v>
      </c>
      <c r="D1918" t="s">
        <v>7500</v>
      </c>
      <c r="E1918" t="s">
        <v>46</v>
      </c>
      <c r="F1918">
        <v>7</v>
      </c>
      <c r="G1918" t="s">
        <v>13</v>
      </c>
      <c r="H1918" t="s">
        <v>14</v>
      </c>
      <c r="I1918" t="s">
        <v>26</v>
      </c>
    </row>
    <row r="1919" spans="1:9" x14ac:dyDescent="0.45">
      <c r="A1919" t="s">
        <v>7501</v>
      </c>
      <c r="B1919" s="2">
        <v>46153</v>
      </c>
      <c r="C1919" t="s">
        <v>52</v>
      </c>
      <c r="D1919" t="s">
        <v>7502</v>
      </c>
      <c r="E1919" t="s">
        <v>75</v>
      </c>
      <c r="F1919">
        <v>7</v>
      </c>
      <c r="G1919" t="s">
        <v>35</v>
      </c>
      <c r="H1919" t="s">
        <v>25</v>
      </c>
      <c r="I1919" t="s">
        <v>26</v>
      </c>
    </row>
    <row r="1920" spans="1:9" x14ac:dyDescent="0.45">
      <c r="A1920" t="s">
        <v>7503</v>
      </c>
      <c r="B1920" s="2">
        <v>46088</v>
      </c>
      <c r="C1920" t="s">
        <v>16</v>
      </c>
      <c r="D1920" t="s">
        <v>7504</v>
      </c>
      <c r="E1920" t="s">
        <v>30</v>
      </c>
      <c r="F1920">
        <v>11</v>
      </c>
      <c r="G1920" t="s">
        <v>55</v>
      </c>
      <c r="H1920" t="s">
        <v>72</v>
      </c>
      <c r="I1920" t="s">
        <v>19</v>
      </c>
    </row>
    <row r="1921" spans="1:9" x14ac:dyDescent="0.45">
      <c r="A1921" t="s">
        <v>7505</v>
      </c>
      <c r="B1921" s="2">
        <v>46234</v>
      </c>
      <c r="C1921" t="s">
        <v>16</v>
      </c>
      <c r="D1921" t="s">
        <v>7506</v>
      </c>
      <c r="E1921" t="s">
        <v>38</v>
      </c>
      <c r="F1921">
        <v>5</v>
      </c>
      <c r="G1921" t="s">
        <v>59</v>
      </c>
      <c r="H1921" t="s">
        <v>14</v>
      </c>
      <c r="I1921" t="s">
        <v>26</v>
      </c>
    </row>
    <row r="1922" spans="1:9" x14ac:dyDescent="0.45">
      <c r="A1922" t="s">
        <v>7507</v>
      </c>
      <c r="B1922" s="2">
        <v>46147</v>
      </c>
      <c r="C1922" t="s">
        <v>28</v>
      </c>
      <c r="D1922" t="s">
        <v>7508</v>
      </c>
      <c r="E1922" t="s">
        <v>54</v>
      </c>
      <c r="F1922">
        <v>11</v>
      </c>
      <c r="G1922" t="s">
        <v>13</v>
      </c>
      <c r="H1922" t="s">
        <v>14</v>
      </c>
      <c r="I1922" t="s">
        <v>31</v>
      </c>
    </row>
    <row r="1923" spans="1:9" x14ac:dyDescent="0.45">
      <c r="A1923" t="s">
        <v>7509</v>
      </c>
      <c r="B1923" s="2">
        <v>46133</v>
      </c>
      <c r="C1923" t="s">
        <v>28</v>
      </c>
      <c r="D1923" t="s">
        <v>7510</v>
      </c>
      <c r="E1923" t="s">
        <v>75</v>
      </c>
      <c r="F1923">
        <v>1</v>
      </c>
      <c r="G1923" t="s">
        <v>43</v>
      </c>
      <c r="H1923" t="s">
        <v>14</v>
      </c>
      <c r="I1923" t="s">
        <v>19</v>
      </c>
    </row>
    <row r="1924" spans="1:9" x14ac:dyDescent="0.45">
      <c r="A1924" t="s">
        <v>7511</v>
      </c>
      <c r="B1924" s="2">
        <v>46054</v>
      </c>
      <c r="C1924" t="s">
        <v>66</v>
      </c>
      <c r="D1924" t="s">
        <v>7512</v>
      </c>
      <c r="E1924" t="s">
        <v>23</v>
      </c>
      <c r="F1924">
        <v>9</v>
      </c>
      <c r="G1924" t="s">
        <v>35</v>
      </c>
      <c r="H1924" t="s">
        <v>25</v>
      </c>
      <c r="I1924" t="s">
        <v>31</v>
      </c>
    </row>
    <row r="1925" spans="1:9" x14ac:dyDescent="0.45">
      <c r="A1925" t="s">
        <v>7513</v>
      </c>
      <c r="B1925" s="2">
        <v>46082</v>
      </c>
      <c r="C1925" t="s">
        <v>10</v>
      </c>
      <c r="D1925" t="s">
        <v>7514</v>
      </c>
      <c r="E1925" t="s">
        <v>71</v>
      </c>
      <c r="F1925">
        <v>11</v>
      </c>
      <c r="G1925" t="s">
        <v>7967</v>
      </c>
      <c r="H1925" t="s">
        <v>14</v>
      </c>
      <c r="I1925" t="s">
        <v>26</v>
      </c>
    </row>
    <row r="1926" spans="1:9" x14ac:dyDescent="0.45">
      <c r="A1926" t="s">
        <v>7515</v>
      </c>
      <c r="B1926" s="2">
        <v>46199</v>
      </c>
      <c r="C1926" t="s">
        <v>99</v>
      </c>
      <c r="D1926" t="s">
        <v>7516</v>
      </c>
      <c r="E1926" t="s">
        <v>30</v>
      </c>
      <c r="F1926">
        <v>5</v>
      </c>
      <c r="G1926" t="s">
        <v>55</v>
      </c>
      <c r="H1926" t="s">
        <v>72</v>
      </c>
      <c r="I1926" t="s">
        <v>60</v>
      </c>
    </row>
    <row r="1927" spans="1:9" x14ac:dyDescent="0.45">
      <c r="A1927" t="s">
        <v>7517</v>
      </c>
      <c r="B1927" s="2">
        <v>46255</v>
      </c>
      <c r="C1927" t="s">
        <v>99</v>
      </c>
      <c r="D1927" t="s">
        <v>7518</v>
      </c>
      <c r="E1927" t="s">
        <v>38</v>
      </c>
      <c r="F1927">
        <v>9</v>
      </c>
      <c r="G1927" t="s">
        <v>43</v>
      </c>
      <c r="H1927" t="s">
        <v>14</v>
      </c>
      <c r="I1927" t="s">
        <v>31</v>
      </c>
    </row>
    <row r="1928" spans="1:9" x14ac:dyDescent="0.45">
      <c r="A1928" t="s">
        <v>7519</v>
      </c>
      <c r="B1928" s="2">
        <v>46122</v>
      </c>
      <c r="C1928" t="s">
        <v>10</v>
      </c>
      <c r="D1928" t="s">
        <v>7520</v>
      </c>
      <c r="E1928" t="s">
        <v>23</v>
      </c>
      <c r="F1928">
        <v>12</v>
      </c>
      <c r="G1928" t="s">
        <v>55</v>
      </c>
      <c r="H1928" t="s">
        <v>72</v>
      </c>
      <c r="I1928" t="s">
        <v>19</v>
      </c>
    </row>
    <row r="1929" spans="1:9" x14ac:dyDescent="0.45">
      <c r="A1929" t="s">
        <v>7521</v>
      </c>
      <c r="B1929" s="2">
        <v>46051</v>
      </c>
      <c r="C1929" t="s">
        <v>28</v>
      </c>
      <c r="D1929" t="s">
        <v>7522</v>
      </c>
      <c r="E1929" t="s">
        <v>23</v>
      </c>
      <c r="F1929">
        <v>1</v>
      </c>
      <c r="G1929" t="s">
        <v>43</v>
      </c>
      <c r="H1929" t="s">
        <v>14</v>
      </c>
      <c r="I1929" t="s">
        <v>26</v>
      </c>
    </row>
    <row r="1930" spans="1:9" x14ac:dyDescent="0.45">
      <c r="A1930" t="s">
        <v>7523</v>
      </c>
      <c r="B1930" s="2">
        <v>46220</v>
      </c>
      <c r="C1930" t="s">
        <v>52</v>
      </c>
      <c r="D1930" t="s">
        <v>7524</v>
      </c>
      <c r="E1930" t="s">
        <v>30</v>
      </c>
      <c r="F1930">
        <v>6</v>
      </c>
      <c r="G1930" t="s">
        <v>13</v>
      </c>
      <c r="H1930" t="s">
        <v>14</v>
      </c>
      <c r="I1930" t="s">
        <v>31</v>
      </c>
    </row>
    <row r="1931" spans="1:9" x14ac:dyDescent="0.45">
      <c r="A1931" t="s">
        <v>7525</v>
      </c>
      <c r="B1931" s="2">
        <v>46041</v>
      </c>
      <c r="C1931" t="s">
        <v>10</v>
      </c>
      <c r="D1931" t="s">
        <v>7526</v>
      </c>
      <c r="E1931" t="s">
        <v>75</v>
      </c>
      <c r="F1931">
        <v>7</v>
      </c>
      <c r="G1931" t="s">
        <v>18</v>
      </c>
      <c r="H1931" t="s">
        <v>14</v>
      </c>
      <c r="I1931" t="s">
        <v>39</v>
      </c>
    </row>
    <row r="1932" spans="1:9" x14ac:dyDescent="0.45">
      <c r="A1932" t="s">
        <v>7527</v>
      </c>
      <c r="B1932" s="2">
        <v>46241</v>
      </c>
      <c r="C1932" t="s">
        <v>16</v>
      </c>
      <c r="D1932" t="s">
        <v>7528</v>
      </c>
      <c r="E1932" t="s">
        <v>75</v>
      </c>
      <c r="F1932">
        <v>7</v>
      </c>
      <c r="G1932" t="s">
        <v>24</v>
      </c>
      <c r="H1932" t="s">
        <v>25</v>
      </c>
      <c r="I1932" t="s">
        <v>31</v>
      </c>
    </row>
    <row r="1933" spans="1:9" x14ac:dyDescent="0.45">
      <c r="A1933" t="s">
        <v>7529</v>
      </c>
      <c r="B1933" s="2">
        <v>46256</v>
      </c>
      <c r="C1933" t="s">
        <v>66</v>
      </c>
      <c r="D1933" t="s">
        <v>7530</v>
      </c>
      <c r="E1933" t="s">
        <v>34</v>
      </c>
      <c r="F1933">
        <v>12</v>
      </c>
      <c r="G1933" t="s">
        <v>59</v>
      </c>
      <c r="H1933" t="s">
        <v>14</v>
      </c>
      <c r="I1933" t="s">
        <v>19</v>
      </c>
    </row>
    <row r="1934" spans="1:9" x14ac:dyDescent="0.45">
      <c r="A1934" t="s">
        <v>7531</v>
      </c>
      <c r="B1934" s="2">
        <v>46194</v>
      </c>
      <c r="C1934" t="s">
        <v>21</v>
      </c>
      <c r="D1934" t="s">
        <v>7532</v>
      </c>
      <c r="E1934" t="s">
        <v>7974</v>
      </c>
      <c r="F1934">
        <v>7</v>
      </c>
      <c r="G1934" t="s">
        <v>7967</v>
      </c>
      <c r="H1934" t="s">
        <v>25</v>
      </c>
      <c r="I1934" t="s">
        <v>26</v>
      </c>
    </row>
    <row r="1935" spans="1:9" x14ac:dyDescent="0.45">
      <c r="A1935" t="s">
        <v>7533</v>
      </c>
      <c r="B1935" s="2">
        <v>46062</v>
      </c>
      <c r="C1935" t="s">
        <v>28</v>
      </c>
      <c r="D1935" t="s">
        <v>7534</v>
      </c>
      <c r="E1935" t="s">
        <v>23</v>
      </c>
      <c r="F1935">
        <v>7</v>
      </c>
      <c r="G1935" t="s">
        <v>55</v>
      </c>
      <c r="H1935" t="s">
        <v>72</v>
      </c>
      <c r="I1935" t="s">
        <v>39</v>
      </c>
    </row>
    <row r="1936" spans="1:9" x14ac:dyDescent="0.45">
      <c r="A1936" t="s">
        <v>7535</v>
      </c>
      <c r="B1936" s="2">
        <v>46198</v>
      </c>
      <c r="C1936" t="s">
        <v>16</v>
      </c>
      <c r="D1936" t="s">
        <v>7536</v>
      </c>
      <c r="E1936" t="s">
        <v>38</v>
      </c>
      <c r="F1936">
        <v>5</v>
      </c>
      <c r="G1936" t="s">
        <v>68</v>
      </c>
      <c r="H1936" t="s">
        <v>25</v>
      </c>
      <c r="I1936" t="s">
        <v>47</v>
      </c>
    </row>
    <row r="1937" spans="1:9" x14ac:dyDescent="0.45">
      <c r="A1937" t="s">
        <v>7537</v>
      </c>
      <c r="B1937" s="2">
        <v>46084</v>
      </c>
      <c r="C1937" t="s">
        <v>99</v>
      </c>
      <c r="D1937" t="s">
        <v>7538</v>
      </c>
      <c r="E1937" t="s">
        <v>2306</v>
      </c>
      <c r="F1937">
        <v>1</v>
      </c>
      <c r="G1937" t="s">
        <v>55</v>
      </c>
      <c r="H1937" t="s">
        <v>72</v>
      </c>
      <c r="I1937" t="s">
        <v>19</v>
      </c>
    </row>
    <row r="1938" spans="1:9" x14ac:dyDescent="0.45">
      <c r="A1938" t="s">
        <v>7539</v>
      </c>
      <c r="B1938" s="2">
        <v>46238</v>
      </c>
      <c r="C1938" t="s">
        <v>28</v>
      </c>
      <c r="D1938" t="s">
        <v>7540</v>
      </c>
      <c r="E1938" t="s">
        <v>42</v>
      </c>
      <c r="F1938">
        <v>1</v>
      </c>
      <c r="G1938" t="s">
        <v>18</v>
      </c>
      <c r="H1938" t="s">
        <v>14</v>
      </c>
      <c r="I1938" t="s">
        <v>26</v>
      </c>
    </row>
    <row r="1939" spans="1:9" x14ac:dyDescent="0.45">
      <c r="A1939" t="s">
        <v>7541</v>
      </c>
      <c r="B1939" s="2">
        <v>46198</v>
      </c>
      <c r="C1939" t="s">
        <v>21</v>
      </c>
      <c r="D1939" t="s">
        <v>7542</v>
      </c>
      <c r="E1939" t="s">
        <v>34</v>
      </c>
      <c r="F1939">
        <v>5</v>
      </c>
      <c r="G1939" t="s">
        <v>13</v>
      </c>
      <c r="H1939" t="s">
        <v>14</v>
      </c>
      <c r="I1939" t="s">
        <v>26</v>
      </c>
    </row>
    <row r="1940" spans="1:9" x14ac:dyDescent="0.45">
      <c r="A1940" t="s">
        <v>7543</v>
      </c>
      <c r="B1940" s="2">
        <v>46200</v>
      </c>
      <c r="C1940" t="s">
        <v>52</v>
      </c>
      <c r="D1940" t="s">
        <v>7544</v>
      </c>
      <c r="E1940" t="s">
        <v>30</v>
      </c>
      <c r="F1940">
        <v>5</v>
      </c>
      <c r="G1940" t="s">
        <v>18</v>
      </c>
      <c r="H1940" t="s">
        <v>14</v>
      </c>
      <c r="I1940" t="s">
        <v>39</v>
      </c>
    </row>
    <row r="1941" spans="1:9" x14ac:dyDescent="0.45">
      <c r="A1941" t="s">
        <v>7545</v>
      </c>
      <c r="B1941" s="2">
        <v>46231</v>
      </c>
      <c r="C1941" t="s">
        <v>16</v>
      </c>
      <c r="D1941" t="s">
        <v>7546</v>
      </c>
      <c r="E1941" t="s">
        <v>71</v>
      </c>
      <c r="F1941">
        <v>8</v>
      </c>
      <c r="G1941" t="s">
        <v>13</v>
      </c>
      <c r="H1941" t="s">
        <v>14</v>
      </c>
      <c r="I1941" t="s">
        <v>60</v>
      </c>
    </row>
    <row r="1942" spans="1:9" x14ac:dyDescent="0.45">
      <c r="A1942" t="s">
        <v>7547</v>
      </c>
      <c r="B1942" s="2">
        <v>46036</v>
      </c>
      <c r="C1942" t="s">
        <v>99</v>
      </c>
      <c r="D1942" t="s">
        <v>7548</v>
      </c>
      <c r="E1942" t="s">
        <v>71</v>
      </c>
      <c r="F1942">
        <v>3</v>
      </c>
      <c r="G1942" t="s">
        <v>43</v>
      </c>
      <c r="H1942" t="s">
        <v>14</v>
      </c>
      <c r="I1942" t="s">
        <v>39</v>
      </c>
    </row>
    <row r="1943" spans="1:9" x14ac:dyDescent="0.45">
      <c r="A1943" t="s">
        <v>7549</v>
      </c>
      <c r="B1943" s="2">
        <v>46140</v>
      </c>
      <c r="C1943" t="s">
        <v>21</v>
      </c>
      <c r="D1943" t="s">
        <v>7550</v>
      </c>
      <c r="E1943" t="s">
        <v>23</v>
      </c>
      <c r="F1943">
        <v>1</v>
      </c>
      <c r="G1943" t="s">
        <v>59</v>
      </c>
      <c r="H1943" t="s">
        <v>14</v>
      </c>
      <c r="I1943" t="s">
        <v>26</v>
      </c>
    </row>
    <row r="1944" spans="1:9" x14ac:dyDescent="0.45">
      <c r="A1944" t="s">
        <v>7551</v>
      </c>
      <c r="B1944" s="2">
        <v>46122</v>
      </c>
      <c r="C1944" t="s">
        <v>66</v>
      </c>
      <c r="D1944" t="s">
        <v>7552</v>
      </c>
      <c r="E1944" t="s">
        <v>54</v>
      </c>
      <c r="F1944">
        <v>11</v>
      </c>
      <c r="G1944" t="s">
        <v>43</v>
      </c>
      <c r="H1944" t="s">
        <v>14</v>
      </c>
      <c r="I1944" t="s">
        <v>31</v>
      </c>
    </row>
    <row r="1945" spans="1:9" x14ac:dyDescent="0.45">
      <c r="A1945" t="s">
        <v>7553</v>
      </c>
      <c r="B1945" s="2">
        <v>46254</v>
      </c>
      <c r="C1945" t="s">
        <v>49</v>
      </c>
      <c r="D1945" t="s">
        <v>7554</v>
      </c>
      <c r="E1945" t="s">
        <v>71</v>
      </c>
      <c r="F1945">
        <v>1</v>
      </c>
      <c r="G1945" t="s">
        <v>68</v>
      </c>
      <c r="H1945" t="s">
        <v>25</v>
      </c>
      <c r="I1945" t="s">
        <v>31</v>
      </c>
    </row>
    <row r="1946" spans="1:9" x14ac:dyDescent="0.45">
      <c r="A1946" t="s">
        <v>7555</v>
      </c>
      <c r="B1946" s="2">
        <v>46183</v>
      </c>
      <c r="C1946" t="s">
        <v>10</v>
      </c>
      <c r="D1946" t="s">
        <v>7556</v>
      </c>
      <c r="E1946" t="s">
        <v>30</v>
      </c>
      <c r="F1946">
        <v>7</v>
      </c>
      <c r="G1946" t="s">
        <v>13</v>
      </c>
      <c r="H1946" t="s">
        <v>14</v>
      </c>
      <c r="I1946" t="s">
        <v>31</v>
      </c>
    </row>
    <row r="1947" spans="1:9" x14ac:dyDescent="0.45">
      <c r="A1947" t="s">
        <v>7557</v>
      </c>
      <c r="B1947" s="2">
        <v>46057</v>
      </c>
      <c r="C1947" t="s">
        <v>16</v>
      </c>
      <c r="D1947" t="s">
        <v>7558</v>
      </c>
      <c r="E1947" t="s">
        <v>23</v>
      </c>
      <c r="F1947">
        <v>7</v>
      </c>
      <c r="G1947" t="s">
        <v>18</v>
      </c>
      <c r="H1947" t="s">
        <v>14</v>
      </c>
      <c r="I1947" t="s">
        <v>60</v>
      </c>
    </row>
    <row r="1948" spans="1:9" x14ac:dyDescent="0.45">
      <c r="A1948" t="s">
        <v>7559</v>
      </c>
      <c r="B1948" s="2">
        <v>46265</v>
      </c>
      <c r="C1948" t="s">
        <v>52</v>
      </c>
      <c r="D1948" t="s">
        <v>7560</v>
      </c>
      <c r="E1948" t="s">
        <v>38</v>
      </c>
      <c r="F1948">
        <v>3</v>
      </c>
      <c r="G1948" t="s">
        <v>43</v>
      </c>
      <c r="H1948" t="s">
        <v>14</v>
      </c>
      <c r="I1948" t="s">
        <v>31</v>
      </c>
    </row>
    <row r="1949" spans="1:9" x14ac:dyDescent="0.45">
      <c r="A1949" t="s">
        <v>7561</v>
      </c>
      <c r="B1949" s="2">
        <v>46232</v>
      </c>
      <c r="C1949" t="s">
        <v>99</v>
      </c>
      <c r="D1949" t="s">
        <v>7562</v>
      </c>
      <c r="E1949" t="s">
        <v>46</v>
      </c>
      <c r="F1949">
        <v>3</v>
      </c>
      <c r="G1949" t="s">
        <v>18</v>
      </c>
      <c r="H1949" t="s">
        <v>14</v>
      </c>
      <c r="I1949" t="s">
        <v>19</v>
      </c>
    </row>
    <row r="1950" spans="1:9" x14ac:dyDescent="0.45">
      <c r="A1950" t="s">
        <v>7563</v>
      </c>
      <c r="B1950" s="2">
        <v>46114</v>
      </c>
      <c r="C1950" t="s">
        <v>99</v>
      </c>
      <c r="D1950" t="s">
        <v>7564</v>
      </c>
      <c r="E1950" t="s">
        <v>71</v>
      </c>
      <c r="F1950">
        <v>10</v>
      </c>
      <c r="G1950" t="s">
        <v>24</v>
      </c>
      <c r="H1950" t="s">
        <v>25</v>
      </c>
      <c r="I1950" t="s">
        <v>47</v>
      </c>
    </row>
    <row r="1951" spans="1:9" x14ac:dyDescent="0.45">
      <c r="A1951" t="s">
        <v>7565</v>
      </c>
      <c r="B1951" s="2">
        <v>46088</v>
      </c>
      <c r="C1951" t="s">
        <v>16</v>
      </c>
      <c r="D1951" t="s">
        <v>7566</v>
      </c>
      <c r="E1951" t="s">
        <v>42</v>
      </c>
      <c r="F1951">
        <v>8</v>
      </c>
      <c r="G1951" t="s">
        <v>13</v>
      </c>
      <c r="H1951" t="s">
        <v>14</v>
      </c>
      <c r="I1951" t="s">
        <v>31</v>
      </c>
    </row>
    <row r="1952" spans="1:9" x14ac:dyDescent="0.45">
      <c r="A1952" t="s">
        <v>7567</v>
      </c>
      <c r="B1952" s="2">
        <v>46060</v>
      </c>
      <c r="C1952" t="s">
        <v>52</v>
      </c>
      <c r="D1952" t="s">
        <v>7568</v>
      </c>
      <c r="E1952" t="s">
        <v>30</v>
      </c>
      <c r="F1952">
        <v>11</v>
      </c>
      <c r="G1952" t="s">
        <v>43</v>
      </c>
      <c r="H1952" t="s">
        <v>14</v>
      </c>
      <c r="I1952" t="s">
        <v>19</v>
      </c>
    </row>
    <row r="1953" spans="1:9" x14ac:dyDescent="0.45">
      <c r="A1953" t="s">
        <v>7569</v>
      </c>
      <c r="B1953" s="2">
        <v>46063</v>
      </c>
      <c r="C1953" t="s">
        <v>52</v>
      </c>
      <c r="D1953" t="s">
        <v>7570</v>
      </c>
      <c r="E1953" t="s">
        <v>75</v>
      </c>
      <c r="F1953">
        <v>4</v>
      </c>
      <c r="G1953" t="s">
        <v>13</v>
      </c>
      <c r="H1953" t="s">
        <v>14</v>
      </c>
      <c r="I1953" t="s">
        <v>47</v>
      </c>
    </row>
    <row r="1954" spans="1:9" x14ac:dyDescent="0.45">
      <c r="A1954" t="s">
        <v>7571</v>
      </c>
      <c r="B1954" s="2">
        <v>46096</v>
      </c>
      <c r="C1954" t="s">
        <v>21</v>
      </c>
      <c r="D1954" t="s">
        <v>7572</v>
      </c>
      <c r="E1954" t="s">
        <v>30</v>
      </c>
      <c r="F1954">
        <v>10</v>
      </c>
      <c r="G1954" t="s">
        <v>18</v>
      </c>
      <c r="H1954" t="s">
        <v>14</v>
      </c>
      <c r="I1954" t="s">
        <v>47</v>
      </c>
    </row>
    <row r="1955" spans="1:9" x14ac:dyDescent="0.45">
      <c r="A1955" t="s">
        <v>7573</v>
      </c>
      <c r="B1955" s="2">
        <v>46055</v>
      </c>
      <c r="C1955" t="s">
        <v>66</v>
      </c>
      <c r="D1955" t="s">
        <v>7574</v>
      </c>
      <c r="E1955" t="s">
        <v>42</v>
      </c>
      <c r="F1955">
        <v>2</v>
      </c>
      <c r="G1955" t="s">
        <v>68</v>
      </c>
      <c r="H1955" t="s">
        <v>25</v>
      </c>
      <c r="I1955" t="s">
        <v>39</v>
      </c>
    </row>
    <row r="1956" spans="1:9" x14ac:dyDescent="0.45">
      <c r="A1956" t="s">
        <v>7575</v>
      </c>
      <c r="B1956" s="2">
        <v>46049</v>
      </c>
      <c r="C1956" t="s">
        <v>66</v>
      </c>
      <c r="D1956" t="s">
        <v>7576</v>
      </c>
      <c r="E1956" t="s">
        <v>42</v>
      </c>
      <c r="F1956">
        <v>2</v>
      </c>
      <c r="G1956" t="s">
        <v>59</v>
      </c>
      <c r="H1956" t="s">
        <v>14</v>
      </c>
      <c r="I1956" t="s">
        <v>47</v>
      </c>
    </row>
    <row r="1957" spans="1:9" x14ac:dyDescent="0.45">
      <c r="A1957" t="s">
        <v>7577</v>
      </c>
      <c r="B1957" s="2">
        <v>46163</v>
      </c>
      <c r="C1957" t="s">
        <v>52</v>
      </c>
      <c r="D1957" t="s">
        <v>7578</v>
      </c>
      <c r="E1957" t="s">
        <v>7973</v>
      </c>
      <c r="F1957">
        <v>5</v>
      </c>
      <c r="G1957" t="s">
        <v>24</v>
      </c>
      <c r="H1957" t="s">
        <v>25</v>
      </c>
      <c r="I1957" t="s">
        <v>60</v>
      </c>
    </row>
    <row r="1958" spans="1:9" x14ac:dyDescent="0.45">
      <c r="A1958" t="s">
        <v>7579</v>
      </c>
      <c r="B1958" s="2">
        <v>46194</v>
      </c>
      <c r="C1958" t="s">
        <v>28</v>
      </c>
      <c r="D1958" t="s">
        <v>7580</v>
      </c>
      <c r="E1958" t="s">
        <v>30</v>
      </c>
      <c r="F1958">
        <v>7</v>
      </c>
      <c r="G1958" t="s">
        <v>55</v>
      </c>
      <c r="H1958" t="s">
        <v>72</v>
      </c>
      <c r="I1958" t="s">
        <v>39</v>
      </c>
    </row>
    <row r="1959" spans="1:9" x14ac:dyDescent="0.45">
      <c r="A1959" t="s">
        <v>7581</v>
      </c>
      <c r="B1959" s="2">
        <v>46250</v>
      </c>
      <c r="C1959" t="s">
        <v>99</v>
      </c>
      <c r="D1959" t="s">
        <v>7582</v>
      </c>
      <c r="E1959" t="s">
        <v>30</v>
      </c>
      <c r="F1959">
        <v>6</v>
      </c>
      <c r="G1959" t="s">
        <v>18</v>
      </c>
      <c r="H1959" t="s">
        <v>14</v>
      </c>
      <c r="I1959" t="s">
        <v>26</v>
      </c>
    </row>
    <row r="1960" spans="1:9" x14ac:dyDescent="0.45">
      <c r="A1960" t="s">
        <v>7583</v>
      </c>
      <c r="B1960" s="2">
        <v>46068</v>
      </c>
      <c r="C1960" t="s">
        <v>16</v>
      </c>
      <c r="D1960" t="s">
        <v>7584</v>
      </c>
      <c r="E1960" t="s">
        <v>71</v>
      </c>
      <c r="F1960">
        <v>1</v>
      </c>
      <c r="G1960" t="s">
        <v>18</v>
      </c>
      <c r="H1960" t="s">
        <v>14</v>
      </c>
      <c r="I1960" t="s">
        <v>31</v>
      </c>
    </row>
    <row r="1961" spans="1:9" x14ac:dyDescent="0.45">
      <c r="A1961" t="s">
        <v>7585</v>
      </c>
      <c r="B1961" s="2">
        <v>46119</v>
      </c>
      <c r="C1961" t="s">
        <v>28</v>
      </c>
      <c r="D1961" t="s">
        <v>7586</v>
      </c>
      <c r="E1961" t="s">
        <v>23</v>
      </c>
      <c r="F1961">
        <v>9</v>
      </c>
      <c r="G1961" t="s">
        <v>59</v>
      </c>
      <c r="H1961" t="s">
        <v>14</v>
      </c>
      <c r="I1961" t="s">
        <v>47</v>
      </c>
    </row>
    <row r="1962" spans="1:9" x14ac:dyDescent="0.45">
      <c r="A1962" t="s">
        <v>7587</v>
      </c>
      <c r="B1962" s="2">
        <v>46069</v>
      </c>
      <c r="C1962" t="s">
        <v>66</v>
      </c>
      <c r="D1962" t="s">
        <v>7588</v>
      </c>
      <c r="E1962" t="s">
        <v>7973</v>
      </c>
      <c r="F1962">
        <v>7</v>
      </c>
      <c r="G1962" t="s">
        <v>24</v>
      </c>
      <c r="H1962" t="s">
        <v>25</v>
      </c>
      <c r="I1962" t="s">
        <v>31</v>
      </c>
    </row>
    <row r="1963" spans="1:9" x14ac:dyDescent="0.45">
      <c r="A1963" t="s">
        <v>7589</v>
      </c>
      <c r="B1963" s="2">
        <v>46128</v>
      </c>
      <c r="C1963" t="s">
        <v>16</v>
      </c>
      <c r="D1963" t="s">
        <v>7590</v>
      </c>
      <c r="E1963" t="s">
        <v>46</v>
      </c>
      <c r="F1963">
        <v>7</v>
      </c>
      <c r="G1963" t="s">
        <v>18</v>
      </c>
      <c r="H1963" t="s">
        <v>14</v>
      </c>
      <c r="I1963" t="s">
        <v>19</v>
      </c>
    </row>
    <row r="1964" spans="1:9" x14ac:dyDescent="0.45">
      <c r="A1964" t="s">
        <v>7591</v>
      </c>
      <c r="B1964" s="2">
        <v>46259</v>
      </c>
      <c r="C1964" t="s">
        <v>99</v>
      </c>
      <c r="D1964" t="s">
        <v>7592</v>
      </c>
      <c r="E1964" t="s">
        <v>54</v>
      </c>
      <c r="F1964">
        <v>10</v>
      </c>
      <c r="G1964" t="s">
        <v>35</v>
      </c>
      <c r="H1964" t="s">
        <v>25</v>
      </c>
      <c r="I1964" t="s">
        <v>31</v>
      </c>
    </row>
    <row r="1965" spans="1:9" x14ac:dyDescent="0.45">
      <c r="A1965" t="s">
        <v>7593</v>
      </c>
      <c r="B1965" s="2">
        <v>46096</v>
      </c>
      <c r="C1965" t="s">
        <v>16</v>
      </c>
      <c r="D1965" t="s">
        <v>7594</v>
      </c>
      <c r="E1965" t="s">
        <v>38</v>
      </c>
      <c r="F1965">
        <v>1</v>
      </c>
      <c r="G1965" t="s">
        <v>55</v>
      </c>
      <c r="H1965" t="s">
        <v>72</v>
      </c>
      <c r="I1965" t="s">
        <v>19</v>
      </c>
    </row>
    <row r="1966" spans="1:9" x14ac:dyDescent="0.45">
      <c r="A1966" t="s">
        <v>7595</v>
      </c>
      <c r="B1966" s="2">
        <v>46136</v>
      </c>
      <c r="C1966" t="s">
        <v>66</v>
      </c>
      <c r="D1966" t="s">
        <v>7596</v>
      </c>
      <c r="E1966" t="s">
        <v>71</v>
      </c>
      <c r="F1966">
        <v>11</v>
      </c>
      <c r="G1966" t="s">
        <v>18</v>
      </c>
      <c r="H1966" t="s">
        <v>14</v>
      </c>
      <c r="I1966" t="s">
        <v>39</v>
      </c>
    </row>
    <row r="1967" spans="1:9" x14ac:dyDescent="0.45">
      <c r="A1967" t="s">
        <v>7597</v>
      </c>
      <c r="B1967" s="2">
        <v>46246</v>
      </c>
      <c r="C1967" t="s">
        <v>49</v>
      </c>
      <c r="D1967" t="s">
        <v>7598</v>
      </c>
      <c r="E1967" t="s">
        <v>23</v>
      </c>
      <c r="F1967">
        <v>4</v>
      </c>
      <c r="G1967" t="s">
        <v>68</v>
      </c>
      <c r="H1967" t="s">
        <v>25</v>
      </c>
      <c r="I1967" t="s">
        <v>31</v>
      </c>
    </row>
    <row r="1968" spans="1:9" x14ac:dyDescent="0.45">
      <c r="A1968" t="s">
        <v>7599</v>
      </c>
      <c r="B1968" s="2">
        <v>46200</v>
      </c>
      <c r="C1968" t="s">
        <v>52</v>
      </c>
      <c r="D1968" t="s">
        <v>7600</v>
      </c>
      <c r="E1968" t="s">
        <v>7967</v>
      </c>
      <c r="F1968">
        <v>5</v>
      </c>
      <c r="G1968" t="s">
        <v>13</v>
      </c>
      <c r="H1968" t="s">
        <v>14</v>
      </c>
      <c r="I1968" t="s">
        <v>60</v>
      </c>
    </row>
    <row r="1969" spans="1:9" x14ac:dyDescent="0.45">
      <c r="A1969" t="s">
        <v>7601</v>
      </c>
      <c r="B1969" s="2">
        <v>46164</v>
      </c>
      <c r="C1969" t="s">
        <v>16</v>
      </c>
      <c r="D1969" t="s">
        <v>7602</v>
      </c>
      <c r="E1969" t="s">
        <v>23</v>
      </c>
      <c r="F1969">
        <v>8</v>
      </c>
      <c r="G1969" t="s">
        <v>59</v>
      </c>
      <c r="H1969" t="s">
        <v>14</v>
      </c>
      <c r="I1969" t="s">
        <v>31</v>
      </c>
    </row>
    <row r="1970" spans="1:9" x14ac:dyDescent="0.45">
      <c r="A1970" t="s">
        <v>7603</v>
      </c>
      <c r="B1970" s="2">
        <v>46023</v>
      </c>
      <c r="C1970" t="s">
        <v>49</v>
      </c>
      <c r="D1970" t="s">
        <v>7604</v>
      </c>
      <c r="E1970" t="s">
        <v>54</v>
      </c>
      <c r="F1970">
        <v>9</v>
      </c>
      <c r="G1970" t="s">
        <v>35</v>
      </c>
      <c r="H1970" t="s">
        <v>25</v>
      </c>
      <c r="I1970" t="s">
        <v>47</v>
      </c>
    </row>
    <row r="1971" spans="1:9" x14ac:dyDescent="0.45">
      <c r="A1971" t="s">
        <v>7605</v>
      </c>
      <c r="B1971" s="2">
        <v>46048</v>
      </c>
      <c r="C1971" t="s">
        <v>66</v>
      </c>
      <c r="D1971" t="s">
        <v>7606</v>
      </c>
      <c r="E1971" t="s">
        <v>54</v>
      </c>
      <c r="F1971">
        <v>9</v>
      </c>
      <c r="G1971" t="s">
        <v>68</v>
      </c>
      <c r="H1971" t="s">
        <v>25</v>
      </c>
      <c r="I1971" t="s">
        <v>39</v>
      </c>
    </row>
    <row r="1972" spans="1:9" x14ac:dyDescent="0.45">
      <c r="A1972" t="s">
        <v>7607</v>
      </c>
      <c r="B1972" s="2">
        <v>46201</v>
      </c>
      <c r="C1972" t="s">
        <v>99</v>
      </c>
      <c r="D1972" t="s">
        <v>7608</v>
      </c>
      <c r="E1972" t="s">
        <v>30</v>
      </c>
      <c r="F1972">
        <v>7</v>
      </c>
      <c r="G1972" t="s">
        <v>68</v>
      </c>
      <c r="H1972" t="s">
        <v>25</v>
      </c>
      <c r="I1972" t="s">
        <v>31</v>
      </c>
    </row>
    <row r="1973" spans="1:9" x14ac:dyDescent="0.45">
      <c r="A1973" t="s">
        <v>7609</v>
      </c>
      <c r="B1973" s="2">
        <v>46025</v>
      </c>
      <c r="C1973" t="s">
        <v>99</v>
      </c>
      <c r="D1973" t="s">
        <v>7610</v>
      </c>
      <c r="E1973" t="s">
        <v>34</v>
      </c>
      <c r="F1973">
        <v>5</v>
      </c>
      <c r="G1973" t="s">
        <v>13</v>
      </c>
      <c r="H1973" t="s">
        <v>14</v>
      </c>
      <c r="I1973" t="s">
        <v>39</v>
      </c>
    </row>
    <row r="1974" spans="1:9" x14ac:dyDescent="0.45">
      <c r="A1974" t="s">
        <v>7611</v>
      </c>
      <c r="B1974" s="2">
        <v>46036</v>
      </c>
      <c r="C1974" t="s">
        <v>16</v>
      </c>
      <c r="D1974" t="s">
        <v>7612</v>
      </c>
      <c r="E1974" t="s">
        <v>75</v>
      </c>
      <c r="F1974">
        <v>9</v>
      </c>
      <c r="G1974" t="s">
        <v>24</v>
      </c>
      <c r="H1974" t="s">
        <v>25</v>
      </c>
      <c r="I1974" t="s">
        <v>39</v>
      </c>
    </row>
    <row r="1975" spans="1:9" x14ac:dyDescent="0.45">
      <c r="A1975" t="s">
        <v>7613</v>
      </c>
      <c r="B1975" s="2">
        <v>46164</v>
      </c>
      <c r="C1975" t="s">
        <v>10</v>
      </c>
      <c r="D1975" t="s">
        <v>7614</v>
      </c>
      <c r="E1975" t="s">
        <v>30</v>
      </c>
      <c r="F1975">
        <v>7</v>
      </c>
      <c r="G1975" t="s">
        <v>43</v>
      </c>
      <c r="H1975" t="s">
        <v>14</v>
      </c>
      <c r="I1975" t="s">
        <v>60</v>
      </c>
    </row>
    <row r="1976" spans="1:9" x14ac:dyDescent="0.45">
      <c r="A1976" t="s">
        <v>7615</v>
      </c>
      <c r="B1976" s="2">
        <v>46059</v>
      </c>
      <c r="C1976" t="s">
        <v>99</v>
      </c>
      <c r="D1976" t="s">
        <v>7616</v>
      </c>
      <c r="E1976" t="s">
        <v>58</v>
      </c>
      <c r="F1976">
        <v>9</v>
      </c>
      <c r="G1976" t="s">
        <v>55</v>
      </c>
      <c r="H1976" t="s">
        <v>72</v>
      </c>
      <c r="I1976" t="s">
        <v>26</v>
      </c>
    </row>
    <row r="1977" spans="1:9" x14ac:dyDescent="0.45">
      <c r="A1977" t="s">
        <v>7617</v>
      </c>
      <c r="B1977" s="2">
        <v>46222</v>
      </c>
      <c r="C1977" t="s">
        <v>10</v>
      </c>
      <c r="D1977" t="s">
        <v>7618</v>
      </c>
      <c r="E1977" t="s">
        <v>75</v>
      </c>
      <c r="F1977">
        <v>9</v>
      </c>
      <c r="G1977" t="s">
        <v>59</v>
      </c>
      <c r="H1977" t="s">
        <v>14</v>
      </c>
      <c r="I1977" t="s">
        <v>60</v>
      </c>
    </row>
    <row r="1978" spans="1:9" x14ac:dyDescent="0.45">
      <c r="A1978" t="s">
        <v>7619</v>
      </c>
      <c r="B1978" s="2">
        <v>46067</v>
      </c>
      <c r="C1978" t="s">
        <v>49</v>
      </c>
      <c r="D1978" t="s">
        <v>7620</v>
      </c>
      <c r="E1978" t="s">
        <v>7973</v>
      </c>
      <c r="F1978">
        <v>5</v>
      </c>
      <c r="G1978" t="s">
        <v>24</v>
      </c>
      <c r="H1978" t="s">
        <v>25</v>
      </c>
      <c r="I1978" t="s">
        <v>60</v>
      </c>
    </row>
    <row r="1979" spans="1:9" x14ac:dyDescent="0.45">
      <c r="A1979" t="s">
        <v>7621</v>
      </c>
      <c r="B1979" s="2">
        <v>46097</v>
      </c>
      <c r="C1979" t="s">
        <v>16</v>
      </c>
      <c r="D1979" t="s">
        <v>7622</v>
      </c>
      <c r="E1979" t="s">
        <v>7974</v>
      </c>
      <c r="F1979">
        <v>2</v>
      </c>
      <c r="G1979" t="s">
        <v>59</v>
      </c>
      <c r="H1979" t="s">
        <v>14</v>
      </c>
      <c r="I1979" t="s">
        <v>39</v>
      </c>
    </row>
    <row r="1980" spans="1:9" x14ac:dyDescent="0.45">
      <c r="A1980" t="s">
        <v>7623</v>
      </c>
      <c r="B1980" s="2">
        <v>46180</v>
      </c>
      <c r="C1980" t="s">
        <v>52</v>
      </c>
      <c r="D1980" t="s">
        <v>7624</v>
      </c>
      <c r="E1980" t="s">
        <v>7973</v>
      </c>
      <c r="F1980">
        <v>12</v>
      </c>
      <c r="G1980" t="s">
        <v>13</v>
      </c>
      <c r="H1980" t="s">
        <v>14</v>
      </c>
      <c r="I1980" t="s">
        <v>60</v>
      </c>
    </row>
    <row r="1981" spans="1:9" x14ac:dyDescent="0.45">
      <c r="A1981" t="s">
        <v>7625</v>
      </c>
      <c r="B1981" s="2">
        <v>46100</v>
      </c>
      <c r="C1981" t="s">
        <v>21</v>
      </c>
      <c r="D1981" t="s">
        <v>7626</v>
      </c>
      <c r="E1981" t="s">
        <v>75</v>
      </c>
      <c r="F1981">
        <v>9</v>
      </c>
      <c r="G1981" t="s">
        <v>55</v>
      </c>
      <c r="H1981" t="s">
        <v>72</v>
      </c>
      <c r="I1981" t="s">
        <v>39</v>
      </c>
    </row>
    <row r="1982" spans="1:9" x14ac:dyDescent="0.45">
      <c r="A1982" t="s">
        <v>7627</v>
      </c>
      <c r="B1982" s="2">
        <v>46054</v>
      </c>
      <c r="C1982" t="s">
        <v>49</v>
      </c>
      <c r="D1982" t="s">
        <v>7628</v>
      </c>
      <c r="E1982" t="s">
        <v>7973</v>
      </c>
      <c r="F1982">
        <v>5</v>
      </c>
      <c r="G1982" t="s">
        <v>68</v>
      </c>
      <c r="H1982" t="s">
        <v>25</v>
      </c>
      <c r="I1982" t="s">
        <v>26</v>
      </c>
    </row>
    <row r="1983" spans="1:9" x14ac:dyDescent="0.45">
      <c r="A1983" t="s">
        <v>7629</v>
      </c>
      <c r="B1983" s="2">
        <v>46254</v>
      </c>
      <c r="C1983" t="s">
        <v>66</v>
      </c>
      <c r="D1983" t="s">
        <v>7630</v>
      </c>
      <c r="E1983" t="s">
        <v>38</v>
      </c>
      <c r="F1983">
        <v>12</v>
      </c>
      <c r="G1983" t="s">
        <v>68</v>
      </c>
      <c r="H1983" t="s">
        <v>25</v>
      </c>
      <c r="I1983" t="s">
        <v>47</v>
      </c>
    </row>
    <row r="1984" spans="1:9" x14ac:dyDescent="0.45">
      <c r="A1984" t="s">
        <v>7631</v>
      </c>
      <c r="B1984" s="2">
        <v>46052</v>
      </c>
      <c r="C1984" t="s">
        <v>28</v>
      </c>
      <c r="D1984" t="s">
        <v>7632</v>
      </c>
      <c r="E1984" t="s">
        <v>42</v>
      </c>
      <c r="F1984">
        <v>4</v>
      </c>
      <c r="G1984" t="s">
        <v>55</v>
      </c>
      <c r="H1984" t="s">
        <v>72</v>
      </c>
      <c r="I1984" t="s">
        <v>31</v>
      </c>
    </row>
    <row r="1985" spans="1:9" x14ac:dyDescent="0.45">
      <c r="A1985" t="s">
        <v>7633</v>
      </c>
      <c r="B1985" s="2">
        <v>46059</v>
      </c>
      <c r="C1985" t="s">
        <v>99</v>
      </c>
      <c r="D1985" t="s">
        <v>7634</v>
      </c>
      <c r="E1985" t="s">
        <v>7974</v>
      </c>
      <c r="F1985">
        <v>6</v>
      </c>
      <c r="G1985" t="s">
        <v>35</v>
      </c>
      <c r="H1985" t="s">
        <v>25</v>
      </c>
      <c r="I1985" t="s">
        <v>19</v>
      </c>
    </row>
    <row r="1986" spans="1:9" x14ac:dyDescent="0.45">
      <c r="A1986" t="s">
        <v>7635</v>
      </c>
      <c r="B1986" s="2">
        <v>46064</v>
      </c>
      <c r="C1986" t="s">
        <v>49</v>
      </c>
      <c r="D1986" t="s">
        <v>7636</v>
      </c>
      <c r="E1986" t="s">
        <v>75</v>
      </c>
      <c r="F1986">
        <v>1</v>
      </c>
      <c r="G1986" t="s">
        <v>59</v>
      </c>
      <c r="H1986" t="s">
        <v>14</v>
      </c>
      <c r="I1986" t="s">
        <v>47</v>
      </c>
    </row>
    <row r="1987" spans="1:9" x14ac:dyDescent="0.45">
      <c r="A1987" t="s">
        <v>7637</v>
      </c>
      <c r="B1987" s="2">
        <v>46116</v>
      </c>
      <c r="C1987" t="s">
        <v>21</v>
      </c>
      <c r="D1987" t="s">
        <v>7638</v>
      </c>
      <c r="E1987" t="s">
        <v>75</v>
      </c>
      <c r="F1987">
        <v>3</v>
      </c>
      <c r="G1987" t="s">
        <v>24</v>
      </c>
      <c r="H1987" t="s">
        <v>25</v>
      </c>
      <c r="I1987" t="s">
        <v>60</v>
      </c>
    </row>
    <row r="1988" spans="1:9" x14ac:dyDescent="0.45">
      <c r="A1988" t="s">
        <v>7639</v>
      </c>
      <c r="B1988" s="2">
        <v>46109</v>
      </c>
      <c r="C1988" t="s">
        <v>66</v>
      </c>
      <c r="D1988" t="s">
        <v>7640</v>
      </c>
      <c r="E1988" t="s">
        <v>34</v>
      </c>
      <c r="F1988">
        <v>4</v>
      </c>
      <c r="G1988" t="s">
        <v>24</v>
      </c>
      <c r="H1988" t="s">
        <v>25</v>
      </c>
      <c r="I1988" t="s">
        <v>60</v>
      </c>
    </row>
    <row r="1989" spans="1:9" x14ac:dyDescent="0.45">
      <c r="A1989" t="s">
        <v>7641</v>
      </c>
      <c r="B1989" s="2">
        <v>46133</v>
      </c>
      <c r="C1989" t="s">
        <v>52</v>
      </c>
      <c r="D1989" t="s">
        <v>7642</v>
      </c>
      <c r="E1989" t="s">
        <v>34</v>
      </c>
      <c r="F1989">
        <v>8</v>
      </c>
      <c r="G1989" t="s">
        <v>35</v>
      </c>
      <c r="H1989" t="s">
        <v>25</v>
      </c>
      <c r="I1989" t="s">
        <v>39</v>
      </c>
    </row>
    <row r="1990" spans="1:9" x14ac:dyDescent="0.45">
      <c r="A1990" t="s">
        <v>7643</v>
      </c>
      <c r="B1990" s="2">
        <v>46219</v>
      </c>
      <c r="C1990" t="s">
        <v>66</v>
      </c>
      <c r="D1990" t="s">
        <v>7644</v>
      </c>
      <c r="E1990" t="s">
        <v>7974</v>
      </c>
      <c r="F1990">
        <v>3</v>
      </c>
      <c r="G1990" t="s">
        <v>18</v>
      </c>
      <c r="H1990" t="s">
        <v>14</v>
      </c>
      <c r="I1990" t="s">
        <v>31</v>
      </c>
    </row>
    <row r="1991" spans="1:9" x14ac:dyDescent="0.45">
      <c r="A1991" t="s">
        <v>7645</v>
      </c>
      <c r="B1991" s="2">
        <v>46178</v>
      </c>
      <c r="C1991" t="s">
        <v>10</v>
      </c>
      <c r="D1991" t="s">
        <v>7646</v>
      </c>
      <c r="E1991" t="s">
        <v>7974</v>
      </c>
      <c r="F1991">
        <v>7</v>
      </c>
      <c r="G1991" t="s">
        <v>18</v>
      </c>
      <c r="H1991" t="s">
        <v>14</v>
      </c>
      <c r="I1991" t="s">
        <v>60</v>
      </c>
    </row>
    <row r="1992" spans="1:9" x14ac:dyDescent="0.45">
      <c r="A1992" t="s">
        <v>7647</v>
      </c>
      <c r="B1992" s="2">
        <v>46072</v>
      </c>
      <c r="C1992" t="s">
        <v>66</v>
      </c>
      <c r="D1992" t="s">
        <v>7648</v>
      </c>
      <c r="E1992" t="s">
        <v>7973</v>
      </c>
      <c r="F1992">
        <v>5</v>
      </c>
      <c r="G1992" t="s">
        <v>18</v>
      </c>
      <c r="H1992" t="s">
        <v>14</v>
      </c>
      <c r="I1992" t="s">
        <v>31</v>
      </c>
    </row>
    <row r="1993" spans="1:9" x14ac:dyDescent="0.45">
      <c r="A1993" t="s">
        <v>7649</v>
      </c>
      <c r="B1993" s="2">
        <v>46136</v>
      </c>
      <c r="C1993" t="s">
        <v>21</v>
      </c>
      <c r="D1993" t="s">
        <v>7650</v>
      </c>
      <c r="E1993" t="s">
        <v>7973</v>
      </c>
      <c r="F1993">
        <v>3</v>
      </c>
      <c r="G1993" t="s">
        <v>13</v>
      </c>
      <c r="H1993" t="s">
        <v>14</v>
      </c>
      <c r="I1993" t="s">
        <v>31</v>
      </c>
    </row>
    <row r="1994" spans="1:9" x14ac:dyDescent="0.45">
      <c r="A1994" t="s">
        <v>7651</v>
      </c>
      <c r="B1994" s="2">
        <v>46192</v>
      </c>
      <c r="C1994" t="s">
        <v>16</v>
      </c>
      <c r="D1994" t="s">
        <v>7652</v>
      </c>
      <c r="E1994" t="s">
        <v>46</v>
      </c>
      <c r="F1994">
        <v>2</v>
      </c>
      <c r="G1994" t="s">
        <v>43</v>
      </c>
      <c r="H1994" t="s">
        <v>14</v>
      </c>
      <c r="I1994" t="s">
        <v>19</v>
      </c>
    </row>
    <row r="1995" spans="1:9" x14ac:dyDescent="0.45">
      <c r="A1995" t="s">
        <v>7653</v>
      </c>
      <c r="B1995" s="2">
        <v>46159</v>
      </c>
      <c r="C1995" t="s">
        <v>52</v>
      </c>
      <c r="D1995" t="s">
        <v>7654</v>
      </c>
      <c r="E1995" t="s">
        <v>7974</v>
      </c>
      <c r="F1995">
        <v>10</v>
      </c>
      <c r="G1995" t="s">
        <v>18</v>
      </c>
      <c r="H1995" t="s">
        <v>14</v>
      </c>
      <c r="I1995" t="s">
        <v>47</v>
      </c>
    </row>
    <row r="1996" spans="1:9" x14ac:dyDescent="0.45">
      <c r="A1996" t="s">
        <v>7655</v>
      </c>
      <c r="B1996" s="2">
        <v>46192</v>
      </c>
      <c r="C1996" t="s">
        <v>52</v>
      </c>
      <c r="D1996" t="s">
        <v>7656</v>
      </c>
      <c r="E1996" t="s">
        <v>58</v>
      </c>
      <c r="F1996">
        <v>8</v>
      </c>
      <c r="G1996" t="s">
        <v>59</v>
      </c>
      <c r="H1996" t="s">
        <v>14</v>
      </c>
      <c r="I1996" t="s">
        <v>60</v>
      </c>
    </row>
    <row r="1997" spans="1:9" x14ac:dyDescent="0.45">
      <c r="A1997" t="s">
        <v>7657</v>
      </c>
      <c r="B1997" s="2">
        <v>46154</v>
      </c>
      <c r="C1997" t="s">
        <v>28</v>
      </c>
      <c r="D1997" t="s">
        <v>7658</v>
      </c>
      <c r="E1997" t="s">
        <v>75</v>
      </c>
      <c r="F1997">
        <v>9</v>
      </c>
      <c r="G1997" t="s">
        <v>59</v>
      </c>
      <c r="H1997" t="s">
        <v>14</v>
      </c>
      <c r="I1997" t="s">
        <v>47</v>
      </c>
    </row>
    <row r="1998" spans="1:9" x14ac:dyDescent="0.45">
      <c r="A1998" t="s">
        <v>7659</v>
      </c>
      <c r="B1998" s="2">
        <v>46128</v>
      </c>
      <c r="C1998" t="s">
        <v>16</v>
      </c>
      <c r="D1998" t="s">
        <v>7660</v>
      </c>
      <c r="E1998" t="s">
        <v>71</v>
      </c>
      <c r="F1998">
        <v>9</v>
      </c>
      <c r="G1998" t="s">
        <v>55</v>
      </c>
      <c r="H1998" t="s">
        <v>72</v>
      </c>
      <c r="I1998" t="s">
        <v>60</v>
      </c>
    </row>
    <row r="1999" spans="1:9" x14ac:dyDescent="0.45">
      <c r="A1999" t="s">
        <v>7661</v>
      </c>
      <c r="B1999" s="2">
        <v>46168</v>
      </c>
      <c r="C1999" t="s">
        <v>16</v>
      </c>
      <c r="D1999" t="s">
        <v>7662</v>
      </c>
      <c r="E1999" t="s">
        <v>7973</v>
      </c>
      <c r="F1999">
        <v>9</v>
      </c>
      <c r="G1999" t="s">
        <v>13</v>
      </c>
      <c r="H1999" t="s">
        <v>14</v>
      </c>
      <c r="I1999" t="s">
        <v>19</v>
      </c>
    </row>
    <row r="2000" spans="1:9" x14ac:dyDescent="0.45">
      <c r="A2000" t="s">
        <v>7663</v>
      </c>
      <c r="B2000" s="2">
        <v>46113</v>
      </c>
      <c r="C2000" t="s">
        <v>49</v>
      </c>
      <c r="D2000" t="s">
        <v>7664</v>
      </c>
      <c r="E2000" t="s">
        <v>7973</v>
      </c>
      <c r="F2000">
        <v>6</v>
      </c>
      <c r="G2000" t="s">
        <v>59</v>
      </c>
      <c r="H2000" t="s">
        <v>14</v>
      </c>
      <c r="I2000" t="s">
        <v>47</v>
      </c>
    </row>
    <row r="2001" spans="1:9" x14ac:dyDescent="0.45">
      <c r="A2001" t="s">
        <v>7665</v>
      </c>
      <c r="B2001" s="2">
        <v>46267</v>
      </c>
      <c r="C2001" t="s">
        <v>28</v>
      </c>
      <c r="D2001" t="s">
        <v>7666</v>
      </c>
      <c r="E2001" t="s">
        <v>7973</v>
      </c>
      <c r="F2001">
        <v>11</v>
      </c>
      <c r="G2001" t="s">
        <v>68</v>
      </c>
      <c r="H2001" t="s">
        <v>25</v>
      </c>
      <c r="I2001" t="s">
        <v>60</v>
      </c>
    </row>
    <row r="2002" spans="1:9" x14ac:dyDescent="0.45">
      <c r="A2002" t="s">
        <v>7667</v>
      </c>
      <c r="B2002" s="2">
        <v>46046</v>
      </c>
      <c r="C2002" t="s">
        <v>99</v>
      </c>
      <c r="D2002" t="s">
        <v>7668</v>
      </c>
      <c r="E2002" t="s">
        <v>71</v>
      </c>
      <c r="F2002">
        <v>9</v>
      </c>
      <c r="G2002" t="s">
        <v>43</v>
      </c>
      <c r="H2002" t="s">
        <v>14</v>
      </c>
      <c r="I2002" t="s">
        <v>47</v>
      </c>
    </row>
    <row r="2003" spans="1:9" x14ac:dyDescent="0.45">
      <c r="A2003" t="s">
        <v>7669</v>
      </c>
      <c r="B2003" s="2">
        <v>46192</v>
      </c>
      <c r="C2003" t="s">
        <v>28</v>
      </c>
      <c r="D2003" t="s">
        <v>7670</v>
      </c>
      <c r="E2003" t="s">
        <v>54</v>
      </c>
      <c r="F2003">
        <v>7</v>
      </c>
      <c r="G2003" t="s">
        <v>55</v>
      </c>
      <c r="H2003" t="s">
        <v>72</v>
      </c>
      <c r="I2003" t="s">
        <v>26</v>
      </c>
    </row>
    <row r="2004" spans="1:9" x14ac:dyDescent="0.45">
      <c r="A2004" t="s">
        <v>7671</v>
      </c>
      <c r="B2004" s="2">
        <v>46107</v>
      </c>
      <c r="C2004" t="s">
        <v>99</v>
      </c>
      <c r="D2004" t="s">
        <v>7672</v>
      </c>
      <c r="E2004" t="s">
        <v>38</v>
      </c>
      <c r="F2004">
        <v>11</v>
      </c>
      <c r="G2004" t="s">
        <v>18</v>
      </c>
      <c r="H2004" t="s">
        <v>14</v>
      </c>
      <c r="I2004" t="s">
        <v>26</v>
      </c>
    </row>
    <row r="2005" spans="1:9" x14ac:dyDescent="0.45">
      <c r="A2005" t="s">
        <v>7673</v>
      </c>
      <c r="B2005" s="2">
        <v>46108</v>
      </c>
      <c r="C2005" t="s">
        <v>52</v>
      </c>
      <c r="D2005" t="s">
        <v>7674</v>
      </c>
      <c r="E2005" t="s">
        <v>30</v>
      </c>
      <c r="F2005">
        <v>6</v>
      </c>
      <c r="G2005" t="s">
        <v>35</v>
      </c>
      <c r="H2005" t="s">
        <v>25</v>
      </c>
      <c r="I2005" t="s">
        <v>47</v>
      </c>
    </row>
    <row r="2006" spans="1:9" x14ac:dyDescent="0.45">
      <c r="A2006" t="s">
        <v>7675</v>
      </c>
      <c r="B2006" s="2">
        <v>46263</v>
      </c>
      <c r="C2006" t="s">
        <v>52</v>
      </c>
      <c r="D2006" t="s">
        <v>7676</v>
      </c>
      <c r="E2006" t="s">
        <v>23</v>
      </c>
      <c r="F2006">
        <v>8</v>
      </c>
      <c r="G2006" t="s">
        <v>24</v>
      </c>
      <c r="H2006" t="s">
        <v>25</v>
      </c>
      <c r="I2006" t="s">
        <v>31</v>
      </c>
    </row>
    <row r="2007" spans="1:9" x14ac:dyDescent="0.45">
      <c r="A2007" t="s">
        <v>7677</v>
      </c>
      <c r="B2007" s="2">
        <v>46174</v>
      </c>
      <c r="C2007" t="s">
        <v>28</v>
      </c>
      <c r="D2007" t="s">
        <v>7678</v>
      </c>
      <c r="E2007" t="s">
        <v>7973</v>
      </c>
      <c r="F2007">
        <v>7</v>
      </c>
      <c r="G2007" t="s">
        <v>35</v>
      </c>
      <c r="H2007" t="s">
        <v>25</v>
      </c>
      <c r="I2007" t="s">
        <v>47</v>
      </c>
    </row>
    <row r="2008" spans="1:9" x14ac:dyDescent="0.45">
      <c r="A2008" t="s">
        <v>7679</v>
      </c>
      <c r="B2008" s="2">
        <v>46060</v>
      </c>
      <c r="C2008" t="s">
        <v>99</v>
      </c>
      <c r="D2008" t="s">
        <v>7680</v>
      </c>
      <c r="E2008" t="s">
        <v>7973</v>
      </c>
      <c r="F2008">
        <v>5</v>
      </c>
      <c r="G2008" t="s">
        <v>68</v>
      </c>
      <c r="H2008" t="s">
        <v>25</v>
      </c>
      <c r="I2008" t="s">
        <v>19</v>
      </c>
    </row>
    <row r="2009" spans="1:9" x14ac:dyDescent="0.45">
      <c r="A2009" t="s">
        <v>7681</v>
      </c>
      <c r="B2009" s="2">
        <v>46176</v>
      </c>
      <c r="C2009" t="s">
        <v>21</v>
      </c>
      <c r="D2009" t="s">
        <v>7682</v>
      </c>
      <c r="E2009" t="s">
        <v>54</v>
      </c>
      <c r="F2009">
        <v>1</v>
      </c>
      <c r="G2009" t="s">
        <v>35</v>
      </c>
      <c r="H2009" t="s">
        <v>25</v>
      </c>
      <c r="I2009" t="s">
        <v>39</v>
      </c>
    </row>
    <row r="2010" spans="1:9" x14ac:dyDescent="0.45">
      <c r="A2010" t="s">
        <v>7683</v>
      </c>
      <c r="B2010" s="2">
        <v>46054</v>
      </c>
      <c r="C2010" t="s">
        <v>16</v>
      </c>
      <c r="D2010" t="s">
        <v>7684</v>
      </c>
      <c r="E2010" t="s">
        <v>71</v>
      </c>
      <c r="F2010">
        <v>12</v>
      </c>
      <c r="G2010" t="s">
        <v>13</v>
      </c>
      <c r="H2010" t="s">
        <v>14</v>
      </c>
      <c r="I2010" t="s">
        <v>47</v>
      </c>
    </row>
    <row r="2011" spans="1:9" x14ac:dyDescent="0.45">
      <c r="A2011" t="s">
        <v>7685</v>
      </c>
      <c r="B2011" s="2">
        <v>46256</v>
      </c>
      <c r="C2011" t="s">
        <v>16</v>
      </c>
      <c r="D2011" t="s">
        <v>7686</v>
      </c>
      <c r="E2011" t="s">
        <v>34</v>
      </c>
      <c r="F2011">
        <v>12</v>
      </c>
      <c r="G2011" t="s">
        <v>24</v>
      </c>
      <c r="H2011" t="s">
        <v>25</v>
      </c>
      <c r="I2011" t="s">
        <v>31</v>
      </c>
    </row>
    <row r="2012" spans="1:9" x14ac:dyDescent="0.45">
      <c r="A2012" t="s">
        <v>7687</v>
      </c>
      <c r="B2012" s="2">
        <v>46170</v>
      </c>
      <c r="C2012" t="s">
        <v>99</v>
      </c>
      <c r="D2012" t="s">
        <v>7688</v>
      </c>
      <c r="E2012" t="s">
        <v>71</v>
      </c>
      <c r="F2012">
        <v>8</v>
      </c>
      <c r="G2012" t="s">
        <v>43</v>
      </c>
      <c r="H2012" t="s">
        <v>14</v>
      </c>
      <c r="I2012" t="s">
        <v>19</v>
      </c>
    </row>
    <row r="2013" spans="1:9" x14ac:dyDescent="0.45">
      <c r="A2013" t="s">
        <v>7689</v>
      </c>
      <c r="B2013" s="2">
        <v>46145</v>
      </c>
      <c r="C2013" t="s">
        <v>66</v>
      </c>
      <c r="D2013" t="s">
        <v>7690</v>
      </c>
      <c r="E2013" t="s">
        <v>7973</v>
      </c>
      <c r="F2013">
        <v>7</v>
      </c>
      <c r="G2013" t="s">
        <v>13</v>
      </c>
      <c r="H2013" t="s">
        <v>14</v>
      </c>
      <c r="I2013" t="s">
        <v>60</v>
      </c>
    </row>
    <row r="2014" spans="1:9" x14ac:dyDescent="0.45">
      <c r="A2014" t="s">
        <v>7691</v>
      </c>
      <c r="B2014" s="2">
        <v>46200</v>
      </c>
      <c r="C2014" t="s">
        <v>16</v>
      </c>
      <c r="D2014" t="s">
        <v>7692</v>
      </c>
      <c r="E2014" t="s">
        <v>75</v>
      </c>
      <c r="F2014">
        <v>3</v>
      </c>
      <c r="G2014" t="s">
        <v>43</v>
      </c>
      <c r="H2014" t="s">
        <v>14</v>
      </c>
      <c r="I2014" t="s">
        <v>60</v>
      </c>
    </row>
    <row r="2015" spans="1:9" x14ac:dyDescent="0.45">
      <c r="A2015" t="s">
        <v>7693</v>
      </c>
      <c r="B2015" s="2">
        <v>46053</v>
      </c>
      <c r="C2015" t="s">
        <v>52</v>
      </c>
      <c r="D2015" t="s">
        <v>7694</v>
      </c>
      <c r="E2015" t="s">
        <v>46</v>
      </c>
      <c r="F2015">
        <v>1</v>
      </c>
      <c r="G2015" t="s">
        <v>68</v>
      </c>
      <c r="H2015" t="s">
        <v>25</v>
      </c>
      <c r="I2015" t="s">
        <v>7967</v>
      </c>
    </row>
    <row r="2016" spans="1:9" x14ac:dyDescent="0.45">
      <c r="A2016" t="s">
        <v>7695</v>
      </c>
      <c r="B2016" s="2">
        <v>46181</v>
      </c>
      <c r="C2016" t="s">
        <v>28</v>
      </c>
      <c r="D2016" t="s">
        <v>7696</v>
      </c>
      <c r="E2016" t="s">
        <v>46</v>
      </c>
      <c r="F2016">
        <v>6</v>
      </c>
      <c r="G2016" t="s">
        <v>18</v>
      </c>
      <c r="H2016" t="s">
        <v>14</v>
      </c>
      <c r="I2016" t="s">
        <v>19</v>
      </c>
    </row>
    <row r="2017" spans="1:9" x14ac:dyDescent="0.45">
      <c r="A2017" t="s">
        <v>7697</v>
      </c>
      <c r="B2017" s="2">
        <v>46131</v>
      </c>
      <c r="C2017" t="s">
        <v>16</v>
      </c>
      <c r="D2017" t="s">
        <v>7698</v>
      </c>
      <c r="E2017" t="s">
        <v>7973</v>
      </c>
      <c r="F2017">
        <v>9</v>
      </c>
      <c r="G2017" t="s">
        <v>35</v>
      </c>
      <c r="H2017" t="s">
        <v>25</v>
      </c>
      <c r="I2017" t="s">
        <v>26</v>
      </c>
    </row>
    <row r="2018" spans="1:9" x14ac:dyDescent="0.45">
      <c r="A2018" t="s">
        <v>7699</v>
      </c>
      <c r="B2018" s="2">
        <v>46143</v>
      </c>
      <c r="C2018" t="s">
        <v>21</v>
      </c>
      <c r="D2018" t="s">
        <v>7700</v>
      </c>
      <c r="E2018" t="s">
        <v>42</v>
      </c>
      <c r="F2018">
        <v>12</v>
      </c>
      <c r="G2018" t="s">
        <v>13</v>
      </c>
      <c r="H2018" t="s">
        <v>14</v>
      </c>
      <c r="I2018" t="s">
        <v>26</v>
      </c>
    </row>
    <row r="2019" spans="1:9" x14ac:dyDescent="0.45">
      <c r="A2019" t="s">
        <v>7701</v>
      </c>
      <c r="B2019" s="2">
        <v>46088</v>
      </c>
      <c r="C2019" t="s">
        <v>28</v>
      </c>
      <c r="D2019" t="s">
        <v>7702</v>
      </c>
      <c r="E2019" t="s">
        <v>310</v>
      </c>
      <c r="F2019">
        <v>10</v>
      </c>
      <c r="G2019" t="s">
        <v>18</v>
      </c>
      <c r="H2019" t="s">
        <v>14</v>
      </c>
      <c r="I2019" t="s">
        <v>19</v>
      </c>
    </row>
    <row r="2020" spans="1:9" x14ac:dyDescent="0.45">
      <c r="A2020" t="s">
        <v>7703</v>
      </c>
      <c r="B2020" s="2">
        <v>46253</v>
      </c>
      <c r="C2020" t="s">
        <v>28</v>
      </c>
      <c r="D2020" t="s">
        <v>7704</v>
      </c>
      <c r="E2020" t="s">
        <v>54</v>
      </c>
      <c r="F2020">
        <v>6</v>
      </c>
      <c r="G2020" t="s">
        <v>55</v>
      </c>
      <c r="H2020" t="s">
        <v>72</v>
      </c>
      <c r="I2020" t="s">
        <v>31</v>
      </c>
    </row>
    <row r="2021" spans="1:9" x14ac:dyDescent="0.45">
      <c r="A2021" t="s">
        <v>7705</v>
      </c>
      <c r="B2021" s="2">
        <v>46265</v>
      </c>
      <c r="C2021" t="s">
        <v>66</v>
      </c>
      <c r="D2021" t="s">
        <v>7706</v>
      </c>
      <c r="E2021" t="s">
        <v>42</v>
      </c>
      <c r="F2021">
        <v>12</v>
      </c>
      <c r="G2021" t="s">
        <v>13</v>
      </c>
      <c r="H2021" t="s">
        <v>14</v>
      </c>
      <c r="I2021" t="s">
        <v>47</v>
      </c>
    </row>
    <row r="2022" spans="1:9" x14ac:dyDescent="0.45">
      <c r="A2022" t="s">
        <v>7707</v>
      </c>
      <c r="B2022" s="2">
        <v>46208</v>
      </c>
      <c r="C2022" t="s">
        <v>21</v>
      </c>
      <c r="D2022" t="s">
        <v>7708</v>
      </c>
      <c r="E2022" t="s">
        <v>23</v>
      </c>
      <c r="F2022">
        <v>4</v>
      </c>
      <c r="G2022" t="s">
        <v>24</v>
      </c>
      <c r="H2022" t="s">
        <v>25</v>
      </c>
      <c r="I2022" t="s">
        <v>19</v>
      </c>
    </row>
    <row r="2023" spans="1:9" x14ac:dyDescent="0.45">
      <c r="A2023" t="s">
        <v>7709</v>
      </c>
      <c r="B2023" s="2">
        <v>46189</v>
      </c>
      <c r="C2023" t="s">
        <v>49</v>
      </c>
      <c r="D2023" t="s">
        <v>7710</v>
      </c>
      <c r="E2023" t="s">
        <v>38</v>
      </c>
      <c r="F2023">
        <v>9</v>
      </c>
      <c r="G2023" t="s">
        <v>24</v>
      </c>
      <c r="H2023" t="s">
        <v>25</v>
      </c>
      <c r="I2023" t="s">
        <v>26</v>
      </c>
    </row>
    <row r="2024" spans="1:9" x14ac:dyDescent="0.45">
      <c r="A2024" t="s">
        <v>7711</v>
      </c>
      <c r="B2024" s="2">
        <v>46106</v>
      </c>
      <c r="C2024" t="s">
        <v>21</v>
      </c>
      <c r="D2024" t="s">
        <v>7712</v>
      </c>
      <c r="E2024" t="s">
        <v>23</v>
      </c>
      <c r="F2024">
        <v>12</v>
      </c>
      <c r="G2024" t="s">
        <v>59</v>
      </c>
      <c r="H2024" t="s">
        <v>14</v>
      </c>
      <c r="I2024" t="s">
        <v>47</v>
      </c>
    </row>
    <row r="2025" spans="1:9" x14ac:dyDescent="0.45">
      <c r="A2025" t="s">
        <v>7713</v>
      </c>
      <c r="B2025" s="2">
        <v>46240</v>
      </c>
      <c r="C2025" t="s">
        <v>10</v>
      </c>
      <c r="D2025" t="s">
        <v>7714</v>
      </c>
      <c r="E2025" t="s">
        <v>75</v>
      </c>
      <c r="F2025">
        <v>12</v>
      </c>
      <c r="G2025" t="s">
        <v>59</v>
      </c>
      <c r="H2025" t="s">
        <v>14</v>
      </c>
      <c r="I2025" t="s">
        <v>26</v>
      </c>
    </row>
    <row r="2026" spans="1:9" x14ac:dyDescent="0.45">
      <c r="A2026" t="s">
        <v>7715</v>
      </c>
      <c r="B2026" s="2">
        <v>46099</v>
      </c>
      <c r="C2026" t="s">
        <v>99</v>
      </c>
      <c r="D2026" t="s">
        <v>7716</v>
      </c>
      <c r="E2026" t="s">
        <v>71</v>
      </c>
      <c r="F2026">
        <v>3</v>
      </c>
      <c r="G2026" t="s">
        <v>59</v>
      </c>
      <c r="H2026" t="s">
        <v>14</v>
      </c>
      <c r="I2026" t="s">
        <v>39</v>
      </c>
    </row>
    <row r="2027" spans="1:9" x14ac:dyDescent="0.45">
      <c r="A2027" t="s">
        <v>7717</v>
      </c>
      <c r="B2027" s="2">
        <v>46247</v>
      </c>
      <c r="C2027" t="s">
        <v>66</v>
      </c>
      <c r="D2027" t="s">
        <v>7718</v>
      </c>
      <c r="E2027" t="s">
        <v>7973</v>
      </c>
      <c r="F2027">
        <v>4</v>
      </c>
      <c r="G2027" t="s">
        <v>35</v>
      </c>
      <c r="H2027" t="s">
        <v>25</v>
      </c>
      <c r="I2027" t="s">
        <v>31</v>
      </c>
    </row>
    <row r="2028" spans="1:9" x14ac:dyDescent="0.45">
      <c r="A2028" t="s">
        <v>7719</v>
      </c>
      <c r="B2028" s="2">
        <v>46046</v>
      </c>
      <c r="C2028" t="s">
        <v>66</v>
      </c>
      <c r="D2028" t="s">
        <v>7720</v>
      </c>
      <c r="E2028" t="s">
        <v>42</v>
      </c>
      <c r="F2028">
        <v>6</v>
      </c>
      <c r="G2028" t="s">
        <v>68</v>
      </c>
      <c r="H2028" t="s">
        <v>25</v>
      </c>
      <c r="I2028" t="s">
        <v>60</v>
      </c>
    </row>
    <row r="2029" spans="1:9" x14ac:dyDescent="0.45">
      <c r="A2029" t="s">
        <v>7721</v>
      </c>
      <c r="B2029" s="2">
        <v>46165</v>
      </c>
      <c r="C2029" t="s">
        <v>16</v>
      </c>
      <c r="D2029" t="s">
        <v>7722</v>
      </c>
      <c r="E2029" t="s">
        <v>58</v>
      </c>
      <c r="F2029">
        <v>2</v>
      </c>
      <c r="G2029" t="s">
        <v>35</v>
      </c>
      <c r="H2029" t="s">
        <v>25</v>
      </c>
      <c r="I2029" t="s">
        <v>47</v>
      </c>
    </row>
    <row r="2030" spans="1:9" x14ac:dyDescent="0.45">
      <c r="A2030" t="s">
        <v>7723</v>
      </c>
      <c r="B2030" s="2">
        <v>46181</v>
      </c>
      <c r="C2030" t="s">
        <v>16</v>
      </c>
      <c r="D2030" t="s">
        <v>7724</v>
      </c>
      <c r="E2030" t="s">
        <v>58</v>
      </c>
      <c r="F2030">
        <v>12</v>
      </c>
      <c r="G2030" t="s">
        <v>68</v>
      </c>
      <c r="H2030" t="s">
        <v>25</v>
      </c>
      <c r="I2030" t="s">
        <v>26</v>
      </c>
    </row>
    <row r="2031" spans="1:9" x14ac:dyDescent="0.45">
      <c r="A2031" t="s">
        <v>7725</v>
      </c>
      <c r="B2031" s="2">
        <v>46223</v>
      </c>
      <c r="C2031" t="s">
        <v>16</v>
      </c>
      <c r="D2031" t="s">
        <v>7726</v>
      </c>
      <c r="E2031" t="s">
        <v>58</v>
      </c>
      <c r="F2031">
        <v>5</v>
      </c>
      <c r="G2031" t="s">
        <v>68</v>
      </c>
      <c r="H2031" t="s">
        <v>25</v>
      </c>
      <c r="I2031" t="s">
        <v>7967</v>
      </c>
    </row>
    <row r="2032" spans="1:9" x14ac:dyDescent="0.45">
      <c r="A2032" t="s">
        <v>7727</v>
      </c>
      <c r="B2032" s="2">
        <v>46074</v>
      </c>
      <c r="C2032" t="s">
        <v>66</v>
      </c>
      <c r="D2032" t="s">
        <v>7728</v>
      </c>
      <c r="E2032" t="s">
        <v>30</v>
      </c>
      <c r="F2032">
        <v>2</v>
      </c>
      <c r="G2032" t="s">
        <v>24</v>
      </c>
      <c r="H2032" t="s">
        <v>25</v>
      </c>
      <c r="I2032" t="s">
        <v>47</v>
      </c>
    </row>
    <row r="2033" spans="1:9" x14ac:dyDescent="0.45">
      <c r="A2033" t="s">
        <v>7729</v>
      </c>
      <c r="B2033" s="2">
        <v>46047</v>
      </c>
      <c r="C2033" t="s">
        <v>49</v>
      </c>
      <c r="D2033" t="s">
        <v>7730</v>
      </c>
      <c r="E2033" t="s">
        <v>34</v>
      </c>
      <c r="F2033">
        <v>4</v>
      </c>
      <c r="G2033" t="s">
        <v>7967</v>
      </c>
      <c r="H2033" t="s">
        <v>25</v>
      </c>
      <c r="I2033" t="s">
        <v>60</v>
      </c>
    </row>
    <row r="2034" spans="1:9" x14ac:dyDescent="0.45">
      <c r="A2034" t="s">
        <v>7731</v>
      </c>
      <c r="B2034" s="2">
        <v>46209</v>
      </c>
      <c r="C2034" t="s">
        <v>21</v>
      </c>
      <c r="D2034" t="s">
        <v>7732</v>
      </c>
      <c r="E2034" t="s">
        <v>23</v>
      </c>
      <c r="F2034">
        <v>8</v>
      </c>
      <c r="G2034" t="s">
        <v>35</v>
      </c>
      <c r="H2034" t="s">
        <v>25</v>
      </c>
      <c r="I2034" t="s">
        <v>60</v>
      </c>
    </row>
    <row r="2035" spans="1:9" x14ac:dyDescent="0.45">
      <c r="A2035" t="s">
        <v>7733</v>
      </c>
      <c r="B2035" s="2">
        <v>46209</v>
      </c>
      <c r="C2035" t="s">
        <v>28</v>
      </c>
      <c r="D2035" t="s">
        <v>7734</v>
      </c>
      <c r="E2035" t="s">
        <v>7974</v>
      </c>
      <c r="F2035">
        <v>8</v>
      </c>
      <c r="G2035" t="s">
        <v>13</v>
      </c>
      <c r="H2035" t="s">
        <v>14</v>
      </c>
      <c r="I2035" t="s">
        <v>19</v>
      </c>
    </row>
    <row r="2036" spans="1:9" x14ac:dyDescent="0.45">
      <c r="A2036" t="s">
        <v>7735</v>
      </c>
      <c r="B2036" s="2">
        <v>46093</v>
      </c>
      <c r="C2036" t="s">
        <v>10</v>
      </c>
      <c r="D2036" t="s">
        <v>7736</v>
      </c>
      <c r="E2036" t="s">
        <v>71</v>
      </c>
      <c r="F2036">
        <v>1</v>
      </c>
      <c r="G2036" t="s">
        <v>43</v>
      </c>
      <c r="H2036" t="s">
        <v>14</v>
      </c>
      <c r="I2036" t="s">
        <v>31</v>
      </c>
    </row>
    <row r="2037" spans="1:9" x14ac:dyDescent="0.45">
      <c r="A2037" t="s">
        <v>7737</v>
      </c>
      <c r="B2037" s="2">
        <v>46120</v>
      </c>
      <c r="C2037" t="s">
        <v>49</v>
      </c>
      <c r="D2037" t="s">
        <v>7738</v>
      </c>
      <c r="E2037" t="s">
        <v>46</v>
      </c>
      <c r="F2037">
        <v>1</v>
      </c>
      <c r="G2037" t="s">
        <v>55</v>
      </c>
      <c r="H2037" t="s">
        <v>72</v>
      </c>
      <c r="I2037" t="s">
        <v>31</v>
      </c>
    </row>
    <row r="2038" spans="1:9" x14ac:dyDescent="0.45">
      <c r="A2038" t="s">
        <v>7739</v>
      </c>
      <c r="B2038" s="2">
        <v>46118</v>
      </c>
      <c r="C2038" t="s">
        <v>28</v>
      </c>
      <c r="D2038" t="s">
        <v>7740</v>
      </c>
      <c r="E2038" t="s">
        <v>71</v>
      </c>
      <c r="F2038">
        <v>9</v>
      </c>
      <c r="G2038" t="s">
        <v>55</v>
      </c>
      <c r="H2038" t="s">
        <v>72</v>
      </c>
      <c r="I2038" t="s">
        <v>31</v>
      </c>
    </row>
    <row r="2039" spans="1:9" x14ac:dyDescent="0.45">
      <c r="A2039" t="s">
        <v>7741</v>
      </c>
      <c r="B2039" s="2">
        <v>46033</v>
      </c>
      <c r="C2039" t="s">
        <v>49</v>
      </c>
      <c r="D2039" t="s">
        <v>7742</v>
      </c>
      <c r="E2039" t="s">
        <v>7974</v>
      </c>
      <c r="F2039">
        <v>3</v>
      </c>
      <c r="G2039" t="s">
        <v>35</v>
      </c>
      <c r="H2039" t="s">
        <v>25</v>
      </c>
      <c r="I2039" t="s">
        <v>31</v>
      </c>
    </row>
    <row r="2040" spans="1:9" x14ac:dyDescent="0.45">
      <c r="A2040" t="s">
        <v>7743</v>
      </c>
      <c r="B2040" s="2">
        <v>46255</v>
      </c>
      <c r="C2040" t="s">
        <v>49</v>
      </c>
      <c r="D2040" t="s">
        <v>7744</v>
      </c>
      <c r="E2040" t="s">
        <v>71</v>
      </c>
      <c r="F2040">
        <v>2</v>
      </c>
      <c r="G2040" t="s">
        <v>13</v>
      </c>
      <c r="H2040" t="s">
        <v>14</v>
      </c>
      <c r="I2040" t="s">
        <v>60</v>
      </c>
    </row>
    <row r="2041" spans="1:9" x14ac:dyDescent="0.45">
      <c r="A2041" t="s">
        <v>7745</v>
      </c>
      <c r="B2041" s="2">
        <v>46210</v>
      </c>
      <c r="C2041" t="s">
        <v>52</v>
      </c>
      <c r="D2041" t="s">
        <v>7746</v>
      </c>
      <c r="E2041" t="s">
        <v>46</v>
      </c>
      <c r="F2041">
        <v>6</v>
      </c>
      <c r="G2041" t="s">
        <v>24</v>
      </c>
      <c r="H2041" t="s">
        <v>25</v>
      </c>
      <c r="I2041" t="s">
        <v>47</v>
      </c>
    </row>
    <row r="2042" spans="1:9" x14ac:dyDescent="0.45">
      <c r="A2042" t="s">
        <v>7747</v>
      </c>
      <c r="B2042" s="2">
        <v>46119</v>
      </c>
      <c r="C2042" t="s">
        <v>10</v>
      </c>
      <c r="D2042" t="s">
        <v>7748</v>
      </c>
      <c r="E2042" t="s">
        <v>38</v>
      </c>
      <c r="F2042">
        <v>5</v>
      </c>
      <c r="G2042" t="s">
        <v>55</v>
      </c>
      <c r="H2042" t="s">
        <v>72</v>
      </c>
      <c r="I2042" t="s">
        <v>19</v>
      </c>
    </row>
    <row r="2043" spans="1:9" x14ac:dyDescent="0.45">
      <c r="A2043" t="s">
        <v>7749</v>
      </c>
      <c r="B2043" s="2">
        <v>46203</v>
      </c>
      <c r="C2043" t="s">
        <v>52</v>
      </c>
      <c r="D2043" t="s">
        <v>7750</v>
      </c>
      <c r="E2043" t="s">
        <v>34</v>
      </c>
      <c r="F2043">
        <v>10</v>
      </c>
      <c r="G2043" t="s">
        <v>35</v>
      </c>
      <c r="H2043" t="s">
        <v>25</v>
      </c>
      <c r="I2043" t="s">
        <v>39</v>
      </c>
    </row>
    <row r="2044" spans="1:9" x14ac:dyDescent="0.45">
      <c r="A2044" t="s">
        <v>7751</v>
      </c>
      <c r="B2044" s="2">
        <v>46220</v>
      </c>
      <c r="C2044" t="s">
        <v>66</v>
      </c>
      <c r="D2044" t="s">
        <v>7752</v>
      </c>
      <c r="E2044" t="s">
        <v>23</v>
      </c>
      <c r="F2044">
        <v>7</v>
      </c>
      <c r="G2044" t="s">
        <v>24</v>
      </c>
      <c r="H2044" t="s">
        <v>25</v>
      </c>
      <c r="I2044" t="s">
        <v>47</v>
      </c>
    </row>
    <row r="2045" spans="1:9" x14ac:dyDescent="0.45">
      <c r="A2045" t="s">
        <v>7753</v>
      </c>
      <c r="B2045" s="2">
        <v>46116</v>
      </c>
      <c r="C2045" t="s">
        <v>49</v>
      </c>
      <c r="D2045" t="s">
        <v>7754</v>
      </c>
      <c r="E2045" t="s">
        <v>42</v>
      </c>
      <c r="F2045">
        <v>4</v>
      </c>
      <c r="G2045" t="s">
        <v>59</v>
      </c>
      <c r="H2045" t="s">
        <v>14</v>
      </c>
      <c r="I2045" t="s">
        <v>7967</v>
      </c>
    </row>
    <row r="2046" spans="1:9" x14ac:dyDescent="0.45">
      <c r="A2046" t="s">
        <v>7755</v>
      </c>
      <c r="B2046" s="2">
        <v>46145</v>
      </c>
      <c r="C2046" t="s">
        <v>52</v>
      </c>
      <c r="D2046" t="s">
        <v>7756</v>
      </c>
      <c r="E2046" t="s">
        <v>7974</v>
      </c>
      <c r="F2046">
        <v>3</v>
      </c>
      <c r="G2046" t="s">
        <v>68</v>
      </c>
      <c r="H2046" t="s">
        <v>25</v>
      </c>
      <c r="I2046" t="s">
        <v>31</v>
      </c>
    </row>
    <row r="2047" spans="1:9" x14ac:dyDescent="0.45">
      <c r="A2047" t="s">
        <v>7757</v>
      </c>
      <c r="B2047" s="2">
        <v>46032</v>
      </c>
      <c r="C2047" t="s">
        <v>10</v>
      </c>
      <c r="D2047" t="s">
        <v>7758</v>
      </c>
      <c r="E2047" t="s">
        <v>71</v>
      </c>
      <c r="F2047">
        <v>3</v>
      </c>
      <c r="G2047" t="s">
        <v>13</v>
      </c>
      <c r="H2047" t="s">
        <v>14</v>
      </c>
      <c r="I2047" t="s">
        <v>31</v>
      </c>
    </row>
    <row r="2048" spans="1:9" x14ac:dyDescent="0.45">
      <c r="A2048" t="s">
        <v>7759</v>
      </c>
      <c r="B2048" s="2">
        <v>46228</v>
      </c>
      <c r="C2048" t="s">
        <v>99</v>
      </c>
      <c r="D2048" t="s">
        <v>7760</v>
      </c>
      <c r="E2048" t="s">
        <v>71</v>
      </c>
      <c r="F2048">
        <v>7</v>
      </c>
      <c r="G2048" t="s">
        <v>13</v>
      </c>
      <c r="H2048" t="s">
        <v>14</v>
      </c>
      <c r="I2048" t="s">
        <v>26</v>
      </c>
    </row>
    <row r="2049" spans="1:9" x14ac:dyDescent="0.45">
      <c r="A2049" t="s">
        <v>7761</v>
      </c>
      <c r="B2049" s="2">
        <v>46167</v>
      </c>
      <c r="C2049" t="s">
        <v>28</v>
      </c>
      <c r="D2049" t="s">
        <v>7762</v>
      </c>
      <c r="E2049" t="s">
        <v>58</v>
      </c>
      <c r="F2049">
        <v>8</v>
      </c>
      <c r="G2049" t="s">
        <v>55</v>
      </c>
      <c r="H2049" t="s">
        <v>72</v>
      </c>
      <c r="I2049" t="s">
        <v>39</v>
      </c>
    </row>
    <row r="2050" spans="1:9" x14ac:dyDescent="0.45">
      <c r="A2050" t="s">
        <v>7763</v>
      </c>
      <c r="B2050" s="2">
        <v>46099</v>
      </c>
      <c r="C2050" t="s">
        <v>21</v>
      </c>
      <c r="D2050" t="s">
        <v>7764</v>
      </c>
      <c r="E2050" t="s">
        <v>46</v>
      </c>
      <c r="F2050">
        <v>9</v>
      </c>
      <c r="G2050" t="s">
        <v>59</v>
      </c>
      <c r="H2050" t="s">
        <v>14</v>
      </c>
      <c r="I2050" t="s">
        <v>39</v>
      </c>
    </row>
    <row r="2051" spans="1:9" x14ac:dyDescent="0.45">
      <c r="A2051" t="s">
        <v>7765</v>
      </c>
      <c r="B2051" s="2">
        <v>46146</v>
      </c>
      <c r="C2051" t="s">
        <v>21</v>
      </c>
      <c r="D2051" t="s">
        <v>7766</v>
      </c>
      <c r="E2051" t="s">
        <v>38</v>
      </c>
      <c r="F2051">
        <v>10</v>
      </c>
      <c r="G2051" t="s">
        <v>55</v>
      </c>
      <c r="H2051" t="s">
        <v>72</v>
      </c>
      <c r="I2051" t="s">
        <v>26</v>
      </c>
    </row>
    <row r="2052" spans="1:9" x14ac:dyDescent="0.45">
      <c r="A2052" t="s">
        <v>7767</v>
      </c>
      <c r="B2052" s="2">
        <v>46093</v>
      </c>
      <c r="C2052" t="s">
        <v>21</v>
      </c>
      <c r="D2052" t="s">
        <v>7768</v>
      </c>
      <c r="E2052" t="s">
        <v>34</v>
      </c>
      <c r="F2052">
        <v>12</v>
      </c>
      <c r="G2052" t="s">
        <v>35</v>
      </c>
      <c r="H2052" t="s">
        <v>25</v>
      </c>
      <c r="I2052" t="s">
        <v>60</v>
      </c>
    </row>
    <row r="2053" spans="1:9" x14ac:dyDescent="0.45">
      <c r="A2053" t="s">
        <v>7769</v>
      </c>
      <c r="B2053" s="2">
        <v>46170</v>
      </c>
      <c r="C2053" t="s">
        <v>28</v>
      </c>
      <c r="D2053" t="s">
        <v>7770</v>
      </c>
      <c r="E2053" t="s">
        <v>34</v>
      </c>
      <c r="F2053">
        <v>12</v>
      </c>
      <c r="G2053" t="s">
        <v>35</v>
      </c>
      <c r="H2053" t="s">
        <v>25</v>
      </c>
      <c r="I2053" t="s">
        <v>60</v>
      </c>
    </row>
    <row r="2054" spans="1:9" x14ac:dyDescent="0.45">
      <c r="A2054" t="s">
        <v>7771</v>
      </c>
      <c r="B2054" s="2">
        <v>46147</v>
      </c>
      <c r="C2054" t="s">
        <v>16</v>
      </c>
      <c r="D2054" t="s">
        <v>7772</v>
      </c>
      <c r="E2054" t="s">
        <v>7973</v>
      </c>
      <c r="F2054">
        <v>5</v>
      </c>
      <c r="G2054" t="s">
        <v>13</v>
      </c>
      <c r="H2054" t="s">
        <v>14</v>
      </c>
      <c r="I2054" t="s">
        <v>47</v>
      </c>
    </row>
    <row r="2055" spans="1:9" x14ac:dyDescent="0.45">
      <c r="A2055" t="s">
        <v>7773</v>
      </c>
      <c r="B2055" s="2">
        <v>46113</v>
      </c>
      <c r="C2055" t="s">
        <v>16</v>
      </c>
      <c r="D2055" t="s">
        <v>7774</v>
      </c>
      <c r="E2055" t="s">
        <v>7974</v>
      </c>
      <c r="F2055">
        <v>6</v>
      </c>
      <c r="G2055" t="s">
        <v>18</v>
      </c>
      <c r="H2055" t="s">
        <v>14</v>
      </c>
      <c r="I2055" t="s">
        <v>31</v>
      </c>
    </row>
    <row r="2056" spans="1:9" x14ac:dyDescent="0.45">
      <c r="A2056" t="s">
        <v>7775</v>
      </c>
      <c r="B2056" s="2">
        <v>46189</v>
      </c>
      <c r="C2056" t="s">
        <v>66</v>
      </c>
      <c r="D2056" t="s">
        <v>7776</v>
      </c>
      <c r="E2056" t="s">
        <v>46</v>
      </c>
      <c r="F2056">
        <v>4</v>
      </c>
      <c r="G2056" t="s">
        <v>55</v>
      </c>
      <c r="H2056" t="s">
        <v>72</v>
      </c>
      <c r="I2056" t="s">
        <v>19</v>
      </c>
    </row>
    <row r="2057" spans="1:9" x14ac:dyDescent="0.45">
      <c r="A2057" t="s">
        <v>7777</v>
      </c>
      <c r="B2057" s="2">
        <v>46200</v>
      </c>
      <c r="C2057" t="s">
        <v>49</v>
      </c>
      <c r="D2057" t="s">
        <v>7778</v>
      </c>
      <c r="E2057" t="s">
        <v>7973</v>
      </c>
      <c r="F2057">
        <v>6</v>
      </c>
      <c r="G2057" t="s">
        <v>18</v>
      </c>
      <c r="H2057" t="s">
        <v>14</v>
      </c>
      <c r="I2057" t="s">
        <v>39</v>
      </c>
    </row>
    <row r="2058" spans="1:9" x14ac:dyDescent="0.45">
      <c r="A2058" t="s">
        <v>7779</v>
      </c>
      <c r="B2058" s="2">
        <v>46082</v>
      </c>
      <c r="C2058" t="s">
        <v>66</v>
      </c>
      <c r="D2058" t="s">
        <v>7780</v>
      </c>
      <c r="E2058" t="s">
        <v>46</v>
      </c>
      <c r="F2058">
        <v>8</v>
      </c>
      <c r="G2058" t="s">
        <v>59</v>
      </c>
      <c r="H2058" t="s">
        <v>14</v>
      </c>
      <c r="I2058" t="s">
        <v>26</v>
      </c>
    </row>
    <row r="2059" spans="1:9" x14ac:dyDescent="0.45">
      <c r="A2059" t="s">
        <v>7781</v>
      </c>
      <c r="B2059" s="2">
        <v>46047</v>
      </c>
      <c r="C2059" t="s">
        <v>66</v>
      </c>
      <c r="D2059" t="s">
        <v>7782</v>
      </c>
      <c r="E2059" t="s">
        <v>46</v>
      </c>
      <c r="F2059">
        <v>4</v>
      </c>
      <c r="G2059" t="s">
        <v>35</v>
      </c>
      <c r="H2059" t="s">
        <v>25</v>
      </c>
      <c r="I2059" t="s">
        <v>19</v>
      </c>
    </row>
    <row r="2060" spans="1:9" x14ac:dyDescent="0.45">
      <c r="A2060" t="s">
        <v>7783</v>
      </c>
      <c r="B2060" s="2">
        <v>46175</v>
      </c>
      <c r="C2060" t="s">
        <v>10</v>
      </c>
      <c r="D2060" t="s">
        <v>7784</v>
      </c>
      <c r="E2060" t="s">
        <v>23</v>
      </c>
      <c r="F2060">
        <v>2</v>
      </c>
      <c r="G2060" t="s">
        <v>59</v>
      </c>
      <c r="H2060" t="s">
        <v>14</v>
      </c>
      <c r="I2060" t="s">
        <v>31</v>
      </c>
    </row>
    <row r="2061" spans="1:9" x14ac:dyDescent="0.45">
      <c r="A2061" t="s">
        <v>7785</v>
      </c>
      <c r="B2061" s="2">
        <v>46048</v>
      </c>
      <c r="C2061" t="s">
        <v>28</v>
      </c>
      <c r="D2061" t="s">
        <v>7786</v>
      </c>
      <c r="E2061" t="s">
        <v>23</v>
      </c>
      <c r="F2061">
        <v>12</v>
      </c>
      <c r="G2061" t="s">
        <v>55</v>
      </c>
      <c r="H2061" t="s">
        <v>72</v>
      </c>
      <c r="I2061" t="s">
        <v>26</v>
      </c>
    </row>
    <row r="2062" spans="1:9" x14ac:dyDescent="0.45">
      <c r="A2062" t="s">
        <v>7787</v>
      </c>
      <c r="B2062" s="2">
        <v>46097</v>
      </c>
      <c r="C2062" t="s">
        <v>66</v>
      </c>
      <c r="D2062" t="s">
        <v>7788</v>
      </c>
      <c r="E2062" t="s">
        <v>7974</v>
      </c>
      <c r="F2062">
        <v>5</v>
      </c>
      <c r="G2062" t="s">
        <v>55</v>
      </c>
      <c r="H2062" t="s">
        <v>72</v>
      </c>
      <c r="I2062" t="s">
        <v>39</v>
      </c>
    </row>
    <row r="2063" spans="1:9" x14ac:dyDescent="0.45">
      <c r="A2063" t="s">
        <v>7789</v>
      </c>
      <c r="B2063" s="2">
        <v>46084</v>
      </c>
      <c r="C2063" t="s">
        <v>28</v>
      </c>
      <c r="D2063" t="s">
        <v>7790</v>
      </c>
      <c r="E2063" t="s">
        <v>7974</v>
      </c>
      <c r="F2063">
        <v>1</v>
      </c>
      <c r="G2063" t="s">
        <v>68</v>
      </c>
      <c r="H2063" t="s">
        <v>25</v>
      </c>
      <c r="I2063" t="s">
        <v>7967</v>
      </c>
    </row>
    <row r="2064" spans="1:9" x14ac:dyDescent="0.45">
      <c r="A2064" t="s">
        <v>7791</v>
      </c>
      <c r="B2064" s="2">
        <v>46046</v>
      </c>
      <c r="C2064" t="s">
        <v>16</v>
      </c>
      <c r="D2064" t="s">
        <v>7792</v>
      </c>
      <c r="E2064" t="s">
        <v>54</v>
      </c>
      <c r="F2064">
        <v>4</v>
      </c>
      <c r="G2064" t="s">
        <v>59</v>
      </c>
      <c r="H2064" t="s">
        <v>14</v>
      </c>
      <c r="I2064" t="s">
        <v>31</v>
      </c>
    </row>
    <row r="2065" spans="1:9" x14ac:dyDescent="0.45">
      <c r="A2065" t="s">
        <v>7793</v>
      </c>
      <c r="B2065" s="2">
        <v>46130</v>
      </c>
      <c r="C2065" t="s">
        <v>66</v>
      </c>
      <c r="D2065" t="s">
        <v>7794</v>
      </c>
      <c r="E2065" t="s">
        <v>54</v>
      </c>
      <c r="F2065">
        <v>10</v>
      </c>
      <c r="G2065" t="s">
        <v>18</v>
      </c>
      <c r="H2065" t="s">
        <v>14</v>
      </c>
      <c r="I2065" t="s">
        <v>19</v>
      </c>
    </row>
    <row r="2066" spans="1:9" x14ac:dyDescent="0.45">
      <c r="A2066" t="s">
        <v>7795</v>
      </c>
      <c r="B2066" s="2">
        <v>46258</v>
      </c>
      <c r="C2066" t="s">
        <v>66</v>
      </c>
      <c r="D2066" t="s">
        <v>7796</v>
      </c>
      <c r="E2066" t="s">
        <v>23</v>
      </c>
      <c r="F2066">
        <v>5</v>
      </c>
      <c r="G2066" t="s">
        <v>18</v>
      </c>
      <c r="H2066" t="s">
        <v>14</v>
      </c>
      <c r="I2066" t="s">
        <v>19</v>
      </c>
    </row>
    <row r="2067" spans="1:9" x14ac:dyDescent="0.45">
      <c r="A2067" t="s">
        <v>7797</v>
      </c>
      <c r="B2067" s="2">
        <v>46123</v>
      </c>
      <c r="C2067" t="s">
        <v>66</v>
      </c>
      <c r="D2067" t="s">
        <v>7798</v>
      </c>
      <c r="E2067" t="s">
        <v>58</v>
      </c>
      <c r="F2067">
        <v>12</v>
      </c>
      <c r="G2067" t="s">
        <v>43</v>
      </c>
      <c r="H2067" t="s">
        <v>14</v>
      </c>
      <c r="I2067" t="s">
        <v>60</v>
      </c>
    </row>
    <row r="2068" spans="1:9" x14ac:dyDescent="0.45">
      <c r="A2068" t="s">
        <v>7799</v>
      </c>
      <c r="B2068" s="2">
        <v>46214</v>
      </c>
      <c r="C2068" t="s">
        <v>66</v>
      </c>
      <c r="D2068" t="s">
        <v>7800</v>
      </c>
      <c r="E2068" t="s">
        <v>54</v>
      </c>
      <c r="F2068">
        <v>10</v>
      </c>
      <c r="G2068" t="s">
        <v>24</v>
      </c>
      <c r="H2068" t="s">
        <v>25</v>
      </c>
      <c r="I2068" t="s">
        <v>60</v>
      </c>
    </row>
    <row r="2069" spans="1:9" x14ac:dyDescent="0.45">
      <c r="A2069" t="s">
        <v>7801</v>
      </c>
      <c r="B2069" s="2">
        <v>46196</v>
      </c>
      <c r="C2069" t="s">
        <v>10</v>
      </c>
      <c r="D2069" t="s">
        <v>7802</v>
      </c>
      <c r="E2069" t="s">
        <v>71</v>
      </c>
      <c r="F2069">
        <v>2</v>
      </c>
      <c r="G2069" t="s">
        <v>55</v>
      </c>
      <c r="H2069" t="s">
        <v>72</v>
      </c>
      <c r="I2069" t="s">
        <v>31</v>
      </c>
    </row>
    <row r="2070" spans="1:9" x14ac:dyDescent="0.45">
      <c r="A2070" t="s">
        <v>7803</v>
      </c>
      <c r="B2070" s="2">
        <v>46156</v>
      </c>
      <c r="C2070" t="s">
        <v>10</v>
      </c>
      <c r="D2070" t="s">
        <v>7804</v>
      </c>
      <c r="E2070" t="s">
        <v>54</v>
      </c>
      <c r="F2070">
        <v>1</v>
      </c>
      <c r="G2070" t="s">
        <v>35</v>
      </c>
      <c r="H2070" t="s">
        <v>25</v>
      </c>
      <c r="I2070" t="s">
        <v>47</v>
      </c>
    </row>
    <row r="2071" spans="1:9" x14ac:dyDescent="0.45">
      <c r="A2071" t="s">
        <v>7805</v>
      </c>
      <c r="B2071" s="2">
        <v>46220</v>
      </c>
      <c r="C2071" t="s">
        <v>21</v>
      </c>
      <c r="D2071" t="s">
        <v>7806</v>
      </c>
      <c r="E2071" t="s">
        <v>7973</v>
      </c>
      <c r="F2071">
        <v>10</v>
      </c>
      <c r="G2071" t="s">
        <v>24</v>
      </c>
      <c r="H2071" t="s">
        <v>25</v>
      </c>
      <c r="I2071" t="s">
        <v>19</v>
      </c>
    </row>
    <row r="2072" spans="1:9" x14ac:dyDescent="0.45">
      <c r="A2072" t="s">
        <v>7807</v>
      </c>
      <c r="B2072" s="2">
        <v>46033</v>
      </c>
      <c r="C2072" t="s">
        <v>21</v>
      </c>
      <c r="D2072" t="s">
        <v>7808</v>
      </c>
      <c r="E2072" t="s">
        <v>75</v>
      </c>
      <c r="F2072">
        <v>11</v>
      </c>
      <c r="G2072" t="s">
        <v>55</v>
      </c>
      <c r="H2072" t="s">
        <v>72</v>
      </c>
      <c r="I2072" t="s">
        <v>19</v>
      </c>
    </row>
    <row r="2073" spans="1:9" x14ac:dyDescent="0.45">
      <c r="A2073" t="s">
        <v>7809</v>
      </c>
      <c r="B2073" s="2">
        <v>46058</v>
      </c>
      <c r="C2073" t="s">
        <v>21</v>
      </c>
      <c r="D2073" t="s">
        <v>7810</v>
      </c>
      <c r="E2073" t="s">
        <v>42</v>
      </c>
      <c r="F2073">
        <v>6</v>
      </c>
      <c r="G2073" t="s">
        <v>68</v>
      </c>
      <c r="H2073" t="s">
        <v>25</v>
      </c>
      <c r="I2073" t="s">
        <v>7967</v>
      </c>
    </row>
    <row r="2074" spans="1:9" x14ac:dyDescent="0.45">
      <c r="A2074" t="s">
        <v>7811</v>
      </c>
      <c r="B2074" s="2">
        <v>46150</v>
      </c>
      <c r="C2074" t="s">
        <v>16</v>
      </c>
      <c r="D2074" t="s">
        <v>7812</v>
      </c>
      <c r="E2074" t="s">
        <v>23</v>
      </c>
      <c r="F2074">
        <v>10</v>
      </c>
      <c r="G2074" t="s">
        <v>18</v>
      </c>
      <c r="H2074" t="s">
        <v>14</v>
      </c>
      <c r="I2074" t="s">
        <v>31</v>
      </c>
    </row>
    <row r="2075" spans="1:9" x14ac:dyDescent="0.45">
      <c r="A2075" t="s">
        <v>7813</v>
      </c>
      <c r="B2075" s="2">
        <v>46150</v>
      </c>
      <c r="C2075" t="s">
        <v>52</v>
      </c>
      <c r="D2075" t="s">
        <v>7814</v>
      </c>
      <c r="E2075" t="s">
        <v>7973</v>
      </c>
      <c r="F2075">
        <v>6</v>
      </c>
      <c r="G2075" t="s">
        <v>18</v>
      </c>
      <c r="H2075" t="s">
        <v>14</v>
      </c>
      <c r="I2075" t="s">
        <v>60</v>
      </c>
    </row>
    <row r="2076" spans="1:9" x14ac:dyDescent="0.45">
      <c r="A2076" t="s">
        <v>7815</v>
      </c>
      <c r="B2076" s="2">
        <v>46173</v>
      </c>
      <c r="C2076" t="s">
        <v>66</v>
      </c>
      <c r="D2076" t="s">
        <v>7816</v>
      </c>
      <c r="E2076" t="s">
        <v>46</v>
      </c>
      <c r="F2076">
        <v>12</v>
      </c>
      <c r="G2076" t="s">
        <v>35</v>
      </c>
      <c r="H2076" t="s">
        <v>25</v>
      </c>
      <c r="I2076" t="s">
        <v>19</v>
      </c>
    </row>
    <row r="2077" spans="1:9" x14ac:dyDescent="0.45">
      <c r="A2077" t="s">
        <v>7817</v>
      </c>
      <c r="B2077" s="2">
        <v>46191</v>
      </c>
      <c r="C2077" t="s">
        <v>28</v>
      </c>
      <c r="D2077" t="s">
        <v>7818</v>
      </c>
      <c r="E2077" t="s">
        <v>7973</v>
      </c>
      <c r="F2077">
        <v>11</v>
      </c>
      <c r="G2077" t="s">
        <v>35</v>
      </c>
      <c r="H2077" t="s">
        <v>25</v>
      </c>
      <c r="I2077" t="s">
        <v>39</v>
      </c>
    </row>
    <row r="2078" spans="1:9" x14ac:dyDescent="0.45">
      <c r="A2078" t="s">
        <v>7819</v>
      </c>
      <c r="B2078" s="2">
        <v>46151</v>
      </c>
      <c r="C2078" t="s">
        <v>16</v>
      </c>
      <c r="D2078" t="s">
        <v>7820</v>
      </c>
      <c r="E2078" t="s">
        <v>71</v>
      </c>
      <c r="F2078">
        <v>10</v>
      </c>
      <c r="G2078" t="s">
        <v>43</v>
      </c>
      <c r="H2078" t="s">
        <v>14</v>
      </c>
      <c r="I2078" t="s">
        <v>60</v>
      </c>
    </row>
    <row r="2079" spans="1:9" x14ac:dyDescent="0.45">
      <c r="A2079" t="s">
        <v>7821</v>
      </c>
      <c r="B2079" s="2">
        <v>46105</v>
      </c>
      <c r="C2079" t="s">
        <v>21</v>
      </c>
      <c r="D2079" t="s">
        <v>7822</v>
      </c>
      <c r="E2079" t="s">
        <v>449</v>
      </c>
      <c r="F2079">
        <v>6</v>
      </c>
      <c r="G2079" t="s">
        <v>13</v>
      </c>
      <c r="H2079" t="s">
        <v>14</v>
      </c>
      <c r="I2079" t="s">
        <v>26</v>
      </c>
    </row>
    <row r="2080" spans="1:9" x14ac:dyDescent="0.45">
      <c r="A2080" t="s">
        <v>7823</v>
      </c>
      <c r="B2080" s="2">
        <v>46074</v>
      </c>
      <c r="C2080" t="s">
        <v>66</v>
      </c>
      <c r="D2080" t="s">
        <v>7824</v>
      </c>
      <c r="E2080" t="s">
        <v>75</v>
      </c>
      <c r="F2080">
        <v>4</v>
      </c>
      <c r="G2080" t="s">
        <v>35</v>
      </c>
      <c r="H2080" t="s">
        <v>25</v>
      </c>
      <c r="I2080" t="s">
        <v>31</v>
      </c>
    </row>
    <row r="2081" spans="1:9" x14ac:dyDescent="0.45">
      <c r="A2081" t="s">
        <v>7825</v>
      </c>
      <c r="B2081" s="2">
        <v>46156</v>
      </c>
      <c r="C2081" t="s">
        <v>21</v>
      </c>
      <c r="D2081" t="s">
        <v>7826</v>
      </c>
      <c r="E2081" t="s">
        <v>75</v>
      </c>
      <c r="F2081">
        <v>8</v>
      </c>
      <c r="G2081" t="s">
        <v>59</v>
      </c>
      <c r="H2081" t="s">
        <v>14</v>
      </c>
      <c r="I2081" t="s">
        <v>26</v>
      </c>
    </row>
    <row r="2082" spans="1:9" x14ac:dyDescent="0.45">
      <c r="A2082" t="s">
        <v>7827</v>
      </c>
      <c r="B2082" s="2">
        <v>46258</v>
      </c>
      <c r="C2082" t="s">
        <v>16</v>
      </c>
      <c r="D2082" t="s">
        <v>7828</v>
      </c>
      <c r="E2082" t="s">
        <v>75</v>
      </c>
      <c r="F2082">
        <v>2</v>
      </c>
      <c r="G2082" t="s">
        <v>55</v>
      </c>
      <c r="H2082" t="s">
        <v>72</v>
      </c>
      <c r="I2082" t="s">
        <v>31</v>
      </c>
    </row>
    <row r="2083" spans="1:9" x14ac:dyDescent="0.45">
      <c r="A2083" t="s">
        <v>7829</v>
      </c>
      <c r="B2083" s="2">
        <v>46079</v>
      </c>
      <c r="C2083" t="s">
        <v>10</v>
      </c>
      <c r="D2083" t="s">
        <v>7830</v>
      </c>
      <c r="E2083" t="s">
        <v>23</v>
      </c>
      <c r="F2083">
        <v>7</v>
      </c>
      <c r="G2083" t="s">
        <v>55</v>
      </c>
      <c r="H2083" t="s">
        <v>72</v>
      </c>
      <c r="I2083" t="s">
        <v>7967</v>
      </c>
    </row>
    <row r="2084" spans="1:9" x14ac:dyDescent="0.45">
      <c r="A2084" t="s">
        <v>7831</v>
      </c>
      <c r="B2084" s="2">
        <v>46128</v>
      </c>
      <c r="C2084" t="s">
        <v>28</v>
      </c>
      <c r="D2084" t="s">
        <v>7832</v>
      </c>
      <c r="E2084" t="s">
        <v>58</v>
      </c>
      <c r="F2084">
        <v>3</v>
      </c>
      <c r="G2084" t="s">
        <v>13</v>
      </c>
      <c r="H2084" t="s">
        <v>14</v>
      </c>
      <c r="I2084" t="s">
        <v>19</v>
      </c>
    </row>
    <row r="2085" spans="1:9" x14ac:dyDescent="0.45">
      <c r="A2085" t="s">
        <v>7833</v>
      </c>
      <c r="B2085" s="2">
        <v>46031</v>
      </c>
      <c r="C2085" t="s">
        <v>52</v>
      </c>
      <c r="D2085" t="s">
        <v>7834</v>
      </c>
      <c r="E2085" t="s">
        <v>38</v>
      </c>
      <c r="F2085">
        <v>4</v>
      </c>
      <c r="G2085" t="s">
        <v>55</v>
      </c>
      <c r="H2085" t="s">
        <v>72</v>
      </c>
      <c r="I2085" t="s">
        <v>19</v>
      </c>
    </row>
    <row r="2086" spans="1:9" x14ac:dyDescent="0.45">
      <c r="A2086" t="s">
        <v>7835</v>
      </c>
      <c r="B2086" s="2">
        <v>46247</v>
      </c>
      <c r="C2086" t="s">
        <v>10</v>
      </c>
      <c r="D2086" t="s">
        <v>7836</v>
      </c>
      <c r="E2086" t="s">
        <v>54</v>
      </c>
      <c r="F2086">
        <v>8</v>
      </c>
      <c r="G2086" t="s">
        <v>13</v>
      </c>
      <c r="H2086" t="s">
        <v>14</v>
      </c>
      <c r="I2086" t="s">
        <v>39</v>
      </c>
    </row>
    <row r="2087" spans="1:9" x14ac:dyDescent="0.45">
      <c r="A2087" t="s">
        <v>7837</v>
      </c>
      <c r="B2087" s="2">
        <v>46251</v>
      </c>
      <c r="C2087" t="s">
        <v>16</v>
      </c>
      <c r="D2087" t="s">
        <v>7838</v>
      </c>
      <c r="E2087" t="s">
        <v>58</v>
      </c>
      <c r="F2087">
        <v>5</v>
      </c>
      <c r="G2087" t="s">
        <v>13</v>
      </c>
      <c r="H2087" t="s">
        <v>14</v>
      </c>
      <c r="I2087" t="s">
        <v>39</v>
      </c>
    </row>
    <row r="2088" spans="1:9" x14ac:dyDescent="0.45">
      <c r="A2088" t="s">
        <v>7839</v>
      </c>
      <c r="B2088" s="2">
        <v>46251</v>
      </c>
      <c r="C2088" t="s">
        <v>28</v>
      </c>
      <c r="D2088" t="s">
        <v>7840</v>
      </c>
      <c r="E2088" t="s">
        <v>54</v>
      </c>
      <c r="F2088">
        <v>4</v>
      </c>
      <c r="G2088" t="s">
        <v>68</v>
      </c>
      <c r="H2088" t="s">
        <v>25</v>
      </c>
      <c r="I2088" t="s">
        <v>47</v>
      </c>
    </row>
    <row r="2089" spans="1:9" x14ac:dyDescent="0.45">
      <c r="A2089" t="s">
        <v>7841</v>
      </c>
      <c r="B2089" s="2">
        <v>46203</v>
      </c>
      <c r="C2089" t="s">
        <v>66</v>
      </c>
      <c r="D2089" t="s">
        <v>7842</v>
      </c>
      <c r="E2089" t="s">
        <v>30</v>
      </c>
      <c r="F2089">
        <v>2</v>
      </c>
      <c r="G2089" t="s">
        <v>59</v>
      </c>
      <c r="H2089" t="s">
        <v>14</v>
      </c>
      <c r="I2089" t="s">
        <v>39</v>
      </c>
    </row>
    <row r="2090" spans="1:9" x14ac:dyDescent="0.45">
      <c r="A2090" t="s">
        <v>7843</v>
      </c>
      <c r="B2090" s="2">
        <v>46078</v>
      </c>
      <c r="C2090" t="s">
        <v>28</v>
      </c>
      <c r="D2090" t="s">
        <v>7844</v>
      </c>
      <c r="E2090" t="s">
        <v>75</v>
      </c>
      <c r="F2090">
        <v>5</v>
      </c>
      <c r="G2090" t="s">
        <v>18</v>
      </c>
      <c r="H2090" t="s">
        <v>14</v>
      </c>
      <c r="I2090" t="s">
        <v>31</v>
      </c>
    </row>
    <row r="2091" spans="1:9" x14ac:dyDescent="0.45">
      <c r="A2091" t="s">
        <v>7845</v>
      </c>
      <c r="B2091" s="2">
        <v>46111</v>
      </c>
      <c r="C2091" t="s">
        <v>66</v>
      </c>
      <c r="D2091" t="s">
        <v>7846</v>
      </c>
      <c r="E2091" t="s">
        <v>30</v>
      </c>
      <c r="F2091">
        <v>10</v>
      </c>
      <c r="G2091" t="s">
        <v>35</v>
      </c>
      <c r="H2091" t="s">
        <v>25</v>
      </c>
      <c r="I2091" t="s">
        <v>47</v>
      </c>
    </row>
    <row r="2092" spans="1:9" x14ac:dyDescent="0.45">
      <c r="A2092" t="s">
        <v>7847</v>
      </c>
      <c r="B2092" s="2">
        <v>46084</v>
      </c>
      <c r="C2092" t="s">
        <v>16</v>
      </c>
      <c r="D2092" t="s">
        <v>7848</v>
      </c>
      <c r="E2092" t="s">
        <v>71</v>
      </c>
      <c r="F2092">
        <v>4</v>
      </c>
      <c r="G2092" t="s">
        <v>35</v>
      </c>
      <c r="H2092" t="s">
        <v>25</v>
      </c>
      <c r="I2092" t="s">
        <v>60</v>
      </c>
    </row>
    <row r="2093" spans="1:9" x14ac:dyDescent="0.45">
      <c r="A2093" t="s">
        <v>7849</v>
      </c>
      <c r="B2093" s="2">
        <v>46045</v>
      </c>
      <c r="C2093" t="s">
        <v>28</v>
      </c>
      <c r="D2093" t="s">
        <v>7850</v>
      </c>
      <c r="E2093" t="s">
        <v>7974</v>
      </c>
      <c r="F2093">
        <v>8</v>
      </c>
      <c r="G2093" t="s">
        <v>59</v>
      </c>
      <c r="H2093" t="s">
        <v>14</v>
      </c>
      <c r="I2093" t="s">
        <v>26</v>
      </c>
    </row>
    <row r="2094" spans="1:9" x14ac:dyDescent="0.45">
      <c r="A2094" t="s">
        <v>7851</v>
      </c>
      <c r="B2094" s="2">
        <v>46245</v>
      </c>
      <c r="C2094" t="s">
        <v>99</v>
      </c>
      <c r="D2094" t="s">
        <v>7852</v>
      </c>
      <c r="E2094" t="s">
        <v>54</v>
      </c>
      <c r="F2094">
        <v>10</v>
      </c>
      <c r="G2094" t="s">
        <v>13</v>
      </c>
      <c r="H2094" t="s">
        <v>14</v>
      </c>
      <c r="I2094" t="s">
        <v>39</v>
      </c>
    </row>
    <row r="2095" spans="1:9" x14ac:dyDescent="0.45">
      <c r="A2095" t="s">
        <v>7853</v>
      </c>
      <c r="B2095" s="2">
        <v>46033</v>
      </c>
      <c r="C2095" t="s">
        <v>52</v>
      </c>
      <c r="D2095" t="s">
        <v>7854</v>
      </c>
      <c r="E2095" t="s">
        <v>71</v>
      </c>
      <c r="F2095">
        <v>6</v>
      </c>
      <c r="G2095" t="s">
        <v>68</v>
      </c>
      <c r="H2095" t="s">
        <v>25</v>
      </c>
      <c r="I2095" t="s">
        <v>19</v>
      </c>
    </row>
    <row r="2096" spans="1:9" x14ac:dyDescent="0.45">
      <c r="A2096" t="s">
        <v>7855</v>
      </c>
      <c r="B2096" s="2">
        <v>46210</v>
      </c>
      <c r="C2096" t="s">
        <v>16</v>
      </c>
      <c r="D2096" t="s">
        <v>7856</v>
      </c>
      <c r="E2096" t="s">
        <v>71</v>
      </c>
      <c r="F2096">
        <v>8</v>
      </c>
      <c r="G2096" t="s">
        <v>55</v>
      </c>
      <c r="H2096" t="s">
        <v>72</v>
      </c>
      <c r="I2096" t="s">
        <v>26</v>
      </c>
    </row>
    <row r="2097" spans="1:9" x14ac:dyDescent="0.45">
      <c r="A2097" t="s">
        <v>7857</v>
      </c>
      <c r="B2097" s="2">
        <v>46144</v>
      </c>
      <c r="C2097" t="s">
        <v>49</v>
      </c>
      <c r="D2097" t="s">
        <v>7858</v>
      </c>
      <c r="E2097" t="s">
        <v>75</v>
      </c>
      <c r="F2097">
        <v>9</v>
      </c>
      <c r="G2097" t="s">
        <v>35</v>
      </c>
      <c r="H2097" t="s">
        <v>25</v>
      </c>
      <c r="I2097" t="s">
        <v>47</v>
      </c>
    </row>
    <row r="2098" spans="1:9" x14ac:dyDescent="0.45">
      <c r="A2098" t="s">
        <v>7859</v>
      </c>
      <c r="B2098" s="2">
        <v>46184</v>
      </c>
      <c r="C2098" t="s">
        <v>49</v>
      </c>
      <c r="D2098" t="s">
        <v>7860</v>
      </c>
      <c r="E2098" t="s">
        <v>42</v>
      </c>
      <c r="F2098">
        <v>10</v>
      </c>
      <c r="G2098" t="s">
        <v>59</v>
      </c>
      <c r="H2098" t="s">
        <v>14</v>
      </c>
      <c r="I2098" t="s">
        <v>19</v>
      </c>
    </row>
    <row r="2099" spans="1:9" x14ac:dyDescent="0.45">
      <c r="A2099" t="s">
        <v>7861</v>
      </c>
      <c r="B2099" s="2">
        <v>46098</v>
      </c>
      <c r="C2099" t="s">
        <v>66</v>
      </c>
      <c r="D2099" t="s">
        <v>7862</v>
      </c>
      <c r="E2099" t="s">
        <v>54</v>
      </c>
      <c r="F2099">
        <v>9</v>
      </c>
      <c r="G2099" t="s">
        <v>43</v>
      </c>
      <c r="H2099" t="s">
        <v>14</v>
      </c>
      <c r="I2099" t="s">
        <v>39</v>
      </c>
    </row>
    <row r="2100" spans="1:9" x14ac:dyDescent="0.45">
      <c r="A2100" t="s">
        <v>7863</v>
      </c>
      <c r="B2100" s="2">
        <v>46119</v>
      </c>
      <c r="C2100" t="s">
        <v>99</v>
      </c>
      <c r="D2100" t="s">
        <v>7864</v>
      </c>
      <c r="E2100" t="s">
        <v>30</v>
      </c>
      <c r="F2100">
        <v>3</v>
      </c>
      <c r="G2100" t="s">
        <v>18</v>
      </c>
      <c r="H2100" t="s">
        <v>14</v>
      </c>
      <c r="I2100" t="s">
        <v>60</v>
      </c>
    </row>
    <row r="2101" spans="1:9" x14ac:dyDescent="0.45">
      <c r="A2101" t="s">
        <v>7865</v>
      </c>
      <c r="B2101" s="2">
        <v>46108</v>
      </c>
      <c r="C2101" t="s">
        <v>99</v>
      </c>
      <c r="D2101" t="s">
        <v>7866</v>
      </c>
      <c r="E2101" t="s">
        <v>7973</v>
      </c>
      <c r="F2101">
        <v>1</v>
      </c>
      <c r="G2101" t="s">
        <v>55</v>
      </c>
      <c r="H2101" t="s">
        <v>72</v>
      </c>
      <c r="I2101" t="s">
        <v>39</v>
      </c>
    </row>
    <row r="2102" spans="1:9" x14ac:dyDescent="0.45">
      <c r="A2102" t="s">
        <v>7867</v>
      </c>
      <c r="B2102" s="2">
        <v>46032</v>
      </c>
      <c r="C2102" t="s">
        <v>16</v>
      </c>
      <c r="D2102" t="s">
        <v>7868</v>
      </c>
      <c r="E2102" t="s">
        <v>7967</v>
      </c>
      <c r="F2102">
        <v>7</v>
      </c>
      <c r="G2102" t="s">
        <v>68</v>
      </c>
      <c r="H2102" t="s">
        <v>25</v>
      </c>
      <c r="I2102" t="s">
        <v>60</v>
      </c>
    </row>
    <row r="2103" spans="1:9" x14ac:dyDescent="0.45">
      <c r="A2103" t="s">
        <v>7869</v>
      </c>
      <c r="B2103" s="2">
        <v>46246</v>
      </c>
      <c r="C2103" t="s">
        <v>16</v>
      </c>
      <c r="D2103" t="s">
        <v>7870</v>
      </c>
      <c r="E2103" t="s">
        <v>46</v>
      </c>
      <c r="F2103">
        <v>7</v>
      </c>
      <c r="G2103" t="s">
        <v>68</v>
      </c>
      <c r="H2103" t="s">
        <v>25</v>
      </c>
      <c r="I2103" t="s">
        <v>60</v>
      </c>
    </row>
    <row r="2104" spans="1:9" x14ac:dyDescent="0.45">
      <c r="A2104" t="s">
        <v>7871</v>
      </c>
      <c r="B2104" s="2">
        <v>46260</v>
      </c>
      <c r="C2104" t="s">
        <v>52</v>
      </c>
      <c r="D2104" t="s">
        <v>7872</v>
      </c>
      <c r="E2104" t="s">
        <v>7974</v>
      </c>
      <c r="F2104">
        <v>2</v>
      </c>
      <c r="G2104" t="s">
        <v>13</v>
      </c>
      <c r="H2104" t="s">
        <v>14</v>
      </c>
      <c r="I2104" t="s">
        <v>39</v>
      </c>
    </row>
    <row r="2105" spans="1:9" x14ac:dyDescent="0.45">
      <c r="A2105" t="s">
        <v>7873</v>
      </c>
      <c r="B2105" s="2">
        <v>46205</v>
      </c>
      <c r="C2105" t="s">
        <v>66</v>
      </c>
      <c r="D2105" t="s">
        <v>7874</v>
      </c>
      <c r="E2105" t="s">
        <v>54</v>
      </c>
      <c r="F2105">
        <v>4</v>
      </c>
      <c r="G2105" t="s">
        <v>55</v>
      </c>
      <c r="H2105" t="s">
        <v>72</v>
      </c>
      <c r="I2105" t="s">
        <v>60</v>
      </c>
    </row>
    <row r="2106" spans="1:9" x14ac:dyDescent="0.45">
      <c r="A2106" t="s">
        <v>7875</v>
      </c>
      <c r="B2106" s="2">
        <v>46192</v>
      </c>
      <c r="C2106" t="s">
        <v>52</v>
      </c>
      <c r="D2106" t="s">
        <v>7876</v>
      </c>
      <c r="E2106" t="s">
        <v>71</v>
      </c>
      <c r="F2106">
        <v>10</v>
      </c>
      <c r="G2106" t="s">
        <v>24</v>
      </c>
      <c r="H2106" t="s">
        <v>25</v>
      </c>
      <c r="I2106" t="s">
        <v>26</v>
      </c>
    </row>
    <row r="2107" spans="1:9" x14ac:dyDescent="0.45">
      <c r="A2107" t="s">
        <v>7877</v>
      </c>
      <c r="B2107" s="2">
        <v>46036</v>
      </c>
      <c r="C2107" t="s">
        <v>99</v>
      </c>
      <c r="D2107" t="s">
        <v>7878</v>
      </c>
      <c r="E2107" t="s">
        <v>71</v>
      </c>
      <c r="F2107">
        <v>7</v>
      </c>
      <c r="G2107" t="s">
        <v>18</v>
      </c>
      <c r="H2107" t="s">
        <v>14</v>
      </c>
      <c r="I2107" t="s">
        <v>19</v>
      </c>
    </row>
    <row r="2108" spans="1:9" x14ac:dyDescent="0.45">
      <c r="A2108" t="s">
        <v>7879</v>
      </c>
      <c r="B2108" s="2">
        <v>46174</v>
      </c>
      <c r="C2108" t="s">
        <v>66</v>
      </c>
      <c r="D2108" t="s">
        <v>7880</v>
      </c>
      <c r="E2108" t="s">
        <v>54</v>
      </c>
      <c r="F2108">
        <v>12</v>
      </c>
      <c r="G2108" t="s">
        <v>35</v>
      </c>
      <c r="H2108" t="s">
        <v>25</v>
      </c>
      <c r="I2108" t="s">
        <v>47</v>
      </c>
    </row>
    <row r="2109" spans="1:9" x14ac:dyDescent="0.45">
      <c r="A2109" t="s">
        <v>7881</v>
      </c>
      <c r="B2109" s="2">
        <v>46147</v>
      </c>
      <c r="C2109" t="s">
        <v>16</v>
      </c>
      <c r="D2109" t="s">
        <v>7882</v>
      </c>
      <c r="E2109" t="s">
        <v>75</v>
      </c>
      <c r="F2109">
        <v>11</v>
      </c>
      <c r="G2109" t="s">
        <v>24</v>
      </c>
      <c r="H2109" t="s">
        <v>25</v>
      </c>
      <c r="I2109" t="s">
        <v>26</v>
      </c>
    </row>
    <row r="2110" spans="1:9" x14ac:dyDescent="0.45">
      <c r="A2110" t="s">
        <v>7883</v>
      </c>
      <c r="B2110" s="2">
        <v>46177</v>
      </c>
      <c r="C2110" t="s">
        <v>99</v>
      </c>
      <c r="D2110" t="s">
        <v>7884</v>
      </c>
      <c r="E2110" t="s">
        <v>54</v>
      </c>
      <c r="F2110">
        <v>3</v>
      </c>
      <c r="G2110" t="s">
        <v>35</v>
      </c>
      <c r="H2110" t="s">
        <v>25</v>
      </c>
      <c r="I2110" t="s">
        <v>39</v>
      </c>
    </row>
    <row r="2111" spans="1:9" x14ac:dyDescent="0.45">
      <c r="A2111" t="s">
        <v>7885</v>
      </c>
      <c r="B2111" s="2">
        <v>46207</v>
      </c>
      <c r="C2111" t="s">
        <v>21</v>
      </c>
      <c r="D2111" t="s">
        <v>7886</v>
      </c>
      <c r="E2111" t="s">
        <v>23</v>
      </c>
      <c r="F2111">
        <v>2</v>
      </c>
      <c r="G2111" t="s">
        <v>68</v>
      </c>
      <c r="H2111" t="s">
        <v>25</v>
      </c>
      <c r="I2111" t="s">
        <v>31</v>
      </c>
    </row>
    <row r="2112" spans="1:9" x14ac:dyDescent="0.45">
      <c r="A2112" t="s">
        <v>7887</v>
      </c>
      <c r="B2112" s="2">
        <v>46163</v>
      </c>
      <c r="C2112" t="s">
        <v>10</v>
      </c>
      <c r="D2112" t="s">
        <v>7888</v>
      </c>
      <c r="E2112" t="s">
        <v>75</v>
      </c>
      <c r="F2112">
        <v>7</v>
      </c>
      <c r="G2112" t="s">
        <v>55</v>
      </c>
      <c r="H2112" t="s">
        <v>72</v>
      </c>
      <c r="I2112" t="s">
        <v>60</v>
      </c>
    </row>
    <row r="2113" spans="1:9" x14ac:dyDescent="0.45">
      <c r="A2113" t="s">
        <v>7889</v>
      </c>
      <c r="B2113" s="2">
        <v>46257</v>
      </c>
      <c r="C2113" t="s">
        <v>16</v>
      </c>
      <c r="D2113" t="s">
        <v>7890</v>
      </c>
      <c r="E2113" t="s">
        <v>7973</v>
      </c>
      <c r="F2113">
        <v>5</v>
      </c>
      <c r="G2113" t="s">
        <v>24</v>
      </c>
      <c r="H2113" t="s">
        <v>25</v>
      </c>
      <c r="I2113" t="s">
        <v>39</v>
      </c>
    </row>
    <row r="2114" spans="1:9" x14ac:dyDescent="0.45">
      <c r="A2114" t="s">
        <v>7891</v>
      </c>
      <c r="B2114" s="2">
        <v>46239</v>
      </c>
      <c r="C2114" t="s">
        <v>66</v>
      </c>
      <c r="D2114" t="s">
        <v>7892</v>
      </c>
      <c r="E2114" t="s">
        <v>54</v>
      </c>
      <c r="F2114">
        <v>7</v>
      </c>
      <c r="G2114" t="s">
        <v>43</v>
      </c>
      <c r="H2114" t="s">
        <v>14</v>
      </c>
      <c r="I2114" t="s">
        <v>31</v>
      </c>
    </row>
    <row r="2115" spans="1:9" x14ac:dyDescent="0.45">
      <c r="A2115" t="s">
        <v>7893</v>
      </c>
      <c r="B2115" s="2">
        <v>46036</v>
      </c>
      <c r="C2115" t="s">
        <v>10</v>
      </c>
      <c r="D2115" t="s">
        <v>7894</v>
      </c>
      <c r="E2115" t="s">
        <v>42</v>
      </c>
      <c r="F2115">
        <v>1</v>
      </c>
      <c r="G2115" t="s">
        <v>59</v>
      </c>
      <c r="H2115" t="s">
        <v>14</v>
      </c>
      <c r="I2115" t="s">
        <v>26</v>
      </c>
    </row>
    <row r="2116" spans="1:9" x14ac:dyDescent="0.45">
      <c r="A2116" t="s">
        <v>7895</v>
      </c>
      <c r="B2116" s="2">
        <v>46113</v>
      </c>
      <c r="C2116" t="s">
        <v>10</v>
      </c>
      <c r="D2116" t="s">
        <v>7896</v>
      </c>
      <c r="E2116" t="s">
        <v>54</v>
      </c>
      <c r="F2116">
        <v>12</v>
      </c>
      <c r="G2116" t="s">
        <v>59</v>
      </c>
      <c r="H2116" t="s">
        <v>14</v>
      </c>
      <c r="I2116" t="s">
        <v>39</v>
      </c>
    </row>
    <row r="2117" spans="1:9" x14ac:dyDescent="0.45">
      <c r="A2117" t="s">
        <v>7897</v>
      </c>
      <c r="B2117" s="2">
        <v>46097</v>
      </c>
      <c r="C2117" t="s">
        <v>28</v>
      </c>
      <c r="D2117" t="s">
        <v>7898</v>
      </c>
      <c r="E2117" t="s">
        <v>7973</v>
      </c>
      <c r="F2117">
        <v>2</v>
      </c>
      <c r="G2117" t="s">
        <v>55</v>
      </c>
      <c r="H2117" t="s">
        <v>72</v>
      </c>
      <c r="I2117" t="s">
        <v>39</v>
      </c>
    </row>
    <row r="2118" spans="1:9" x14ac:dyDescent="0.45">
      <c r="A2118" t="s">
        <v>7899</v>
      </c>
      <c r="B2118" s="2">
        <v>46038</v>
      </c>
      <c r="C2118" t="s">
        <v>10</v>
      </c>
      <c r="D2118" t="s">
        <v>7900</v>
      </c>
      <c r="E2118" t="s">
        <v>58</v>
      </c>
      <c r="F2118">
        <v>9</v>
      </c>
      <c r="G2118" t="s">
        <v>24</v>
      </c>
      <c r="H2118" t="s">
        <v>25</v>
      </c>
      <c r="I2118" t="s">
        <v>39</v>
      </c>
    </row>
    <row r="2119" spans="1:9" x14ac:dyDescent="0.45">
      <c r="A2119" t="s">
        <v>7901</v>
      </c>
      <c r="B2119" s="2">
        <v>46080</v>
      </c>
      <c r="C2119" t="s">
        <v>16</v>
      </c>
      <c r="D2119" t="s">
        <v>7902</v>
      </c>
      <c r="E2119" t="s">
        <v>75</v>
      </c>
      <c r="F2119">
        <v>6</v>
      </c>
      <c r="G2119" t="s">
        <v>55</v>
      </c>
      <c r="H2119" t="s">
        <v>72</v>
      </c>
      <c r="I2119" t="s">
        <v>47</v>
      </c>
    </row>
    <row r="2120" spans="1:9" x14ac:dyDescent="0.45">
      <c r="A2120" t="s">
        <v>7903</v>
      </c>
      <c r="B2120" s="2">
        <v>46245</v>
      </c>
      <c r="C2120" t="s">
        <v>99</v>
      </c>
      <c r="D2120" t="s">
        <v>7904</v>
      </c>
      <c r="E2120" t="s">
        <v>7974</v>
      </c>
      <c r="F2120">
        <v>3</v>
      </c>
      <c r="G2120" t="s">
        <v>68</v>
      </c>
      <c r="H2120" t="s">
        <v>25</v>
      </c>
      <c r="I2120" t="s">
        <v>19</v>
      </c>
    </row>
    <row r="2121" spans="1:9" x14ac:dyDescent="0.45">
      <c r="A2121" t="s">
        <v>7905</v>
      </c>
      <c r="B2121" s="2">
        <v>46104</v>
      </c>
      <c r="C2121" t="s">
        <v>16</v>
      </c>
      <c r="D2121" t="s">
        <v>7906</v>
      </c>
      <c r="E2121" t="s">
        <v>42</v>
      </c>
      <c r="F2121">
        <v>8</v>
      </c>
      <c r="G2121" t="s">
        <v>35</v>
      </c>
      <c r="H2121" t="s">
        <v>25</v>
      </c>
      <c r="I2121" t="s">
        <v>7967</v>
      </c>
    </row>
    <row r="2122" spans="1:9" x14ac:dyDescent="0.45">
      <c r="A2122" t="s">
        <v>7907</v>
      </c>
      <c r="B2122" s="2">
        <v>46113</v>
      </c>
      <c r="C2122" t="s">
        <v>52</v>
      </c>
      <c r="D2122" t="s">
        <v>7908</v>
      </c>
      <c r="E2122" t="s">
        <v>30</v>
      </c>
      <c r="F2122">
        <v>12</v>
      </c>
      <c r="G2122" t="s">
        <v>43</v>
      </c>
      <c r="H2122" t="s">
        <v>14</v>
      </c>
      <c r="I2122" t="s">
        <v>19</v>
      </c>
    </row>
    <row r="2123" spans="1:9" x14ac:dyDescent="0.45">
      <c r="A2123" t="s">
        <v>7909</v>
      </c>
      <c r="B2123" s="2">
        <v>46101</v>
      </c>
      <c r="C2123" t="s">
        <v>16</v>
      </c>
      <c r="D2123" t="s">
        <v>7910</v>
      </c>
      <c r="E2123" t="s">
        <v>34</v>
      </c>
      <c r="F2123">
        <v>11</v>
      </c>
      <c r="G2123" t="s">
        <v>13</v>
      </c>
      <c r="H2123" t="s">
        <v>14</v>
      </c>
      <c r="I2123" t="s">
        <v>47</v>
      </c>
    </row>
    <row r="2124" spans="1:9" x14ac:dyDescent="0.45">
      <c r="A2124" t="s">
        <v>7911</v>
      </c>
      <c r="B2124" s="2">
        <v>46048</v>
      </c>
      <c r="C2124" t="s">
        <v>49</v>
      </c>
      <c r="D2124" t="s">
        <v>7912</v>
      </c>
      <c r="E2124" t="s">
        <v>38</v>
      </c>
      <c r="F2124">
        <v>3</v>
      </c>
      <c r="G2124" t="s">
        <v>55</v>
      </c>
      <c r="H2124" t="s">
        <v>72</v>
      </c>
      <c r="I2124" t="s">
        <v>47</v>
      </c>
    </row>
    <row r="2125" spans="1:9" x14ac:dyDescent="0.45">
      <c r="A2125" t="s">
        <v>7913</v>
      </c>
      <c r="B2125" s="2">
        <v>46036</v>
      </c>
      <c r="C2125" t="s">
        <v>66</v>
      </c>
      <c r="D2125" t="s">
        <v>7914</v>
      </c>
      <c r="E2125" t="s">
        <v>54</v>
      </c>
      <c r="F2125">
        <v>12</v>
      </c>
      <c r="G2125" t="s">
        <v>24</v>
      </c>
      <c r="H2125" t="s">
        <v>25</v>
      </c>
      <c r="I2125" t="s">
        <v>31</v>
      </c>
    </row>
    <row r="2126" spans="1:9" x14ac:dyDescent="0.45">
      <c r="A2126" t="s">
        <v>7915</v>
      </c>
      <c r="B2126" s="2">
        <v>46031</v>
      </c>
      <c r="C2126" t="s">
        <v>28</v>
      </c>
      <c r="D2126" t="s">
        <v>7916</v>
      </c>
      <c r="E2126" t="s">
        <v>7974</v>
      </c>
      <c r="F2126">
        <v>5</v>
      </c>
      <c r="G2126" t="s">
        <v>35</v>
      </c>
      <c r="H2126" t="s">
        <v>25</v>
      </c>
      <c r="I2126" t="s">
        <v>19</v>
      </c>
    </row>
    <row r="2127" spans="1:9" x14ac:dyDescent="0.45">
      <c r="A2127" t="s">
        <v>7917</v>
      </c>
      <c r="B2127" s="2">
        <v>46096</v>
      </c>
      <c r="C2127" t="s">
        <v>28</v>
      </c>
      <c r="D2127" t="s">
        <v>7918</v>
      </c>
      <c r="E2127" t="s">
        <v>46</v>
      </c>
      <c r="F2127">
        <v>6</v>
      </c>
      <c r="G2127" t="s">
        <v>43</v>
      </c>
      <c r="H2127" t="s">
        <v>14</v>
      </c>
      <c r="I2127" t="s">
        <v>19</v>
      </c>
    </row>
    <row r="2128" spans="1:9" x14ac:dyDescent="0.45">
      <c r="A2128" t="s">
        <v>7919</v>
      </c>
      <c r="B2128" s="2">
        <v>46269</v>
      </c>
      <c r="C2128" t="s">
        <v>99</v>
      </c>
      <c r="D2128" t="s">
        <v>7920</v>
      </c>
      <c r="E2128" t="s">
        <v>75</v>
      </c>
      <c r="F2128">
        <v>7</v>
      </c>
      <c r="G2128" t="s">
        <v>55</v>
      </c>
      <c r="H2128" t="s">
        <v>72</v>
      </c>
      <c r="I2128" t="s">
        <v>60</v>
      </c>
    </row>
    <row r="2129" spans="1:9" x14ac:dyDescent="0.45">
      <c r="A2129" t="s">
        <v>7921</v>
      </c>
      <c r="B2129" s="2">
        <v>46061</v>
      </c>
      <c r="C2129" t="s">
        <v>16</v>
      </c>
      <c r="D2129" t="s">
        <v>7922</v>
      </c>
      <c r="E2129" t="s">
        <v>23</v>
      </c>
      <c r="F2129">
        <v>6</v>
      </c>
      <c r="G2129" t="s">
        <v>59</v>
      </c>
      <c r="H2129" t="s">
        <v>14</v>
      </c>
      <c r="I2129" t="s">
        <v>26</v>
      </c>
    </row>
    <row r="2130" spans="1:9" x14ac:dyDescent="0.45">
      <c r="A2130" t="s">
        <v>7923</v>
      </c>
      <c r="B2130" s="2">
        <v>46265</v>
      </c>
      <c r="C2130" t="s">
        <v>99</v>
      </c>
      <c r="D2130" t="s">
        <v>7924</v>
      </c>
      <c r="E2130" t="s">
        <v>38</v>
      </c>
      <c r="F2130">
        <v>6</v>
      </c>
      <c r="G2130" t="s">
        <v>68</v>
      </c>
      <c r="H2130" t="s">
        <v>25</v>
      </c>
      <c r="I2130" t="s">
        <v>19</v>
      </c>
    </row>
    <row r="2131" spans="1:9" x14ac:dyDescent="0.45">
      <c r="A2131" t="s">
        <v>7925</v>
      </c>
      <c r="B2131" s="2">
        <v>46077</v>
      </c>
      <c r="C2131" t="s">
        <v>28</v>
      </c>
      <c r="D2131" t="s">
        <v>7926</v>
      </c>
      <c r="E2131" t="s">
        <v>7974</v>
      </c>
      <c r="F2131">
        <v>1</v>
      </c>
      <c r="G2131" t="s">
        <v>35</v>
      </c>
      <c r="H2131" t="s">
        <v>25</v>
      </c>
      <c r="I2131" t="s">
        <v>47</v>
      </c>
    </row>
    <row r="2132" spans="1:9" x14ac:dyDescent="0.45">
      <c r="A2132" t="s">
        <v>7927</v>
      </c>
      <c r="B2132" s="2">
        <v>46117</v>
      </c>
      <c r="C2132" t="s">
        <v>28</v>
      </c>
      <c r="D2132" t="s">
        <v>7928</v>
      </c>
      <c r="E2132" t="s">
        <v>23</v>
      </c>
      <c r="F2132">
        <v>9</v>
      </c>
      <c r="G2132" t="s">
        <v>55</v>
      </c>
      <c r="H2132" t="s">
        <v>72</v>
      </c>
      <c r="I2132" t="s">
        <v>39</v>
      </c>
    </row>
    <row r="2133" spans="1:9" x14ac:dyDescent="0.45">
      <c r="A2133" t="s">
        <v>7929</v>
      </c>
      <c r="B2133" s="2">
        <v>46126</v>
      </c>
      <c r="C2133" t="s">
        <v>66</v>
      </c>
      <c r="D2133" t="s">
        <v>7930</v>
      </c>
      <c r="E2133" t="s">
        <v>46</v>
      </c>
      <c r="F2133">
        <v>4</v>
      </c>
      <c r="G2133" t="s">
        <v>55</v>
      </c>
      <c r="H2133" t="s">
        <v>72</v>
      </c>
      <c r="I2133" t="s">
        <v>19</v>
      </c>
    </row>
    <row r="2134" spans="1:9" x14ac:dyDescent="0.45">
      <c r="A2134" t="s">
        <v>7931</v>
      </c>
      <c r="B2134" s="2">
        <v>46093</v>
      </c>
      <c r="C2134" t="s">
        <v>21</v>
      </c>
      <c r="D2134" t="s">
        <v>7932</v>
      </c>
      <c r="E2134" t="s">
        <v>71</v>
      </c>
      <c r="F2134">
        <v>6</v>
      </c>
      <c r="G2134" t="s">
        <v>18</v>
      </c>
      <c r="H2134" t="s">
        <v>14</v>
      </c>
      <c r="I2134" t="s">
        <v>31</v>
      </c>
    </row>
    <row r="2135" spans="1:9" x14ac:dyDescent="0.45">
      <c r="A2135" t="s">
        <v>7933</v>
      </c>
      <c r="B2135" s="2">
        <v>46105</v>
      </c>
      <c r="C2135" t="s">
        <v>28</v>
      </c>
      <c r="D2135" t="s">
        <v>7934</v>
      </c>
      <c r="E2135" t="s">
        <v>75</v>
      </c>
      <c r="F2135">
        <v>11</v>
      </c>
      <c r="G2135" t="s">
        <v>55</v>
      </c>
      <c r="H2135" t="s">
        <v>72</v>
      </c>
      <c r="I2135" t="s">
        <v>31</v>
      </c>
    </row>
    <row r="2136" spans="1:9" x14ac:dyDescent="0.45">
      <c r="A2136" t="s">
        <v>7935</v>
      </c>
      <c r="B2136" s="2">
        <v>46194</v>
      </c>
      <c r="C2136" t="s">
        <v>66</v>
      </c>
      <c r="D2136" t="s">
        <v>7936</v>
      </c>
      <c r="E2136" t="s">
        <v>54</v>
      </c>
      <c r="F2136">
        <v>11</v>
      </c>
      <c r="G2136" t="s">
        <v>55</v>
      </c>
      <c r="H2136" t="s">
        <v>72</v>
      </c>
      <c r="I2136" t="s">
        <v>39</v>
      </c>
    </row>
    <row r="2137" spans="1:9" x14ac:dyDescent="0.45">
      <c r="A2137" t="s">
        <v>7937</v>
      </c>
      <c r="B2137" s="2">
        <v>46196</v>
      </c>
      <c r="C2137" t="s">
        <v>66</v>
      </c>
      <c r="D2137" t="s">
        <v>7938</v>
      </c>
      <c r="E2137" t="s">
        <v>38</v>
      </c>
      <c r="F2137">
        <v>1</v>
      </c>
      <c r="G2137" t="s">
        <v>18</v>
      </c>
      <c r="H2137" t="s">
        <v>14</v>
      </c>
      <c r="I2137" t="s">
        <v>39</v>
      </c>
    </row>
    <row r="2138" spans="1:9" x14ac:dyDescent="0.45">
      <c r="A2138" t="s">
        <v>7939</v>
      </c>
      <c r="B2138" s="2">
        <v>46119</v>
      </c>
      <c r="C2138" t="s">
        <v>99</v>
      </c>
      <c r="D2138" t="s">
        <v>7940</v>
      </c>
      <c r="E2138" t="s">
        <v>75</v>
      </c>
      <c r="F2138">
        <v>1</v>
      </c>
      <c r="G2138" t="s">
        <v>13</v>
      </c>
      <c r="H2138" t="s">
        <v>14</v>
      </c>
      <c r="I2138" t="s">
        <v>31</v>
      </c>
    </row>
    <row r="2139" spans="1:9" x14ac:dyDescent="0.45">
      <c r="A2139" t="s">
        <v>7941</v>
      </c>
      <c r="B2139" s="2">
        <v>46079</v>
      </c>
      <c r="C2139" t="s">
        <v>21</v>
      </c>
      <c r="D2139" t="s">
        <v>7942</v>
      </c>
      <c r="E2139" t="s">
        <v>58</v>
      </c>
      <c r="F2139">
        <v>12</v>
      </c>
      <c r="G2139" t="s">
        <v>24</v>
      </c>
      <c r="H2139" t="s">
        <v>25</v>
      </c>
      <c r="I2139" t="s">
        <v>19</v>
      </c>
    </row>
    <row r="2140" spans="1:9" x14ac:dyDescent="0.45">
      <c r="A2140" t="s">
        <v>7943</v>
      </c>
      <c r="B2140" s="2">
        <v>46202</v>
      </c>
      <c r="C2140" t="s">
        <v>10</v>
      </c>
      <c r="D2140" t="s">
        <v>7944</v>
      </c>
      <c r="E2140" t="s">
        <v>38</v>
      </c>
      <c r="F2140">
        <v>6</v>
      </c>
      <c r="G2140" t="s">
        <v>43</v>
      </c>
      <c r="H2140" t="s">
        <v>14</v>
      </c>
      <c r="I2140" t="s">
        <v>60</v>
      </c>
    </row>
    <row r="2141" spans="1:9" x14ac:dyDescent="0.45">
      <c r="A2141" t="s">
        <v>7945</v>
      </c>
      <c r="B2141" s="2">
        <v>46058</v>
      </c>
      <c r="C2141" t="s">
        <v>66</v>
      </c>
      <c r="D2141" t="s">
        <v>7946</v>
      </c>
      <c r="E2141" t="s">
        <v>30</v>
      </c>
      <c r="F2141">
        <v>7</v>
      </c>
      <c r="G2141" t="s">
        <v>18</v>
      </c>
      <c r="H2141" t="s">
        <v>14</v>
      </c>
      <c r="I2141" t="s">
        <v>39</v>
      </c>
    </row>
    <row r="2142" spans="1:9" x14ac:dyDescent="0.45">
      <c r="A2142" t="s">
        <v>7947</v>
      </c>
      <c r="B2142" s="2">
        <v>46181</v>
      </c>
      <c r="C2142" t="s">
        <v>16</v>
      </c>
      <c r="D2142" t="s">
        <v>7948</v>
      </c>
      <c r="E2142" t="s">
        <v>42</v>
      </c>
      <c r="F2142">
        <v>11</v>
      </c>
      <c r="G2142" t="s">
        <v>68</v>
      </c>
      <c r="H2142" t="s">
        <v>25</v>
      </c>
      <c r="I2142" t="s">
        <v>47</v>
      </c>
    </row>
    <row r="2143" spans="1:9" x14ac:dyDescent="0.45">
      <c r="A2143" t="s">
        <v>7949</v>
      </c>
      <c r="B2143" s="2">
        <v>46172</v>
      </c>
      <c r="C2143" t="s">
        <v>66</v>
      </c>
      <c r="D2143" t="s">
        <v>7950</v>
      </c>
      <c r="E2143" t="s">
        <v>54</v>
      </c>
      <c r="F2143">
        <v>1</v>
      </c>
      <c r="G2143" t="s">
        <v>43</v>
      </c>
      <c r="H2143" t="s">
        <v>14</v>
      </c>
      <c r="I2143" t="s">
        <v>31</v>
      </c>
    </row>
    <row r="2144" spans="1:9" x14ac:dyDescent="0.45">
      <c r="A2144" t="s">
        <v>7951</v>
      </c>
      <c r="B2144" s="2">
        <v>46266</v>
      </c>
      <c r="C2144" t="s">
        <v>49</v>
      </c>
      <c r="D2144" t="s">
        <v>7952</v>
      </c>
      <c r="E2144" t="s">
        <v>7974</v>
      </c>
      <c r="F2144">
        <v>8</v>
      </c>
      <c r="G2144" t="s">
        <v>24</v>
      </c>
      <c r="H2144" t="s">
        <v>25</v>
      </c>
      <c r="I2144" t="s">
        <v>19</v>
      </c>
    </row>
    <row r="2145" spans="1:9" x14ac:dyDescent="0.45">
      <c r="A2145" t="s">
        <v>7953</v>
      </c>
      <c r="B2145" s="2">
        <v>46231</v>
      </c>
      <c r="C2145" t="s">
        <v>16</v>
      </c>
      <c r="D2145" t="s">
        <v>7954</v>
      </c>
      <c r="E2145" t="s">
        <v>54</v>
      </c>
      <c r="F2145">
        <v>5</v>
      </c>
      <c r="G2145" t="s">
        <v>18</v>
      </c>
      <c r="H2145" t="s">
        <v>14</v>
      </c>
      <c r="I2145" t="s">
        <v>19</v>
      </c>
    </row>
    <row r="2146" spans="1:9" x14ac:dyDescent="0.45">
      <c r="A2146" t="s">
        <v>7955</v>
      </c>
      <c r="B2146" s="2">
        <v>46088</v>
      </c>
      <c r="C2146" t="s">
        <v>49</v>
      </c>
      <c r="D2146" t="s">
        <v>7956</v>
      </c>
      <c r="E2146" t="s">
        <v>75</v>
      </c>
      <c r="F2146">
        <v>1</v>
      </c>
      <c r="G2146" t="s">
        <v>18</v>
      </c>
      <c r="H2146" t="s">
        <v>14</v>
      </c>
      <c r="I2146" t="s">
        <v>47</v>
      </c>
    </row>
    <row r="2147" spans="1:9" x14ac:dyDescent="0.45">
      <c r="A2147" t="s">
        <v>7957</v>
      </c>
      <c r="B2147" s="2">
        <v>46058</v>
      </c>
      <c r="C2147" t="s">
        <v>49</v>
      </c>
      <c r="D2147" t="s">
        <v>7958</v>
      </c>
      <c r="E2147" t="s">
        <v>23</v>
      </c>
      <c r="F2147">
        <v>4</v>
      </c>
      <c r="G2147" t="s">
        <v>24</v>
      </c>
      <c r="H2147" t="s">
        <v>25</v>
      </c>
      <c r="I2147" t="s">
        <v>31</v>
      </c>
    </row>
    <row r="2148" spans="1:9" x14ac:dyDescent="0.45">
      <c r="A2148" t="s">
        <v>7959</v>
      </c>
      <c r="B2148" s="2">
        <v>46114</v>
      </c>
      <c r="C2148" t="s">
        <v>66</v>
      </c>
      <c r="D2148" t="s">
        <v>7960</v>
      </c>
      <c r="E2148" t="s">
        <v>75</v>
      </c>
      <c r="F2148">
        <v>10</v>
      </c>
      <c r="G2148" t="s">
        <v>55</v>
      </c>
      <c r="H2148" t="s">
        <v>72</v>
      </c>
      <c r="I2148" t="s">
        <v>19</v>
      </c>
    </row>
    <row r="2149" spans="1:9" x14ac:dyDescent="0.45">
      <c r="A2149" t="s">
        <v>7961</v>
      </c>
      <c r="B2149" s="2">
        <v>46125</v>
      </c>
      <c r="C2149" t="s">
        <v>28</v>
      </c>
      <c r="D2149" t="s">
        <v>7962</v>
      </c>
      <c r="E2149" t="s">
        <v>71</v>
      </c>
      <c r="F2149">
        <v>3</v>
      </c>
      <c r="G2149" t="s">
        <v>13</v>
      </c>
      <c r="H2149" t="s">
        <v>14</v>
      </c>
      <c r="I2149" t="s">
        <v>31</v>
      </c>
    </row>
    <row r="2150" spans="1:9" x14ac:dyDescent="0.45">
      <c r="A2150" t="s">
        <v>7963</v>
      </c>
      <c r="B2150" s="2">
        <v>46259</v>
      </c>
      <c r="C2150" t="s">
        <v>16</v>
      </c>
      <c r="D2150" t="s">
        <v>7964</v>
      </c>
      <c r="E2150" t="s">
        <v>30</v>
      </c>
      <c r="F2150">
        <v>6</v>
      </c>
      <c r="G2150" t="s">
        <v>13</v>
      </c>
      <c r="H2150" t="s">
        <v>14</v>
      </c>
      <c r="I2150" t="s">
        <v>31</v>
      </c>
    </row>
    <row r="2151" spans="1:9" x14ac:dyDescent="0.45">
      <c r="A2151" t="s">
        <v>7965</v>
      </c>
      <c r="B2151" s="2">
        <v>46085</v>
      </c>
      <c r="C2151" t="s">
        <v>16</v>
      </c>
      <c r="D2151" t="s">
        <v>7966</v>
      </c>
      <c r="E2151" t="s">
        <v>7973</v>
      </c>
      <c r="F2151">
        <v>8</v>
      </c>
      <c r="G2151" t="s">
        <v>13</v>
      </c>
      <c r="H2151" t="s">
        <v>14</v>
      </c>
      <c r="I2151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50B7A-8DFC-4E49-92FC-FCD0384885EE}">
  <dimension ref="A1:H30"/>
  <sheetViews>
    <sheetView zoomScaleNormal="100" workbookViewId="0">
      <selection activeCell="H18" sqref="H18"/>
    </sheetView>
  </sheetViews>
  <sheetFormatPr defaultColWidth="15.1328125" defaultRowHeight="14.25" x14ac:dyDescent="0.45"/>
  <cols>
    <col min="1" max="1" width="22.9296875" bestFit="1" customWidth="1"/>
    <col min="2" max="2" width="35.265625" bestFit="1" customWidth="1"/>
    <col min="3" max="3" width="2.86328125" customWidth="1"/>
    <col min="4" max="4" width="34.9296875" bestFit="1" customWidth="1"/>
    <col min="5" max="5" width="28.33203125" bestFit="1" customWidth="1"/>
    <col min="6" max="6" width="2.6640625" customWidth="1"/>
    <col min="8" max="8" width="16.19921875" customWidth="1"/>
  </cols>
  <sheetData>
    <row r="1" spans="1:8" x14ac:dyDescent="0.45">
      <c r="A1" s="1" t="s">
        <v>7968</v>
      </c>
      <c r="B1" t="s">
        <v>7969</v>
      </c>
      <c r="D1" t="s">
        <v>7971</v>
      </c>
      <c r="E1" t="s">
        <v>7972</v>
      </c>
      <c r="G1" t="s">
        <v>6</v>
      </c>
      <c r="H1" t="s">
        <v>7975</v>
      </c>
    </row>
    <row r="2" spans="1:8" x14ac:dyDescent="0.45">
      <c r="A2" t="s">
        <v>174</v>
      </c>
      <c r="B2" t="s">
        <v>16</v>
      </c>
      <c r="D2" t="s">
        <v>544</v>
      </c>
      <c r="E2" t="s">
        <v>54</v>
      </c>
      <c r="G2" t="s">
        <v>24</v>
      </c>
      <c r="H2" t="s">
        <v>25</v>
      </c>
    </row>
    <row r="3" spans="1:8" x14ac:dyDescent="0.45">
      <c r="A3" t="s">
        <v>468</v>
      </c>
      <c r="B3" t="s">
        <v>52</v>
      </c>
      <c r="D3" t="s">
        <v>54</v>
      </c>
      <c r="E3" t="s">
        <v>54</v>
      </c>
      <c r="G3" t="s">
        <v>35</v>
      </c>
      <c r="H3" t="s">
        <v>25</v>
      </c>
    </row>
    <row r="4" spans="1:8" x14ac:dyDescent="0.45">
      <c r="A4" t="s">
        <v>794</v>
      </c>
      <c r="B4" t="s">
        <v>7970</v>
      </c>
      <c r="D4" t="s">
        <v>1201</v>
      </c>
      <c r="E4" t="s">
        <v>54</v>
      </c>
      <c r="G4" t="s">
        <v>68</v>
      </c>
      <c r="H4" t="s">
        <v>25</v>
      </c>
    </row>
    <row r="5" spans="1:8" x14ac:dyDescent="0.45">
      <c r="A5" t="s">
        <v>2146</v>
      </c>
      <c r="B5" t="s">
        <v>66</v>
      </c>
      <c r="D5" t="s">
        <v>168</v>
      </c>
      <c r="E5" t="s">
        <v>7974</v>
      </c>
      <c r="G5" t="s">
        <v>55</v>
      </c>
      <c r="H5" t="s">
        <v>72</v>
      </c>
    </row>
    <row r="6" spans="1:8" x14ac:dyDescent="0.45">
      <c r="D6" t="s">
        <v>12</v>
      </c>
      <c r="E6" t="s">
        <v>7974</v>
      </c>
      <c r="G6" t="s">
        <v>13</v>
      </c>
      <c r="H6" t="s">
        <v>14</v>
      </c>
    </row>
    <row r="7" spans="1:8" x14ac:dyDescent="0.45">
      <c r="D7" t="s">
        <v>146</v>
      </c>
      <c r="E7" t="s">
        <v>7973</v>
      </c>
      <c r="G7" t="s">
        <v>43</v>
      </c>
      <c r="H7" t="s">
        <v>14</v>
      </c>
    </row>
    <row r="8" spans="1:8" x14ac:dyDescent="0.45">
      <c r="D8" t="s">
        <v>103</v>
      </c>
      <c r="E8" t="s">
        <v>7973</v>
      </c>
      <c r="G8" t="s">
        <v>59</v>
      </c>
      <c r="H8" t="s">
        <v>14</v>
      </c>
    </row>
    <row r="9" spans="1:8" x14ac:dyDescent="0.45">
      <c r="D9" t="s">
        <v>704</v>
      </c>
      <c r="E9" t="s">
        <v>7973</v>
      </c>
      <c r="G9" t="s">
        <v>18</v>
      </c>
      <c r="H9" t="s">
        <v>14</v>
      </c>
    </row>
    <row r="10" spans="1:8" x14ac:dyDescent="0.45">
      <c r="D10" t="s">
        <v>470</v>
      </c>
      <c r="E10" t="s">
        <v>38</v>
      </c>
    </row>
    <row r="11" spans="1:8" x14ac:dyDescent="0.45">
      <c r="D11" t="s">
        <v>38</v>
      </c>
      <c r="E11" t="s">
        <v>38</v>
      </c>
    </row>
    <row r="12" spans="1:8" x14ac:dyDescent="0.45">
      <c r="D12" t="s">
        <v>651</v>
      </c>
      <c r="E12" t="s">
        <v>75</v>
      </c>
    </row>
    <row r="13" spans="1:8" x14ac:dyDescent="0.45">
      <c r="D13" t="s">
        <v>75</v>
      </c>
      <c r="E13" t="s">
        <v>75</v>
      </c>
    </row>
    <row r="14" spans="1:8" x14ac:dyDescent="0.45">
      <c r="D14" t="s">
        <v>523</v>
      </c>
      <c r="E14" t="s">
        <v>71</v>
      </c>
    </row>
    <row r="15" spans="1:8" x14ac:dyDescent="0.45">
      <c r="D15" t="s">
        <v>71</v>
      </c>
      <c r="E15" t="s">
        <v>71</v>
      </c>
    </row>
    <row r="16" spans="1:8" x14ac:dyDescent="0.45">
      <c r="D16" t="s">
        <v>1620</v>
      </c>
      <c r="E16" t="s">
        <v>71</v>
      </c>
    </row>
    <row r="17" spans="4:5" x14ac:dyDescent="0.45">
      <c r="D17" t="s">
        <v>452</v>
      </c>
      <c r="E17" t="s">
        <v>34</v>
      </c>
    </row>
    <row r="18" spans="4:5" x14ac:dyDescent="0.45">
      <c r="D18" t="s">
        <v>34</v>
      </c>
      <c r="E18" t="s">
        <v>34</v>
      </c>
    </row>
    <row r="19" spans="4:5" x14ac:dyDescent="0.45">
      <c r="D19" t="s">
        <v>2306</v>
      </c>
      <c r="E19" t="s">
        <v>34</v>
      </c>
    </row>
    <row r="20" spans="4:5" x14ac:dyDescent="0.45">
      <c r="D20" t="s">
        <v>310</v>
      </c>
      <c r="E20" t="s">
        <v>30</v>
      </c>
    </row>
    <row r="21" spans="4:5" x14ac:dyDescent="0.45">
      <c r="D21" t="s">
        <v>30</v>
      </c>
      <c r="E21" t="s">
        <v>30</v>
      </c>
    </row>
    <row r="22" spans="4:5" x14ac:dyDescent="0.45">
      <c r="D22" t="s">
        <v>163</v>
      </c>
      <c r="E22" t="s">
        <v>46</v>
      </c>
    </row>
    <row r="23" spans="4:5" x14ac:dyDescent="0.45">
      <c r="D23" t="s">
        <v>46</v>
      </c>
      <c r="E23" t="s">
        <v>46</v>
      </c>
    </row>
    <row r="24" spans="4:5" x14ac:dyDescent="0.45">
      <c r="D24" t="s">
        <v>1370</v>
      </c>
      <c r="E24" t="s">
        <v>46</v>
      </c>
    </row>
    <row r="25" spans="4:5" x14ac:dyDescent="0.45">
      <c r="D25" t="s">
        <v>866</v>
      </c>
      <c r="E25" t="s">
        <v>23</v>
      </c>
    </row>
    <row r="26" spans="4:5" x14ac:dyDescent="0.45">
      <c r="D26" t="s">
        <v>23</v>
      </c>
      <c r="E26" t="s">
        <v>23</v>
      </c>
    </row>
    <row r="27" spans="4:5" x14ac:dyDescent="0.45">
      <c r="D27" t="s">
        <v>449</v>
      </c>
      <c r="E27" t="s">
        <v>58</v>
      </c>
    </row>
    <row r="28" spans="4:5" x14ac:dyDescent="0.45">
      <c r="D28" t="s">
        <v>58</v>
      </c>
      <c r="E28" t="s">
        <v>58</v>
      </c>
    </row>
    <row r="29" spans="4:5" x14ac:dyDescent="0.45">
      <c r="D29" t="s">
        <v>1495</v>
      </c>
      <c r="E29" t="s">
        <v>42</v>
      </c>
    </row>
    <row r="30" spans="4:5" x14ac:dyDescent="0.45">
      <c r="D30" t="s">
        <v>42</v>
      </c>
      <c r="E30" t="s">
        <v>42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EFE1-5896-4B21-A7A8-F3D641E75E9D}">
  <dimension ref="A1:F27"/>
  <sheetViews>
    <sheetView zoomScaleNormal="100" workbookViewId="0">
      <selection activeCell="F24" sqref="F24"/>
    </sheetView>
  </sheetViews>
  <sheetFormatPr defaultRowHeight="14.25" x14ac:dyDescent="0.45"/>
  <cols>
    <col min="1" max="1" width="30.06640625" bestFit="1" customWidth="1"/>
    <col min="2" max="2" width="24.46484375" customWidth="1"/>
    <col min="3" max="3" width="24" customWidth="1"/>
    <col min="4" max="4" width="16.3984375" customWidth="1"/>
    <col min="5" max="5" width="21.33203125" customWidth="1"/>
    <col min="6" max="6" width="18.9296875" bestFit="1" customWidth="1"/>
  </cols>
  <sheetData>
    <row r="1" spans="1:6" x14ac:dyDescent="0.45">
      <c r="A1" s="24" t="s">
        <v>7976</v>
      </c>
      <c r="B1" s="18">
        <v>45658</v>
      </c>
    </row>
    <row r="2" spans="1:6" x14ac:dyDescent="0.45">
      <c r="A2" s="24" t="s">
        <v>7984</v>
      </c>
      <c r="B2" s="18">
        <v>45904</v>
      </c>
    </row>
    <row r="3" spans="1:6" x14ac:dyDescent="0.45">
      <c r="A3" s="24" t="s">
        <v>7977</v>
      </c>
      <c r="B3" s="18">
        <v>46023</v>
      </c>
    </row>
    <row r="4" spans="1:6" x14ac:dyDescent="0.45">
      <c r="A4" s="24" t="s">
        <v>7978</v>
      </c>
      <c r="B4" s="18">
        <v>46269</v>
      </c>
    </row>
    <row r="5" spans="1:6" x14ac:dyDescent="0.45">
      <c r="A5" s="24" t="s">
        <v>8002</v>
      </c>
      <c r="B5" s="18">
        <f>B2-28</f>
        <v>45876</v>
      </c>
    </row>
    <row r="6" spans="1:6" x14ac:dyDescent="0.45">
      <c r="A6" s="24" t="s">
        <v>8003</v>
      </c>
      <c r="B6" s="18">
        <f>B4-28</f>
        <v>46241</v>
      </c>
    </row>
    <row r="8" spans="1:6" x14ac:dyDescent="0.45">
      <c r="A8" s="3" t="s">
        <v>7979</v>
      </c>
      <c r="B8" s="4" t="s">
        <v>7980</v>
      </c>
      <c r="C8" s="4" t="s">
        <v>7981</v>
      </c>
      <c r="D8" s="4" t="s">
        <v>7982</v>
      </c>
      <c r="E8" s="5" t="s">
        <v>7998</v>
      </c>
      <c r="F8" s="4" t="s">
        <v>7983</v>
      </c>
    </row>
    <row r="9" spans="1:6" x14ac:dyDescent="0.45">
      <c r="A9" s="6" t="s">
        <v>21</v>
      </c>
      <c r="B9" s="7">
        <f>COUNTIF(Cleaned_2025!C4:C1792, A9)</f>
        <v>170</v>
      </c>
      <c r="C9" s="7">
        <f>COUNTIF(Registrations__3[Competition], A9)</f>
        <v>226</v>
      </c>
      <c r="D9" s="7">
        <f>Table9[[#This Row],[Total Registrations (2026)]]-Table9[[#This Row],[Total Registrations (2025]]</f>
        <v>56</v>
      </c>
      <c r="E9" s="8">
        <f>IF(B9=0, "N/A", (C9 - B9) / B9)</f>
        <v>0.32941176470588235</v>
      </c>
      <c r="F9" s="4" t="str">
        <f t="shared" ref="F9:F17" si="0">IF(D9 &gt; 0, "Growing", IF(D9 &lt; 0, "Worse", "No Change"))</f>
        <v>Growing</v>
      </c>
    </row>
    <row r="10" spans="1:6" x14ac:dyDescent="0.45">
      <c r="A10" s="6" t="s">
        <v>16</v>
      </c>
      <c r="B10" s="7">
        <f>COUNTIF(Cleaned_2025!C1:C1800, A10)</f>
        <v>295</v>
      </c>
      <c r="C10" s="7">
        <f>COUNTIF(Registrations__3[Competition], A10)</f>
        <v>372</v>
      </c>
      <c r="D10" s="7">
        <f>C10 - B10</f>
        <v>77</v>
      </c>
      <c r="E10" s="8">
        <f>IF(B10=0, "N/A", (C10 - B10) / B10)</f>
        <v>0.26101694915254237</v>
      </c>
      <c r="F10" s="7" t="str">
        <f t="shared" si="0"/>
        <v>Growing</v>
      </c>
    </row>
    <row r="11" spans="1:6" x14ac:dyDescent="0.45">
      <c r="A11" s="6" t="s">
        <v>66</v>
      </c>
      <c r="B11" s="7">
        <f>COUNTIF(Cleaned_2025!C6:C1806, A11)</f>
        <v>227</v>
      </c>
      <c r="C11" s="7">
        <f>COUNTIF(Registrations__3[Competition], A11)</f>
        <v>284</v>
      </c>
      <c r="D11" s="7">
        <f>C11 - B11</f>
        <v>57</v>
      </c>
      <c r="E11" s="8">
        <f>IF(B11=0, "N/A", (C11 - B11) / B11)</f>
        <v>0.25110132158590309</v>
      </c>
      <c r="F11" s="7" t="str">
        <f t="shared" si="0"/>
        <v>Growing</v>
      </c>
    </row>
    <row r="12" spans="1:6" x14ac:dyDescent="0.45">
      <c r="A12" s="6" t="s">
        <v>49</v>
      </c>
      <c r="B12" s="7">
        <f>COUNTIF(Cleaned_2025!C2:C1801, A12)</f>
        <v>218</v>
      </c>
      <c r="C12" s="7">
        <f>COUNTIF(Registrations__3[Competition], A12)</f>
        <v>261</v>
      </c>
      <c r="D12" s="7">
        <f>C12 - B12</f>
        <v>43</v>
      </c>
      <c r="E12" s="8">
        <f>IF(B12=0, "N/A", (C12 - B12) / B12)</f>
        <v>0.19724770642201836</v>
      </c>
      <c r="F12" s="7" t="str">
        <f t="shared" si="0"/>
        <v>Growing</v>
      </c>
    </row>
    <row r="13" spans="1:6" x14ac:dyDescent="0.45">
      <c r="A13" s="6" t="s">
        <v>10</v>
      </c>
      <c r="B13" s="7">
        <f>COUNTIF(Cleaned_2025!C1:C1801, A13)</f>
        <v>209</v>
      </c>
      <c r="C13" s="7">
        <f>COUNTIF(Registrations__3[Competition], A13)</f>
        <v>242</v>
      </c>
      <c r="D13" s="7">
        <f>C13 - B13</f>
        <v>33</v>
      </c>
      <c r="E13" s="8">
        <f>IF(B13=0, "N/A", (C13 - B13) / B13)</f>
        <v>0.15789473684210525</v>
      </c>
      <c r="F13" s="7" t="str">
        <f t="shared" si="0"/>
        <v>Growing</v>
      </c>
    </row>
    <row r="14" spans="1:6" x14ac:dyDescent="0.45">
      <c r="A14" s="6" t="s">
        <v>52</v>
      </c>
      <c r="B14" s="7">
        <f>COUNTIF(Cleaned_2025!C8:C1806, A14)</f>
        <v>268</v>
      </c>
      <c r="C14" s="7">
        <f>COUNTIF(Registrations__3[Competition], A14)</f>
        <v>308</v>
      </c>
      <c r="D14" s="7">
        <f>C14 - B14</f>
        <v>40</v>
      </c>
      <c r="E14" s="8">
        <f>IF(B14=0, "N/A", (C14 - B14) / B14)</f>
        <v>0.14925373134328357</v>
      </c>
      <c r="F14" s="13" t="str">
        <f t="shared" si="0"/>
        <v>Growing</v>
      </c>
    </row>
    <row r="15" spans="1:6" x14ac:dyDescent="0.45">
      <c r="A15" s="6" t="s">
        <v>99</v>
      </c>
      <c r="B15" s="7">
        <f>COUNTIF(Cleaned_2025!C3:C1801, A15)</f>
        <v>164</v>
      </c>
      <c r="C15" s="7">
        <f>COUNTIF(Registrations__3[Competition], A15)</f>
        <v>183</v>
      </c>
      <c r="D15" s="7">
        <f>C15 - B15</f>
        <v>19</v>
      </c>
      <c r="E15" s="8">
        <f>IF(B15=0, "N/A", (C15 - B15) / B15)</f>
        <v>0.11585365853658537</v>
      </c>
      <c r="F15" s="13" t="str">
        <f t="shared" si="0"/>
        <v>Growing</v>
      </c>
    </row>
    <row r="16" spans="1:6" x14ac:dyDescent="0.45">
      <c r="A16" s="6" t="s">
        <v>28</v>
      </c>
      <c r="B16" s="7">
        <f>COUNTIF(Cleaned_2025!C4:C1802, A16)</f>
        <v>249</v>
      </c>
      <c r="C16" s="7">
        <f>COUNTIF(Registrations__3[Competition], A16)</f>
        <v>274</v>
      </c>
      <c r="D16" s="7">
        <f>C16 - B16</f>
        <v>25</v>
      </c>
      <c r="E16" s="8">
        <f>IF(B16=0, "N/A", (C16 - B16) / B16)</f>
        <v>0.10040160642570281</v>
      </c>
      <c r="F16" s="13" t="str">
        <f t="shared" si="0"/>
        <v>Growing</v>
      </c>
    </row>
    <row r="17" spans="1:6" x14ac:dyDescent="0.45">
      <c r="A17" s="9" t="s">
        <v>7999</v>
      </c>
      <c r="B17" s="10">
        <f>SUM(B9:B16)</f>
        <v>1800</v>
      </c>
      <c r="C17" s="10">
        <f>SUM(C9:C16)</f>
        <v>2150</v>
      </c>
      <c r="D17" s="10">
        <f>C17 - B17</f>
        <v>350</v>
      </c>
      <c r="E17" s="12">
        <f>(C17 - B17) / B17</f>
        <v>0.19444444444444445</v>
      </c>
      <c r="F17" s="10" t="str">
        <f t="shared" si="0"/>
        <v>Growing</v>
      </c>
    </row>
    <row r="19" spans="1:6" x14ac:dyDescent="0.45">
      <c r="A19" s="21" t="s">
        <v>7979</v>
      </c>
      <c r="B19" s="22" t="s">
        <v>8000</v>
      </c>
      <c r="C19" s="22" t="s">
        <v>8001</v>
      </c>
      <c r="D19" s="22" t="s">
        <v>7982</v>
      </c>
      <c r="E19" s="23" t="s">
        <v>7997</v>
      </c>
    </row>
    <row r="20" spans="1:6" x14ac:dyDescent="0.45">
      <c r="A20" s="19" t="s">
        <v>21</v>
      </c>
      <c r="B20" s="7">
        <f>COUNTIFS(Cleaned_2025!$C:$C, A20, Cleaned_2025!$B:$B, "&gt;"&amp;$B$5, Cleaned_2025!$B:$B, "&lt;="&amp;$B$4)</f>
        <v>17</v>
      </c>
      <c r="C20" s="7">
        <f>COUNTIFS(Cleaned_2026!$C:$C, $A20, Cleaned_2026!$B:$B, "&gt;"&amp;$B$6, Cleaned_2026!$B:$B, "&lt;="&amp;$B$4)</f>
        <v>27</v>
      </c>
      <c r="D20" s="7">
        <f>C20-B20</f>
        <v>10</v>
      </c>
      <c r="E20" s="25">
        <f>IFERROR((C20-B20)/B20, 0)</f>
        <v>0.58823529411764708</v>
      </c>
    </row>
    <row r="21" spans="1:6" x14ac:dyDescent="0.45">
      <c r="A21" s="20" t="s">
        <v>16</v>
      </c>
      <c r="B21" s="7">
        <f>COUNTIFS(Cleaned_2025!$C:$C, A21, Cleaned_2025!$B:$B, "&gt;"&amp;$B$5, Cleaned_2025!$B:$B, "&lt;="&amp;$B$4)</f>
        <v>34</v>
      </c>
      <c r="C21" s="7">
        <f>COUNTIFS(Cleaned_2026!$C:$C, $A21, Cleaned_2026!$B:$B, "&gt;"&amp;$B$6, Cleaned_2026!$B:$B, "&lt;="&amp;$B$4)</f>
        <v>48</v>
      </c>
      <c r="D21" s="7">
        <f t="shared" ref="D21:D27" si="1">C21-B21</f>
        <v>14</v>
      </c>
      <c r="E21" s="25">
        <f t="shared" ref="E21:E27" si="2">IFERROR((C21-B21)/B21, 0)</f>
        <v>0.41176470588235292</v>
      </c>
    </row>
    <row r="22" spans="1:6" x14ac:dyDescent="0.45">
      <c r="A22" s="19" t="s">
        <v>66</v>
      </c>
      <c r="B22" s="7">
        <f>COUNTIFS(Cleaned_2025!$C:$C, A22, Cleaned_2025!$B:$B, "&gt;"&amp;$B$5, Cleaned_2025!$B:$B, "&lt;="&amp;$B$4)</f>
        <v>29</v>
      </c>
      <c r="C22" s="7">
        <f>COUNTIFS(Cleaned_2026!$C:$C, $A22, Cleaned_2026!$B:$B, "&gt;"&amp;$B$6, Cleaned_2026!$B:$B, "&lt;="&amp;$B$4)</f>
        <v>31</v>
      </c>
      <c r="D22" s="7">
        <f t="shared" si="1"/>
        <v>2</v>
      </c>
      <c r="E22" s="25">
        <f t="shared" si="2"/>
        <v>6.8965517241379309E-2</v>
      </c>
    </row>
    <row r="23" spans="1:6" x14ac:dyDescent="0.45">
      <c r="A23" s="20" t="s">
        <v>49</v>
      </c>
      <c r="B23" s="7">
        <f>COUNTIFS(Cleaned_2025!$C:$C, A23, Cleaned_2025!$B:$B, "&gt;"&amp;$B$5, Cleaned_2025!$B:$B, "&lt;="&amp;$B$4)</f>
        <v>29</v>
      </c>
      <c r="C23" s="7">
        <f>COUNTIFS(Cleaned_2026!$C:$C, $A23, Cleaned_2026!$B:$B, "&gt;"&amp;$B$6, Cleaned_2026!$B:$B, "&lt;="&amp;$B$4)</f>
        <v>30</v>
      </c>
      <c r="D23" s="7">
        <f t="shared" si="1"/>
        <v>1</v>
      </c>
      <c r="E23" s="25">
        <f t="shared" si="2"/>
        <v>3.4482758620689655E-2</v>
      </c>
    </row>
    <row r="24" spans="1:6" x14ac:dyDescent="0.45">
      <c r="A24" s="19" t="s">
        <v>10</v>
      </c>
      <c r="B24" s="7">
        <f>COUNTIFS(Cleaned_2025!$C:$C, A24, Cleaned_2025!$B:$B, "&gt;"&amp;$B$5, Cleaned_2025!$B:$B, "&lt;="&amp;$B$4)</f>
        <v>19</v>
      </c>
      <c r="C24" s="7">
        <f>COUNTIFS(Cleaned_2026!$C:$C, $A24, Cleaned_2026!$B:$B, "&gt;"&amp;$B$6, Cleaned_2026!$B:$B, "&lt;="&amp;$B$4)</f>
        <v>38</v>
      </c>
      <c r="D24" s="7">
        <f t="shared" si="1"/>
        <v>19</v>
      </c>
      <c r="E24" s="25">
        <f t="shared" si="2"/>
        <v>1</v>
      </c>
    </row>
    <row r="25" spans="1:6" x14ac:dyDescent="0.45">
      <c r="A25" s="20" t="s">
        <v>52</v>
      </c>
      <c r="B25" s="7">
        <f>COUNTIFS(Cleaned_2025!$C:$C, A25, Cleaned_2025!$B:$B, "&gt;"&amp;$B$5, Cleaned_2025!$B:$B, "&lt;="&amp;$B$4)</f>
        <v>33</v>
      </c>
      <c r="C25" s="7">
        <f>COUNTIFS(Cleaned_2026!$C:$C, $A25, Cleaned_2026!$B:$B, "&gt;"&amp;$B$6, Cleaned_2026!$B:$B, "&lt;="&amp;$B$4)</f>
        <v>42</v>
      </c>
      <c r="D25" s="7">
        <f t="shared" si="1"/>
        <v>9</v>
      </c>
      <c r="E25" s="25">
        <f t="shared" si="2"/>
        <v>0.27272727272727271</v>
      </c>
    </row>
    <row r="26" spans="1:6" x14ac:dyDescent="0.45">
      <c r="A26" s="19" t="s">
        <v>99</v>
      </c>
      <c r="B26" s="7">
        <f>COUNTIFS(Cleaned_2025!$C:$C, A26, Cleaned_2025!$B:$B, "&gt;"&amp;$B$5, Cleaned_2025!$B:$B, "&lt;="&amp;$B$4)</f>
        <v>18</v>
      </c>
      <c r="C26" s="7">
        <f>COUNTIFS(Cleaned_2026!$C:$C, $A26, Cleaned_2026!$B:$B, "&gt;"&amp;$B$6, Cleaned_2026!$B:$B, "&lt;="&amp;$B$4)</f>
        <v>25</v>
      </c>
      <c r="D26" s="7">
        <f t="shared" si="1"/>
        <v>7</v>
      </c>
      <c r="E26" s="25">
        <f t="shared" si="2"/>
        <v>0.3888888888888889</v>
      </c>
    </row>
    <row r="27" spans="1:6" x14ac:dyDescent="0.45">
      <c r="A27" s="26" t="s">
        <v>28</v>
      </c>
      <c r="B27" s="11">
        <f>COUNTIFS(Cleaned_2025!$C:$C, A27, Cleaned_2025!$B:$B, "&gt;"&amp;$B$5, Cleaned_2025!$B:$B, "&lt;="&amp;$B$4)</f>
        <v>28</v>
      </c>
      <c r="C27" s="11">
        <f>COUNTIFS(Cleaned_2026!$C:$C, $A27, Cleaned_2026!$B:$B, "&gt;"&amp;$B$6, Cleaned_2026!$B:$B, "&lt;="&amp;$B$4)</f>
        <v>32</v>
      </c>
      <c r="D27" s="11">
        <f t="shared" si="1"/>
        <v>4</v>
      </c>
      <c r="E27" s="27">
        <f t="shared" si="2"/>
        <v>0.14285714285714285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4529-0776-4762-AE81-6208B5D06A68}">
  <dimension ref="A1:D10"/>
  <sheetViews>
    <sheetView workbookViewId="0">
      <selection activeCell="G22" sqref="G22"/>
    </sheetView>
  </sheetViews>
  <sheetFormatPr defaultRowHeight="14.25" x14ac:dyDescent="0.45"/>
  <cols>
    <col min="1" max="1" width="9.265625" bestFit="1" customWidth="1"/>
    <col min="2" max="3" width="15.53125" bestFit="1" customWidth="1"/>
  </cols>
  <sheetData>
    <row r="1" spans="1:4" x14ac:dyDescent="0.45">
      <c r="A1" s="17" t="s">
        <v>7994</v>
      </c>
      <c r="B1" s="17" t="s">
        <v>7995</v>
      </c>
      <c r="C1" s="17" t="s">
        <v>7996</v>
      </c>
      <c r="D1" s="7"/>
    </row>
    <row r="2" spans="1:4" x14ac:dyDescent="0.45">
      <c r="A2" s="16" t="s">
        <v>7985</v>
      </c>
      <c r="B2" s="14">
        <f>COUNTIFS(Cleaned_2025!$B:$B, "&gt;="&amp;DATE(2025,1,1), Cleaned_2025!$B:$B, "&lt;"&amp;DATE(2025,2,1))</f>
        <v>229</v>
      </c>
      <c r="C2" s="15">
        <f>COUNTIFS(Cleaned_2026!$B:$B, "&gt;="&amp;DATE(2026,1,1), Cleaned_2026!$B:$B, "&lt;"&amp;DATE(2026,2,1))</f>
        <v>287</v>
      </c>
      <c r="D2" s="7"/>
    </row>
    <row r="3" spans="1:4" x14ac:dyDescent="0.45">
      <c r="A3" s="16" t="s">
        <v>7986</v>
      </c>
      <c r="B3" s="14">
        <f>COUNTIFS(Cleaned_2025!$B:$B, "&gt;="&amp;DATE(2025,2,1), Cleaned_2025!$B:$B, "&lt;"&amp;DATE(2025,3,1))</f>
        <v>193</v>
      </c>
      <c r="C3" s="15">
        <f>COUNTIFS(Cleaned_2026!$B:$B, "&gt;="&amp;DATE(2026,2,1), Cleaned_2026!$B:$B, "&lt;"&amp;DATE(2026,3,1))</f>
        <v>228</v>
      </c>
      <c r="D3" s="7"/>
    </row>
    <row r="4" spans="1:4" x14ac:dyDescent="0.45">
      <c r="A4" s="16" t="s">
        <v>7987</v>
      </c>
      <c r="B4" s="14">
        <f>COUNTIFS(Cleaned_2025!$B:$B, "&gt;="&amp;DATE(2025,3,1), Cleaned_2025!$B:$B, "&lt;"&amp;DATE(2025,4,1))</f>
        <v>218</v>
      </c>
      <c r="C4" s="15">
        <f>COUNTIFS(Cleaned_2026!$B:$B, "&gt;="&amp;DATE(2026,3,1), Cleaned_2026!$B:$B, "&lt;"&amp;DATE(2026,4,1))</f>
        <v>288</v>
      </c>
      <c r="D4" s="7"/>
    </row>
    <row r="5" spans="1:4" x14ac:dyDescent="0.45">
      <c r="A5" s="16" t="s">
        <v>7988</v>
      </c>
      <c r="B5" s="14">
        <f>COUNTIFS(Cleaned_2025!$B:$B, "&gt;="&amp;DATE(2025,4,1), Cleaned_2025!$B:$B, "&lt;"&amp;DATE(2025,5,1))</f>
        <v>221</v>
      </c>
      <c r="C5" s="15">
        <f>COUNTIFS(Cleaned_2026!$B:$B, "&gt;="&amp;DATE(2026,4,1), Cleaned_2026!$B:$B, "&lt;"&amp;DATE(2026,5,1))</f>
        <v>224</v>
      </c>
      <c r="D5" s="7"/>
    </row>
    <row r="6" spans="1:4" x14ac:dyDescent="0.45">
      <c r="A6" s="16" t="s">
        <v>7989</v>
      </c>
      <c r="B6" s="14">
        <f>COUNTIFS(Cleaned_2025!$B:$B, "&gt;="&amp;DATE(2025,5,1), Cleaned_2025!$B:$B, "&lt;"&amp;DATE(2025,6,1))</f>
        <v>234</v>
      </c>
      <c r="C6" s="15">
        <f>COUNTIFS(Cleaned_2026!$B:$B, "&gt;="&amp;DATE(2026,5,1), Cleaned_2026!$B:$B, "&lt;"&amp;DATE(2026,6,1))</f>
        <v>273</v>
      </c>
      <c r="D6" s="7"/>
    </row>
    <row r="7" spans="1:4" x14ac:dyDescent="0.45">
      <c r="A7" s="16" t="s">
        <v>7990</v>
      </c>
      <c r="B7" s="14">
        <f>COUNTIFS(Cleaned_2025!$B:$B, "&gt;="&amp;DATE(2025,6,1), Cleaned_2025!$B:$B, "&lt;"&amp;DATE(2025,7,1))</f>
        <v>209</v>
      </c>
      <c r="C7" s="15">
        <f>COUNTIFS(Cleaned_2026!$B:$B, "&gt;="&amp;DATE(2026,6,1), Cleaned_2026!$B:$B, "&lt;"&amp;DATE(2026,7,1))</f>
        <v>282</v>
      </c>
      <c r="D7" s="7"/>
    </row>
    <row r="8" spans="1:4" x14ac:dyDescent="0.45">
      <c r="A8" s="16" t="s">
        <v>7991</v>
      </c>
      <c r="B8" s="14">
        <f>COUNTIFS(Cleaned_2025!$B:$B, "&gt;="&amp;DATE(2025,7,1), Cleaned_2025!$B:$B, "&lt;"&amp;DATE(2025,8,1))</f>
        <v>250</v>
      </c>
      <c r="C8" s="15">
        <f>COUNTIFS(Cleaned_2026!$B:$B, "&gt;="&amp;DATE(2026,7,1), Cleaned_2026!$B:$B, "&lt;"&amp;DATE(2026,8,1))</f>
        <v>238</v>
      </c>
      <c r="D8" s="7"/>
    </row>
    <row r="9" spans="1:4" x14ac:dyDescent="0.45">
      <c r="A9" s="16" t="s">
        <v>7992</v>
      </c>
      <c r="B9" s="14">
        <f>COUNTIFS(Cleaned_2025!$B:$B, "&gt;="&amp;DATE(2025,8,1), Cleaned_2025!$B:$B, "&lt;"&amp;DATE(2025,9,1))</f>
        <v>216</v>
      </c>
      <c r="C9" s="15">
        <f>COUNTIFS(Cleaned_2026!$B:$B, "&gt;="&amp;DATE(2026,8,1), Cleaned_2026!$B:$B, "&lt;"&amp;DATE(2026,9,1))</f>
        <v>288</v>
      </c>
      <c r="D9" s="7"/>
    </row>
    <row r="10" spans="1:4" x14ac:dyDescent="0.45">
      <c r="A10" s="16" t="s">
        <v>7993</v>
      </c>
      <c r="B10" s="14">
        <f>COUNTIFS(Cleaned_2025!$B:$B, "&gt;="&amp;DATE(2025,9,1), Cleaned_2025!$B:$B, "&lt;"&amp;DATE(2025,9,5))</f>
        <v>30</v>
      </c>
      <c r="C10" s="15">
        <f>COUNTIFS(Cleaned_2026!$B:$B, "&gt;="&amp;DATE(2026,9,1), Cleaned_2026!$B:$B, "&lt;"&amp;DATE(2026,9,5))</f>
        <v>42</v>
      </c>
      <c r="D1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3D0FB-4AA7-4ECB-A730-9C0BED903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Cleaned_2025</vt:lpstr>
      <vt:lpstr>Cleaned_2026</vt:lpstr>
      <vt:lpstr>Lookup</vt:lpstr>
      <vt:lpstr>Comparison</vt:lpstr>
      <vt:lpstr>Monthly_Trend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kumar</dc:creator>
  <cp:lastModifiedBy>Saurav kumar</cp:lastModifiedBy>
  <dcterms:created xsi:type="dcterms:W3CDTF">2026-09-04T12:06:32Z</dcterms:created>
  <dcterms:modified xsi:type="dcterms:W3CDTF">2026-09-05T09:21:22Z</dcterms:modified>
</cp:coreProperties>
</file>